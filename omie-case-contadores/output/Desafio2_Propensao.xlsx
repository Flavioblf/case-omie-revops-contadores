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75accf49a20a1b0/Documentos/Omie_Antigravity/omie-case-contadores/output/"/>
    </mc:Choice>
  </mc:AlternateContent>
  <xr:revisionPtr revIDLastSave="0" documentId="11_116795BBB34DA0176B0D5BAA46FD5E9EED2859E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ostas" sheetId="1" r:id="rId1"/>
    <sheet name="Drivers" sheetId="2" r:id="rId2"/>
    <sheet name="Como_Avaliar" sheetId="3" r:id="rId3"/>
    <sheet name="Impacto_nMRR" sheetId="4" r:id="rId4"/>
    <sheet name="Previsao_Receita" sheetId="5" r:id="rId5"/>
    <sheet name="Base" sheetId="6" r:id="rId6"/>
    <sheet name="Leads" sheetId="7" r:id="rId7"/>
    <sheet name="Clientes" sheetId="8" r:id="rId8"/>
  </sheets>
  <definedNames>
    <definedName name="_xlnm._FilterDatabase" localSheetId="5" hidden="1">Base!$A$1:$AB$601</definedName>
    <definedName name="_xlnm._FilterDatabase" localSheetId="6" hidden="1">Leads!$A$1:$P$351</definedName>
  </definedNames>
  <calcPr calcId="191029"/>
</workbook>
</file>

<file path=xl/calcChain.xml><?xml version="1.0" encoding="utf-8"?>
<calcChain xmlns="http://schemas.openxmlformats.org/spreadsheetml/2006/main">
  <c r="G74" i="8" l="1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  <c r="L351" i="7"/>
  <c r="K351" i="7"/>
  <c r="J351" i="7"/>
  <c r="I351" i="7"/>
  <c r="H351" i="7"/>
  <c r="G351" i="7"/>
  <c r="L350" i="7"/>
  <c r="K350" i="7"/>
  <c r="J350" i="7"/>
  <c r="I350" i="7"/>
  <c r="H350" i="7"/>
  <c r="G350" i="7"/>
  <c r="L349" i="7"/>
  <c r="K349" i="7"/>
  <c r="J349" i="7"/>
  <c r="I349" i="7"/>
  <c r="H349" i="7"/>
  <c r="G349" i="7"/>
  <c r="L348" i="7"/>
  <c r="K348" i="7"/>
  <c r="J348" i="7"/>
  <c r="I348" i="7"/>
  <c r="H348" i="7"/>
  <c r="G348" i="7"/>
  <c r="L347" i="7"/>
  <c r="K347" i="7"/>
  <c r="J347" i="7"/>
  <c r="I347" i="7"/>
  <c r="H347" i="7"/>
  <c r="G347" i="7"/>
  <c r="L346" i="7"/>
  <c r="K346" i="7"/>
  <c r="J346" i="7"/>
  <c r="I346" i="7"/>
  <c r="H346" i="7"/>
  <c r="G346" i="7"/>
  <c r="L345" i="7"/>
  <c r="K345" i="7"/>
  <c r="J345" i="7"/>
  <c r="I345" i="7"/>
  <c r="H345" i="7"/>
  <c r="G345" i="7"/>
  <c r="L344" i="7"/>
  <c r="K344" i="7"/>
  <c r="J344" i="7"/>
  <c r="I344" i="7"/>
  <c r="H344" i="7"/>
  <c r="G344" i="7"/>
  <c r="L343" i="7"/>
  <c r="K343" i="7"/>
  <c r="J343" i="7"/>
  <c r="I343" i="7"/>
  <c r="H343" i="7"/>
  <c r="G343" i="7"/>
  <c r="L342" i="7"/>
  <c r="K342" i="7"/>
  <c r="J342" i="7"/>
  <c r="I342" i="7"/>
  <c r="H342" i="7"/>
  <c r="G342" i="7"/>
  <c r="L341" i="7"/>
  <c r="K341" i="7"/>
  <c r="J341" i="7"/>
  <c r="I341" i="7"/>
  <c r="H341" i="7"/>
  <c r="G341" i="7"/>
  <c r="L340" i="7"/>
  <c r="K340" i="7"/>
  <c r="J340" i="7"/>
  <c r="I340" i="7"/>
  <c r="H340" i="7"/>
  <c r="G340" i="7"/>
  <c r="L339" i="7"/>
  <c r="K339" i="7"/>
  <c r="J339" i="7"/>
  <c r="I339" i="7"/>
  <c r="H339" i="7"/>
  <c r="G339" i="7"/>
  <c r="L338" i="7"/>
  <c r="K338" i="7"/>
  <c r="J338" i="7"/>
  <c r="I338" i="7"/>
  <c r="H338" i="7"/>
  <c r="G338" i="7"/>
  <c r="L337" i="7"/>
  <c r="K337" i="7"/>
  <c r="J337" i="7"/>
  <c r="I337" i="7"/>
  <c r="H337" i="7"/>
  <c r="G337" i="7"/>
  <c r="L336" i="7"/>
  <c r="K336" i="7"/>
  <c r="J336" i="7"/>
  <c r="I336" i="7"/>
  <c r="H336" i="7"/>
  <c r="G336" i="7"/>
  <c r="L335" i="7"/>
  <c r="K335" i="7"/>
  <c r="J335" i="7"/>
  <c r="I335" i="7"/>
  <c r="H335" i="7"/>
  <c r="G335" i="7"/>
  <c r="L334" i="7"/>
  <c r="K334" i="7"/>
  <c r="J334" i="7"/>
  <c r="I334" i="7"/>
  <c r="H334" i="7"/>
  <c r="G334" i="7"/>
  <c r="L333" i="7"/>
  <c r="K333" i="7"/>
  <c r="J333" i="7"/>
  <c r="I333" i="7"/>
  <c r="H333" i="7"/>
  <c r="G333" i="7"/>
  <c r="L332" i="7"/>
  <c r="K332" i="7"/>
  <c r="J332" i="7"/>
  <c r="I332" i="7"/>
  <c r="H332" i="7"/>
  <c r="G332" i="7"/>
  <c r="L331" i="7"/>
  <c r="K331" i="7"/>
  <c r="J331" i="7"/>
  <c r="I331" i="7"/>
  <c r="H331" i="7"/>
  <c r="G331" i="7"/>
  <c r="L330" i="7"/>
  <c r="K330" i="7"/>
  <c r="J330" i="7"/>
  <c r="I330" i="7"/>
  <c r="H330" i="7"/>
  <c r="G330" i="7"/>
  <c r="L329" i="7"/>
  <c r="K329" i="7"/>
  <c r="J329" i="7"/>
  <c r="I329" i="7"/>
  <c r="H329" i="7"/>
  <c r="G329" i="7"/>
  <c r="L328" i="7"/>
  <c r="K328" i="7"/>
  <c r="J328" i="7"/>
  <c r="I328" i="7"/>
  <c r="H328" i="7"/>
  <c r="G328" i="7"/>
  <c r="L327" i="7"/>
  <c r="K327" i="7"/>
  <c r="J327" i="7"/>
  <c r="I327" i="7"/>
  <c r="H327" i="7"/>
  <c r="G327" i="7"/>
  <c r="L326" i="7"/>
  <c r="K326" i="7"/>
  <c r="J326" i="7"/>
  <c r="I326" i="7"/>
  <c r="H326" i="7"/>
  <c r="G326" i="7"/>
  <c r="L325" i="7"/>
  <c r="K325" i="7"/>
  <c r="J325" i="7"/>
  <c r="I325" i="7"/>
  <c r="H325" i="7"/>
  <c r="G325" i="7"/>
  <c r="L324" i="7"/>
  <c r="K324" i="7"/>
  <c r="J324" i="7"/>
  <c r="I324" i="7"/>
  <c r="H324" i="7"/>
  <c r="G324" i="7"/>
  <c r="L323" i="7"/>
  <c r="K323" i="7"/>
  <c r="J323" i="7"/>
  <c r="I323" i="7"/>
  <c r="H323" i="7"/>
  <c r="G323" i="7"/>
  <c r="L322" i="7"/>
  <c r="K322" i="7"/>
  <c r="J322" i="7"/>
  <c r="I322" i="7"/>
  <c r="H322" i="7"/>
  <c r="G322" i="7"/>
  <c r="L321" i="7"/>
  <c r="K321" i="7"/>
  <c r="J321" i="7"/>
  <c r="I321" i="7"/>
  <c r="H321" i="7"/>
  <c r="G321" i="7"/>
  <c r="L320" i="7"/>
  <c r="K320" i="7"/>
  <c r="J320" i="7"/>
  <c r="I320" i="7"/>
  <c r="H320" i="7"/>
  <c r="G320" i="7"/>
  <c r="L319" i="7"/>
  <c r="K319" i="7"/>
  <c r="J319" i="7"/>
  <c r="I319" i="7"/>
  <c r="H319" i="7"/>
  <c r="G319" i="7"/>
  <c r="L318" i="7"/>
  <c r="K318" i="7"/>
  <c r="J318" i="7"/>
  <c r="I318" i="7"/>
  <c r="H318" i="7"/>
  <c r="G318" i="7"/>
  <c r="L317" i="7"/>
  <c r="K317" i="7"/>
  <c r="J317" i="7"/>
  <c r="I317" i="7"/>
  <c r="H317" i="7"/>
  <c r="G317" i="7"/>
  <c r="L316" i="7"/>
  <c r="K316" i="7"/>
  <c r="J316" i="7"/>
  <c r="I316" i="7"/>
  <c r="H316" i="7"/>
  <c r="G316" i="7"/>
  <c r="L315" i="7"/>
  <c r="K315" i="7"/>
  <c r="J315" i="7"/>
  <c r="I315" i="7"/>
  <c r="H315" i="7"/>
  <c r="G315" i="7"/>
  <c r="L314" i="7"/>
  <c r="K314" i="7"/>
  <c r="J314" i="7"/>
  <c r="I314" i="7"/>
  <c r="H314" i="7"/>
  <c r="G314" i="7"/>
  <c r="L313" i="7"/>
  <c r="K313" i="7"/>
  <c r="J313" i="7"/>
  <c r="I313" i="7"/>
  <c r="H313" i="7"/>
  <c r="G313" i="7"/>
  <c r="L312" i="7"/>
  <c r="K312" i="7"/>
  <c r="J312" i="7"/>
  <c r="I312" i="7"/>
  <c r="H312" i="7"/>
  <c r="G312" i="7"/>
  <c r="L311" i="7"/>
  <c r="K311" i="7"/>
  <c r="J311" i="7"/>
  <c r="I311" i="7"/>
  <c r="H311" i="7"/>
  <c r="G311" i="7"/>
  <c r="L310" i="7"/>
  <c r="K310" i="7"/>
  <c r="J310" i="7"/>
  <c r="I310" i="7"/>
  <c r="H310" i="7"/>
  <c r="G310" i="7"/>
  <c r="L309" i="7"/>
  <c r="K309" i="7"/>
  <c r="J309" i="7"/>
  <c r="I309" i="7"/>
  <c r="H309" i="7"/>
  <c r="G309" i="7"/>
  <c r="L308" i="7"/>
  <c r="K308" i="7"/>
  <c r="J308" i="7"/>
  <c r="I308" i="7"/>
  <c r="H308" i="7"/>
  <c r="G308" i="7"/>
  <c r="L307" i="7"/>
  <c r="K307" i="7"/>
  <c r="J307" i="7"/>
  <c r="I307" i="7"/>
  <c r="H307" i="7"/>
  <c r="G307" i="7"/>
  <c r="L306" i="7"/>
  <c r="K306" i="7"/>
  <c r="J306" i="7"/>
  <c r="I306" i="7"/>
  <c r="H306" i="7"/>
  <c r="G306" i="7"/>
  <c r="L305" i="7"/>
  <c r="K305" i="7"/>
  <c r="J305" i="7"/>
  <c r="I305" i="7"/>
  <c r="H305" i="7"/>
  <c r="G305" i="7"/>
  <c r="L304" i="7"/>
  <c r="K304" i="7"/>
  <c r="J304" i="7"/>
  <c r="I304" i="7"/>
  <c r="H304" i="7"/>
  <c r="G304" i="7"/>
  <c r="L303" i="7"/>
  <c r="K303" i="7"/>
  <c r="J303" i="7"/>
  <c r="I303" i="7"/>
  <c r="H303" i="7"/>
  <c r="G303" i="7"/>
  <c r="L302" i="7"/>
  <c r="K302" i="7"/>
  <c r="J302" i="7"/>
  <c r="I302" i="7"/>
  <c r="H302" i="7"/>
  <c r="G302" i="7"/>
  <c r="L301" i="7"/>
  <c r="K301" i="7"/>
  <c r="J301" i="7"/>
  <c r="I301" i="7"/>
  <c r="H301" i="7"/>
  <c r="G301" i="7"/>
  <c r="L300" i="7"/>
  <c r="K300" i="7"/>
  <c r="J300" i="7"/>
  <c r="I300" i="7"/>
  <c r="H300" i="7"/>
  <c r="G300" i="7"/>
  <c r="L299" i="7"/>
  <c r="K299" i="7"/>
  <c r="J299" i="7"/>
  <c r="I299" i="7"/>
  <c r="H299" i="7"/>
  <c r="G299" i="7"/>
  <c r="L298" i="7"/>
  <c r="K298" i="7"/>
  <c r="J298" i="7"/>
  <c r="I298" i="7"/>
  <c r="H298" i="7"/>
  <c r="G298" i="7"/>
  <c r="L297" i="7"/>
  <c r="K297" i="7"/>
  <c r="J297" i="7"/>
  <c r="I297" i="7"/>
  <c r="H297" i="7"/>
  <c r="G297" i="7"/>
  <c r="L296" i="7"/>
  <c r="K296" i="7"/>
  <c r="J296" i="7"/>
  <c r="I296" i="7"/>
  <c r="H296" i="7"/>
  <c r="G296" i="7"/>
  <c r="L295" i="7"/>
  <c r="K295" i="7"/>
  <c r="J295" i="7"/>
  <c r="I295" i="7"/>
  <c r="H295" i="7"/>
  <c r="G295" i="7"/>
  <c r="L294" i="7"/>
  <c r="K294" i="7"/>
  <c r="J294" i="7"/>
  <c r="I294" i="7"/>
  <c r="H294" i="7"/>
  <c r="G294" i="7"/>
  <c r="L293" i="7"/>
  <c r="K293" i="7"/>
  <c r="J293" i="7"/>
  <c r="I293" i="7"/>
  <c r="H293" i="7"/>
  <c r="G293" i="7"/>
  <c r="L292" i="7"/>
  <c r="K292" i="7"/>
  <c r="J292" i="7"/>
  <c r="I292" i="7"/>
  <c r="H292" i="7"/>
  <c r="G292" i="7"/>
  <c r="L291" i="7"/>
  <c r="K291" i="7"/>
  <c r="J291" i="7"/>
  <c r="I291" i="7"/>
  <c r="H291" i="7"/>
  <c r="G291" i="7"/>
  <c r="L290" i="7"/>
  <c r="K290" i="7"/>
  <c r="J290" i="7"/>
  <c r="I290" i="7"/>
  <c r="H290" i="7"/>
  <c r="G290" i="7"/>
  <c r="L289" i="7"/>
  <c r="K289" i="7"/>
  <c r="J289" i="7"/>
  <c r="I289" i="7"/>
  <c r="H289" i="7"/>
  <c r="G289" i="7"/>
  <c r="L288" i="7"/>
  <c r="K288" i="7"/>
  <c r="J288" i="7"/>
  <c r="I288" i="7"/>
  <c r="H288" i="7"/>
  <c r="G288" i="7"/>
  <c r="L287" i="7"/>
  <c r="K287" i="7"/>
  <c r="J287" i="7"/>
  <c r="I287" i="7"/>
  <c r="H287" i="7"/>
  <c r="G287" i="7"/>
  <c r="L286" i="7"/>
  <c r="K286" i="7"/>
  <c r="J286" i="7"/>
  <c r="I286" i="7"/>
  <c r="H286" i="7"/>
  <c r="G286" i="7"/>
  <c r="L285" i="7"/>
  <c r="K285" i="7"/>
  <c r="J285" i="7"/>
  <c r="I285" i="7"/>
  <c r="H285" i="7"/>
  <c r="G285" i="7"/>
  <c r="L284" i="7"/>
  <c r="K284" i="7"/>
  <c r="J284" i="7"/>
  <c r="I284" i="7"/>
  <c r="H284" i="7"/>
  <c r="G284" i="7"/>
  <c r="L283" i="7"/>
  <c r="K283" i="7"/>
  <c r="J283" i="7"/>
  <c r="I283" i="7"/>
  <c r="H283" i="7"/>
  <c r="G283" i="7"/>
  <c r="L282" i="7"/>
  <c r="K282" i="7"/>
  <c r="J282" i="7"/>
  <c r="I282" i="7"/>
  <c r="H282" i="7"/>
  <c r="G282" i="7"/>
  <c r="L281" i="7"/>
  <c r="K281" i="7"/>
  <c r="J281" i="7"/>
  <c r="I281" i="7"/>
  <c r="H281" i="7"/>
  <c r="G281" i="7"/>
  <c r="L280" i="7"/>
  <c r="K280" i="7"/>
  <c r="J280" i="7"/>
  <c r="I280" i="7"/>
  <c r="H280" i="7"/>
  <c r="G280" i="7"/>
  <c r="L279" i="7"/>
  <c r="K279" i="7"/>
  <c r="J279" i="7"/>
  <c r="I279" i="7"/>
  <c r="H279" i="7"/>
  <c r="G279" i="7"/>
  <c r="L278" i="7"/>
  <c r="K278" i="7"/>
  <c r="J278" i="7"/>
  <c r="I278" i="7"/>
  <c r="H278" i="7"/>
  <c r="G278" i="7"/>
  <c r="L277" i="7"/>
  <c r="K277" i="7"/>
  <c r="J277" i="7"/>
  <c r="I277" i="7"/>
  <c r="H277" i="7"/>
  <c r="G277" i="7"/>
  <c r="L276" i="7"/>
  <c r="K276" i="7"/>
  <c r="J276" i="7"/>
  <c r="I276" i="7"/>
  <c r="H276" i="7"/>
  <c r="G276" i="7"/>
  <c r="L275" i="7"/>
  <c r="K275" i="7"/>
  <c r="J275" i="7"/>
  <c r="I275" i="7"/>
  <c r="H275" i="7"/>
  <c r="G275" i="7"/>
  <c r="L274" i="7"/>
  <c r="K274" i="7"/>
  <c r="J274" i="7"/>
  <c r="I274" i="7"/>
  <c r="H274" i="7"/>
  <c r="G274" i="7"/>
  <c r="L273" i="7"/>
  <c r="K273" i="7"/>
  <c r="J273" i="7"/>
  <c r="I273" i="7"/>
  <c r="H273" i="7"/>
  <c r="G273" i="7"/>
  <c r="L272" i="7"/>
  <c r="K272" i="7"/>
  <c r="J272" i="7"/>
  <c r="I272" i="7"/>
  <c r="H272" i="7"/>
  <c r="G272" i="7"/>
  <c r="L271" i="7"/>
  <c r="K271" i="7"/>
  <c r="J271" i="7"/>
  <c r="I271" i="7"/>
  <c r="H271" i="7"/>
  <c r="G271" i="7"/>
  <c r="L270" i="7"/>
  <c r="K270" i="7"/>
  <c r="J270" i="7"/>
  <c r="I270" i="7"/>
  <c r="H270" i="7"/>
  <c r="G270" i="7"/>
  <c r="L269" i="7"/>
  <c r="K269" i="7"/>
  <c r="J269" i="7"/>
  <c r="I269" i="7"/>
  <c r="H269" i="7"/>
  <c r="G269" i="7"/>
  <c r="L268" i="7"/>
  <c r="K268" i="7"/>
  <c r="J268" i="7"/>
  <c r="I268" i="7"/>
  <c r="H268" i="7"/>
  <c r="G268" i="7"/>
  <c r="L267" i="7"/>
  <c r="K267" i="7"/>
  <c r="J267" i="7"/>
  <c r="I267" i="7"/>
  <c r="H267" i="7"/>
  <c r="G267" i="7"/>
  <c r="L266" i="7"/>
  <c r="K266" i="7"/>
  <c r="J266" i="7"/>
  <c r="I266" i="7"/>
  <c r="H266" i="7"/>
  <c r="G266" i="7"/>
  <c r="L265" i="7"/>
  <c r="K265" i="7"/>
  <c r="J265" i="7"/>
  <c r="I265" i="7"/>
  <c r="H265" i="7"/>
  <c r="G265" i="7"/>
  <c r="L264" i="7"/>
  <c r="K264" i="7"/>
  <c r="J264" i="7"/>
  <c r="I264" i="7"/>
  <c r="H264" i="7"/>
  <c r="G264" i="7"/>
  <c r="L263" i="7"/>
  <c r="K263" i="7"/>
  <c r="J263" i="7"/>
  <c r="I263" i="7"/>
  <c r="H263" i="7"/>
  <c r="G263" i="7"/>
  <c r="L262" i="7"/>
  <c r="K262" i="7"/>
  <c r="J262" i="7"/>
  <c r="I262" i="7"/>
  <c r="H262" i="7"/>
  <c r="G262" i="7"/>
  <c r="L261" i="7"/>
  <c r="K261" i="7"/>
  <c r="J261" i="7"/>
  <c r="I261" i="7"/>
  <c r="H261" i="7"/>
  <c r="G261" i="7"/>
  <c r="L260" i="7"/>
  <c r="K260" i="7"/>
  <c r="J260" i="7"/>
  <c r="I260" i="7"/>
  <c r="H260" i="7"/>
  <c r="G260" i="7"/>
  <c r="L259" i="7"/>
  <c r="K259" i="7"/>
  <c r="J259" i="7"/>
  <c r="I259" i="7"/>
  <c r="H259" i="7"/>
  <c r="G259" i="7"/>
  <c r="L258" i="7"/>
  <c r="K258" i="7"/>
  <c r="J258" i="7"/>
  <c r="I258" i="7"/>
  <c r="H258" i="7"/>
  <c r="G258" i="7"/>
  <c r="L257" i="7"/>
  <c r="K257" i="7"/>
  <c r="J257" i="7"/>
  <c r="I257" i="7"/>
  <c r="H257" i="7"/>
  <c r="G257" i="7"/>
  <c r="L256" i="7"/>
  <c r="K256" i="7"/>
  <c r="J256" i="7"/>
  <c r="I256" i="7"/>
  <c r="H256" i="7"/>
  <c r="G256" i="7"/>
  <c r="L255" i="7"/>
  <c r="K255" i="7"/>
  <c r="J255" i="7"/>
  <c r="I255" i="7"/>
  <c r="H255" i="7"/>
  <c r="G255" i="7"/>
  <c r="L254" i="7"/>
  <c r="K254" i="7"/>
  <c r="J254" i="7"/>
  <c r="I254" i="7"/>
  <c r="H254" i="7"/>
  <c r="G254" i="7"/>
  <c r="L253" i="7"/>
  <c r="K253" i="7"/>
  <c r="J253" i="7"/>
  <c r="I253" i="7"/>
  <c r="H253" i="7"/>
  <c r="G253" i="7"/>
  <c r="L252" i="7"/>
  <c r="K252" i="7"/>
  <c r="J252" i="7"/>
  <c r="I252" i="7"/>
  <c r="H252" i="7"/>
  <c r="G252" i="7"/>
  <c r="L251" i="7"/>
  <c r="K251" i="7"/>
  <c r="J251" i="7"/>
  <c r="I251" i="7"/>
  <c r="H251" i="7"/>
  <c r="G251" i="7"/>
  <c r="L250" i="7"/>
  <c r="K250" i="7"/>
  <c r="J250" i="7"/>
  <c r="I250" i="7"/>
  <c r="H250" i="7"/>
  <c r="G250" i="7"/>
  <c r="L249" i="7"/>
  <c r="K249" i="7"/>
  <c r="J249" i="7"/>
  <c r="I249" i="7"/>
  <c r="H249" i="7"/>
  <c r="G249" i="7"/>
  <c r="L248" i="7"/>
  <c r="K248" i="7"/>
  <c r="J248" i="7"/>
  <c r="I248" i="7"/>
  <c r="H248" i="7"/>
  <c r="G248" i="7"/>
  <c r="L247" i="7"/>
  <c r="K247" i="7"/>
  <c r="J247" i="7"/>
  <c r="I247" i="7"/>
  <c r="H247" i="7"/>
  <c r="G247" i="7"/>
  <c r="L246" i="7"/>
  <c r="K246" i="7"/>
  <c r="J246" i="7"/>
  <c r="I246" i="7"/>
  <c r="H246" i="7"/>
  <c r="G246" i="7"/>
  <c r="L245" i="7"/>
  <c r="K245" i="7"/>
  <c r="J245" i="7"/>
  <c r="I245" i="7"/>
  <c r="H245" i="7"/>
  <c r="G245" i="7"/>
  <c r="L244" i="7"/>
  <c r="K244" i="7"/>
  <c r="J244" i="7"/>
  <c r="I244" i="7"/>
  <c r="H244" i="7"/>
  <c r="G244" i="7"/>
  <c r="L243" i="7"/>
  <c r="K243" i="7"/>
  <c r="J243" i="7"/>
  <c r="I243" i="7"/>
  <c r="H243" i="7"/>
  <c r="G243" i="7"/>
  <c r="L242" i="7"/>
  <c r="K242" i="7"/>
  <c r="J242" i="7"/>
  <c r="I242" i="7"/>
  <c r="H242" i="7"/>
  <c r="G242" i="7"/>
  <c r="L241" i="7"/>
  <c r="K241" i="7"/>
  <c r="J241" i="7"/>
  <c r="I241" i="7"/>
  <c r="H241" i="7"/>
  <c r="G241" i="7"/>
  <c r="L240" i="7"/>
  <c r="K240" i="7"/>
  <c r="J240" i="7"/>
  <c r="I240" i="7"/>
  <c r="H240" i="7"/>
  <c r="G240" i="7"/>
  <c r="L239" i="7"/>
  <c r="K239" i="7"/>
  <c r="J239" i="7"/>
  <c r="I239" i="7"/>
  <c r="H239" i="7"/>
  <c r="G239" i="7"/>
  <c r="L238" i="7"/>
  <c r="K238" i="7"/>
  <c r="J238" i="7"/>
  <c r="I238" i="7"/>
  <c r="H238" i="7"/>
  <c r="G238" i="7"/>
  <c r="L237" i="7"/>
  <c r="K237" i="7"/>
  <c r="J237" i="7"/>
  <c r="I237" i="7"/>
  <c r="H237" i="7"/>
  <c r="G237" i="7"/>
  <c r="L236" i="7"/>
  <c r="K236" i="7"/>
  <c r="J236" i="7"/>
  <c r="I236" i="7"/>
  <c r="H236" i="7"/>
  <c r="G236" i="7"/>
  <c r="L235" i="7"/>
  <c r="K235" i="7"/>
  <c r="J235" i="7"/>
  <c r="I235" i="7"/>
  <c r="H235" i="7"/>
  <c r="G235" i="7"/>
  <c r="L234" i="7"/>
  <c r="K234" i="7"/>
  <c r="J234" i="7"/>
  <c r="I234" i="7"/>
  <c r="H234" i="7"/>
  <c r="G234" i="7"/>
  <c r="L233" i="7"/>
  <c r="K233" i="7"/>
  <c r="J233" i="7"/>
  <c r="I233" i="7"/>
  <c r="H233" i="7"/>
  <c r="G233" i="7"/>
  <c r="L232" i="7"/>
  <c r="K232" i="7"/>
  <c r="J232" i="7"/>
  <c r="I232" i="7"/>
  <c r="H232" i="7"/>
  <c r="G232" i="7"/>
  <c r="L231" i="7"/>
  <c r="K231" i="7"/>
  <c r="J231" i="7"/>
  <c r="I231" i="7"/>
  <c r="H231" i="7"/>
  <c r="G231" i="7"/>
  <c r="L230" i="7"/>
  <c r="K230" i="7"/>
  <c r="J230" i="7"/>
  <c r="I230" i="7"/>
  <c r="H230" i="7"/>
  <c r="G230" i="7"/>
  <c r="L229" i="7"/>
  <c r="K229" i="7"/>
  <c r="J229" i="7"/>
  <c r="I229" i="7"/>
  <c r="H229" i="7"/>
  <c r="G229" i="7"/>
  <c r="L228" i="7"/>
  <c r="K228" i="7"/>
  <c r="J228" i="7"/>
  <c r="I228" i="7"/>
  <c r="H228" i="7"/>
  <c r="G228" i="7"/>
  <c r="L227" i="7"/>
  <c r="K227" i="7"/>
  <c r="J227" i="7"/>
  <c r="I227" i="7"/>
  <c r="H227" i="7"/>
  <c r="G227" i="7"/>
  <c r="L226" i="7"/>
  <c r="K226" i="7"/>
  <c r="J226" i="7"/>
  <c r="I226" i="7"/>
  <c r="H226" i="7"/>
  <c r="G226" i="7"/>
  <c r="L225" i="7"/>
  <c r="K225" i="7"/>
  <c r="J225" i="7"/>
  <c r="I225" i="7"/>
  <c r="H225" i="7"/>
  <c r="G225" i="7"/>
  <c r="L224" i="7"/>
  <c r="K224" i="7"/>
  <c r="J224" i="7"/>
  <c r="I224" i="7"/>
  <c r="H224" i="7"/>
  <c r="G224" i="7"/>
  <c r="L223" i="7"/>
  <c r="K223" i="7"/>
  <c r="J223" i="7"/>
  <c r="I223" i="7"/>
  <c r="H223" i="7"/>
  <c r="G223" i="7"/>
  <c r="L222" i="7"/>
  <c r="K222" i="7"/>
  <c r="J222" i="7"/>
  <c r="I222" i="7"/>
  <c r="H222" i="7"/>
  <c r="G222" i="7"/>
  <c r="L221" i="7"/>
  <c r="K221" i="7"/>
  <c r="J221" i="7"/>
  <c r="I221" i="7"/>
  <c r="H221" i="7"/>
  <c r="G221" i="7"/>
  <c r="L220" i="7"/>
  <c r="K220" i="7"/>
  <c r="J220" i="7"/>
  <c r="I220" i="7"/>
  <c r="H220" i="7"/>
  <c r="G220" i="7"/>
  <c r="L219" i="7"/>
  <c r="K219" i="7"/>
  <c r="J219" i="7"/>
  <c r="I219" i="7"/>
  <c r="H219" i="7"/>
  <c r="G219" i="7"/>
  <c r="L218" i="7"/>
  <c r="K218" i="7"/>
  <c r="J218" i="7"/>
  <c r="I218" i="7"/>
  <c r="H218" i="7"/>
  <c r="G218" i="7"/>
  <c r="L217" i="7"/>
  <c r="K217" i="7"/>
  <c r="J217" i="7"/>
  <c r="I217" i="7"/>
  <c r="H217" i="7"/>
  <c r="G217" i="7"/>
  <c r="L216" i="7"/>
  <c r="K216" i="7"/>
  <c r="J216" i="7"/>
  <c r="I216" i="7"/>
  <c r="H216" i="7"/>
  <c r="G216" i="7"/>
  <c r="L215" i="7"/>
  <c r="K215" i="7"/>
  <c r="J215" i="7"/>
  <c r="I215" i="7"/>
  <c r="H215" i="7"/>
  <c r="G215" i="7"/>
  <c r="L214" i="7"/>
  <c r="K214" i="7"/>
  <c r="J214" i="7"/>
  <c r="I214" i="7"/>
  <c r="H214" i="7"/>
  <c r="G214" i="7"/>
  <c r="L213" i="7"/>
  <c r="K213" i="7"/>
  <c r="J213" i="7"/>
  <c r="I213" i="7"/>
  <c r="H213" i="7"/>
  <c r="G213" i="7"/>
  <c r="L212" i="7"/>
  <c r="K212" i="7"/>
  <c r="J212" i="7"/>
  <c r="I212" i="7"/>
  <c r="H212" i="7"/>
  <c r="G212" i="7"/>
  <c r="L211" i="7"/>
  <c r="K211" i="7"/>
  <c r="J211" i="7"/>
  <c r="I211" i="7"/>
  <c r="H211" i="7"/>
  <c r="G211" i="7"/>
  <c r="L210" i="7"/>
  <c r="K210" i="7"/>
  <c r="J210" i="7"/>
  <c r="I210" i="7"/>
  <c r="H210" i="7"/>
  <c r="G210" i="7"/>
  <c r="L209" i="7"/>
  <c r="K209" i="7"/>
  <c r="J209" i="7"/>
  <c r="I209" i="7"/>
  <c r="H209" i="7"/>
  <c r="G209" i="7"/>
  <c r="L208" i="7"/>
  <c r="K208" i="7"/>
  <c r="J208" i="7"/>
  <c r="I208" i="7"/>
  <c r="H208" i="7"/>
  <c r="G208" i="7"/>
  <c r="L207" i="7"/>
  <c r="K207" i="7"/>
  <c r="J207" i="7"/>
  <c r="I207" i="7"/>
  <c r="H207" i="7"/>
  <c r="G207" i="7"/>
  <c r="L206" i="7"/>
  <c r="K206" i="7"/>
  <c r="J206" i="7"/>
  <c r="I206" i="7"/>
  <c r="H206" i="7"/>
  <c r="G206" i="7"/>
  <c r="L205" i="7"/>
  <c r="K205" i="7"/>
  <c r="J205" i="7"/>
  <c r="I205" i="7"/>
  <c r="H205" i="7"/>
  <c r="G205" i="7"/>
  <c r="L204" i="7"/>
  <c r="K204" i="7"/>
  <c r="J204" i="7"/>
  <c r="I204" i="7"/>
  <c r="H204" i="7"/>
  <c r="G204" i="7"/>
  <c r="L203" i="7"/>
  <c r="K203" i="7"/>
  <c r="J203" i="7"/>
  <c r="I203" i="7"/>
  <c r="H203" i="7"/>
  <c r="G203" i="7"/>
  <c r="L202" i="7"/>
  <c r="K202" i="7"/>
  <c r="J202" i="7"/>
  <c r="I202" i="7"/>
  <c r="H202" i="7"/>
  <c r="G202" i="7"/>
  <c r="L201" i="7"/>
  <c r="K201" i="7"/>
  <c r="J201" i="7"/>
  <c r="I201" i="7"/>
  <c r="H201" i="7"/>
  <c r="G201" i="7"/>
  <c r="L200" i="7"/>
  <c r="K200" i="7"/>
  <c r="J200" i="7"/>
  <c r="I200" i="7"/>
  <c r="H200" i="7"/>
  <c r="G200" i="7"/>
  <c r="L199" i="7"/>
  <c r="K199" i="7"/>
  <c r="J199" i="7"/>
  <c r="I199" i="7"/>
  <c r="H199" i="7"/>
  <c r="G199" i="7"/>
  <c r="L198" i="7"/>
  <c r="K198" i="7"/>
  <c r="J198" i="7"/>
  <c r="I198" i="7"/>
  <c r="H198" i="7"/>
  <c r="G198" i="7"/>
  <c r="L197" i="7"/>
  <c r="K197" i="7"/>
  <c r="J197" i="7"/>
  <c r="I197" i="7"/>
  <c r="H197" i="7"/>
  <c r="G197" i="7"/>
  <c r="L196" i="7"/>
  <c r="K196" i="7"/>
  <c r="J196" i="7"/>
  <c r="I196" i="7"/>
  <c r="H196" i="7"/>
  <c r="G196" i="7"/>
  <c r="L195" i="7"/>
  <c r="K195" i="7"/>
  <c r="J195" i="7"/>
  <c r="I195" i="7"/>
  <c r="H195" i="7"/>
  <c r="G195" i="7"/>
  <c r="L194" i="7"/>
  <c r="K194" i="7"/>
  <c r="J194" i="7"/>
  <c r="I194" i="7"/>
  <c r="H194" i="7"/>
  <c r="G194" i="7"/>
  <c r="L193" i="7"/>
  <c r="K193" i="7"/>
  <c r="J193" i="7"/>
  <c r="I193" i="7"/>
  <c r="H193" i="7"/>
  <c r="G193" i="7"/>
  <c r="L192" i="7"/>
  <c r="K192" i="7"/>
  <c r="J192" i="7"/>
  <c r="I192" i="7"/>
  <c r="H192" i="7"/>
  <c r="G192" i="7"/>
  <c r="L191" i="7"/>
  <c r="K191" i="7"/>
  <c r="J191" i="7"/>
  <c r="I191" i="7"/>
  <c r="H191" i="7"/>
  <c r="G191" i="7"/>
  <c r="L190" i="7"/>
  <c r="K190" i="7"/>
  <c r="J190" i="7"/>
  <c r="I190" i="7"/>
  <c r="H190" i="7"/>
  <c r="G190" i="7"/>
  <c r="L189" i="7"/>
  <c r="K189" i="7"/>
  <c r="J189" i="7"/>
  <c r="I189" i="7"/>
  <c r="H189" i="7"/>
  <c r="G189" i="7"/>
  <c r="L188" i="7"/>
  <c r="K188" i="7"/>
  <c r="J188" i="7"/>
  <c r="I188" i="7"/>
  <c r="H188" i="7"/>
  <c r="G188" i="7"/>
  <c r="L187" i="7"/>
  <c r="K187" i="7"/>
  <c r="J187" i="7"/>
  <c r="I187" i="7"/>
  <c r="H187" i="7"/>
  <c r="G187" i="7"/>
  <c r="L186" i="7"/>
  <c r="K186" i="7"/>
  <c r="J186" i="7"/>
  <c r="I186" i="7"/>
  <c r="H186" i="7"/>
  <c r="G186" i="7"/>
  <c r="L185" i="7"/>
  <c r="K185" i="7"/>
  <c r="J185" i="7"/>
  <c r="I185" i="7"/>
  <c r="H185" i="7"/>
  <c r="G185" i="7"/>
  <c r="L184" i="7"/>
  <c r="K184" i="7"/>
  <c r="J184" i="7"/>
  <c r="I184" i="7"/>
  <c r="H184" i="7"/>
  <c r="G184" i="7"/>
  <c r="L183" i="7"/>
  <c r="K183" i="7"/>
  <c r="J183" i="7"/>
  <c r="I183" i="7"/>
  <c r="H183" i="7"/>
  <c r="G183" i="7"/>
  <c r="L182" i="7"/>
  <c r="K182" i="7"/>
  <c r="J182" i="7"/>
  <c r="I182" i="7"/>
  <c r="H182" i="7"/>
  <c r="G182" i="7"/>
  <c r="L181" i="7"/>
  <c r="K181" i="7"/>
  <c r="J181" i="7"/>
  <c r="I181" i="7"/>
  <c r="H181" i="7"/>
  <c r="G181" i="7"/>
  <c r="L180" i="7"/>
  <c r="K180" i="7"/>
  <c r="J180" i="7"/>
  <c r="I180" i="7"/>
  <c r="H180" i="7"/>
  <c r="G180" i="7"/>
  <c r="L179" i="7"/>
  <c r="K179" i="7"/>
  <c r="J179" i="7"/>
  <c r="I179" i="7"/>
  <c r="H179" i="7"/>
  <c r="G179" i="7"/>
  <c r="L178" i="7"/>
  <c r="K178" i="7"/>
  <c r="J178" i="7"/>
  <c r="I178" i="7"/>
  <c r="H178" i="7"/>
  <c r="G178" i="7"/>
  <c r="L177" i="7"/>
  <c r="K177" i="7"/>
  <c r="J177" i="7"/>
  <c r="I177" i="7"/>
  <c r="H177" i="7"/>
  <c r="G177" i="7"/>
  <c r="L176" i="7"/>
  <c r="K176" i="7"/>
  <c r="J176" i="7"/>
  <c r="I176" i="7"/>
  <c r="H176" i="7"/>
  <c r="G176" i="7"/>
  <c r="L175" i="7"/>
  <c r="K175" i="7"/>
  <c r="J175" i="7"/>
  <c r="I175" i="7"/>
  <c r="H175" i="7"/>
  <c r="G175" i="7"/>
  <c r="L174" i="7"/>
  <c r="K174" i="7"/>
  <c r="J174" i="7"/>
  <c r="I174" i="7"/>
  <c r="H174" i="7"/>
  <c r="G174" i="7"/>
  <c r="L173" i="7"/>
  <c r="K173" i="7"/>
  <c r="J173" i="7"/>
  <c r="I173" i="7"/>
  <c r="H173" i="7"/>
  <c r="G173" i="7"/>
  <c r="L172" i="7"/>
  <c r="K172" i="7"/>
  <c r="J172" i="7"/>
  <c r="I172" i="7"/>
  <c r="H172" i="7"/>
  <c r="G172" i="7"/>
  <c r="L171" i="7"/>
  <c r="K171" i="7"/>
  <c r="J171" i="7"/>
  <c r="I171" i="7"/>
  <c r="H171" i="7"/>
  <c r="G171" i="7"/>
  <c r="L170" i="7"/>
  <c r="K170" i="7"/>
  <c r="J170" i="7"/>
  <c r="I170" i="7"/>
  <c r="H170" i="7"/>
  <c r="G170" i="7"/>
  <c r="L169" i="7"/>
  <c r="K169" i="7"/>
  <c r="J169" i="7"/>
  <c r="I169" i="7"/>
  <c r="H169" i="7"/>
  <c r="G169" i="7"/>
  <c r="L168" i="7"/>
  <c r="K168" i="7"/>
  <c r="J168" i="7"/>
  <c r="I168" i="7"/>
  <c r="H168" i="7"/>
  <c r="G168" i="7"/>
  <c r="L167" i="7"/>
  <c r="K167" i="7"/>
  <c r="J167" i="7"/>
  <c r="I167" i="7"/>
  <c r="H167" i="7"/>
  <c r="G167" i="7"/>
  <c r="L166" i="7"/>
  <c r="K166" i="7"/>
  <c r="J166" i="7"/>
  <c r="I166" i="7"/>
  <c r="H166" i="7"/>
  <c r="G166" i="7"/>
  <c r="L165" i="7"/>
  <c r="K165" i="7"/>
  <c r="J165" i="7"/>
  <c r="I165" i="7"/>
  <c r="H165" i="7"/>
  <c r="G165" i="7"/>
  <c r="L164" i="7"/>
  <c r="K164" i="7"/>
  <c r="J164" i="7"/>
  <c r="I164" i="7"/>
  <c r="H164" i="7"/>
  <c r="G164" i="7"/>
  <c r="L163" i="7"/>
  <c r="K163" i="7"/>
  <c r="J163" i="7"/>
  <c r="I163" i="7"/>
  <c r="H163" i="7"/>
  <c r="G163" i="7"/>
  <c r="L162" i="7"/>
  <c r="K162" i="7"/>
  <c r="J162" i="7"/>
  <c r="I162" i="7"/>
  <c r="H162" i="7"/>
  <c r="G162" i="7"/>
  <c r="L161" i="7"/>
  <c r="K161" i="7"/>
  <c r="J161" i="7"/>
  <c r="I161" i="7"/>
  <c r="H161" i="7"/>
  <c r="G161" i="7"/>
  <c r="L160" i="7"/>
  <c r="K160" i="7"/>
  <c r="J160" i="7"/>
  <c r="I160" i="7"/>
  <c r="H160" i="7"/>
  <c r="G160" i="7"/>
  <c r="L159" i="7"/>
  <c r="K159" i="7"/>
  <c r="J159" i="7"/>
  <c r="I159" i="7"/>
  <c r="H159" i="7"/>
  <c r="G159" i="7"/>
  <c r="L158" i="7"/>
  <c r="K158" i="7"/>
  <c r="J158" i="7"/>
  <c r="I158" i="7"/>
  <c r="H158" i="7"/>
  <c r="G158" i="7"/>
  <c r="L157" i="7"/>
  <c r="K157" i="7"/>
  <c r="J157" i="7"/>
  <c r="I157" i="7"/>
  <c r="H157" i="7"/>
  <c r="G157" i="7"/>
  <c r="L156" i="7"/>
  <c r="K156" i="7"/>
  <c r="J156" i="7"/>
  <c r="I156" i="7"/>
  <c r="H156" i="7"/>
  <c r="G156" i="7"/>
  <c r="L155" i="7"/>
  <c r="K155" i="7"/>
  <c r="J155" i="7"/>
  <c r="I155" i="7"/>
  <c r="H155" i="7"/>
  <c r="G155" i="7"/>
  <c r="L154" i="7"/>
  <c r="K154" i="7"/>
  <c r="J154" i="7"/>
  <c r="I154" i="7"/>
  <c r="H154" i="7"/>
  <c r="G154" i="7"/>
  <c r="L153" i="7"/>
  <c r="K153" i="7"/>
  <c r="J153" i="7"/>
  <c r="I153" i="7"/>
  <c r="H153" i="7"/>
  <c r="G153" i="7"/>
  <c r="L152" i="7"/>
  <c r="K152" i="7"/>
  <c r="J152" i="7"/>
  <c r="I152" i="7"/>
  <c r="H152" i="7"/>
  <c r="G152" i="7"/>
  <c r="L151" i="7"/>
  <c r="K151" i="7"/>
  <c r="J151" i="7"/>
  <c r="I151" i="7"/>
  <c r="H151" i="7"/>
  <c r="G151" i="7"/>
  <c r="L150" i="7"/>
  <c r="K150" i="7"/>
  <c r="J150" i="7"/>
  <c r="I150" i="7"/>
  <c r="H150" i="7"/>
  <c r="G150" i="7"/>
  <c r="L149" i="7"/>
  <c r="K149" i="7"/>
  <c r="J149" i="7"/>
  <c r="I149" i="7"/>
  <c r="H149" i="7"/>
  <c r="G149" i="7"/>
  <c r="L148" i="7"/>
  <c r="K148" i="7"/>
  <c r="J148" i="7"/>
  <c r="I148" i="7"/>
  <c r="H148" i="7"/>
  <c r="G148" i="7"/>
  <c r="L147" i="7"/>
  <c r="K147" i="7"/>
  <c r="J147" i="7"/>
  <c r="I147" i="7"/>
  <c r="H147" i="7"/>
  <c r="G147" i="7"/>
  <c r="L146" i="7"/>
  <c r="K146" i="7"/>
  <c r="J146" i="7"/>
  <c r="I146" i="7"/>
  <c r="H146" i="7"/>
  <c r="G146" i="7"/>
  <c r="L145" i="7"/>
  <c r="K145" i="7"/>
  <c r="J145" i="7"/>
  <c r="I145" i="7"/>
  <c r="H145" i="7"/>
  <c r="G145" i="7"/>
  <c r="L144" i="7"/>
  <c r="K144" i="7"/>
  <c r="J144" i="7"/>
  <c r="I144" i="7"/>
  <c r="H144" i="7"/>
  <c r="G144" i="7"/>
  <c r="L143" i="7"/>
  <c r="K143" i="7"/>
  <c r="J143" i="7"/>
  <c r="I143" i="7"/>
  <c r="H143" i="7"/>
  <c r="G143" i="7"/>
  <c r="L142" i="7"/>
  <c r="K142" i="7"/>
  <c r="J142" i="7"/>
  <c r="I142" i="7"/>
  <c r="H142" i="7"/>
  <c r="G142" i="7"/>
  <c r="L141" i="7"/>
  <c r="K141" i="7"/>
  <c r="J141" i="7"/>
  <c r="I141" i="7"/>
  <c r="H141" i="7"/>
  <c r="G141" i="7"/>
  <c r="L140" i="7"/>
  <c r="K140" i="7"/>
  <c r="J140" i="7"/>
  <c r="I140" i="7"/>
  <c r="H140" i="7"/>
  <c r="G140" i="7"/>
  <c r="L139" i="7"/>
  <c r="K139" i="7"/>
  <c r="J139" i="7"/>
  <c r="I139" i="7"/>
  <c r="H139" i="7"/>
  <c r="G139" i="7"/>
  <c r="L138" i="7"/>
  <c r="K138" i="7"/>
  <c r="J138" i="7"/>
  <c r="I138" i="7"/>
  <c r="H138" i="7"/>
  <c r="G138" i="7"/>
  <c r="L137" i="7"/>
  <c r="K137" i="7"/>
  <c r="J137" i="7"/>
  <c r="I137" i="7"/>
  <c r="H137" i="7"/>
  <c r="G137" i="7"/>
  <c r="L136" i="7"/>
  <c r="K136" i="7"/>
  <c r="J136" i="7"/>
  <c r="I136" i="7"/>
  <c r="H136" i="7"/>
  <c r="G136" i="7"/>
  <c r="L135" i="7"/>
  <c r="K135" i="7"/>
  <c r="J135" i="7"/>
  <c r="I135" i="7"/>
  <c r="H135" i="7"/>
  <c r="G135" i="7"/>
  <c r="L134" i="7"/>
  <c r="K134" i="7"/>
  <c r="J134" i="7"/>
  <c r="I134" i="7"/>
  <c r="H134" i="7"/>
  <c r="G134" i="7"/>
  <c r="L133" i="7"/>
  <c r="K133" i="7"/>
  <c r="J133" i="7"/>
  <c r="I133" i="7"/>
  <c r="H133" i="7"/>
  <c r="G133" i="7"/>
  <c r="L132" i="7"/>
  <c r="K132" i="7"/>
  <c r="J132" i="7"/>
  <c r="I132" i="7"/>
  <c r="H132" i="7"/>
  <c r="G132" i="7"/>
  <c r="L131" i="7"/>
  <c r="K131" i="7"/>
  <c r="J131" i="7"/>
  <c r="I131" i="7"/>
  <c r="H131" i="7"/>
  <c r="G131" i="7"/>
  <c r="L130" i="7"/>
  <c r="K130" i="7"/>
  <c r="J130" i="7"/>
  <c r="I130" i="7"/>
  <c r="H130" i="7"/>
  <c r="G130" i="7"/>
  <c r="L129" i="7"/>
  <c r="K129" i="7"/>
  <c r="J129" i="7"/>
  <c r="I129" i="7"/>
  <c r="H129" i="7"/>
  <c r="G129" i="7"/>
  <c r="L128" i="7"/>
  <c r="K128" i="7"/>
  <c r="J128" i="7"/>
  <c r="I128" i="7"/>
  <c r="H128" i="7"/>
  <c r="G128" i="7"/>
  <c r="L127" i="7"/>
  <c r="K127" i="7"/>
  <c r="J127" i="7"/>
  <c r="I127" i="7"/>
  <c r="H127" i="7"/>
  <c r="G127" i="7"/>
  <c r="L126" i="7"/>
  <c r="K126" i="7"/>
  <c r="J126" i="7"/>
  <c r="I126" i="7"/>
  <c r="H126" i="7"/>
  <c r="G126" i="7"/>
  <c r="L125" i="7"/>
  <c r="K125" i="7"/>
  <c r="J125" i="7"/>
  <c r="I125" i="7"/>
  <c r="H125" i="7"/>
  <c r="G125" i="7"/>
  <c r="L124" i="7"/>
  <c r="K124" i="7"/>
  <c r="J124" i="7"/>
  <c r="I124" i="7"/>
  <c r="H124" i="7"/>
  <c r="G124" i="7"/>
  <c r="L123" i="7"/>
  <c r="K123" i="7"/>
  <c r="J123" i="7"/>
  <c r="I123" i="7"/>
  <c r="H123" i="7"/>
  <c r="G123" i="7"/>
  <c r="L122" i="7"/>
  <c r="K122" i="7"/>
  <c r="J122" i="7"/>
  <c r="I122" i="7"/>
  <c r="H122" i="7"/>
  <c r="G122" i="7"/>
  <c r="L121" i="7"/>
  <c r="K121" i="7"/>
  <c r="J121" i="7"/>
  <c r="I121" i="7"/>
  <c r="H121" i="7"/>
  <c r="G121" i="7"/>
  <c r="L120" i="7"/>
  <c r="K120" i="7"/>
  <c r="J120" i="7"/>
  <c r="I120" i="7"/>
  <c r="H120" i="7"/>
  <c r="G120" i="7"/>
  <c r="L119" i="7"/>
  <c r="K119" i="7"/>
  <c r="J119" i="7"/>
  <c r="I119" i="7"/>
  <c r="H119" i="7"/>
  <c r="G119" i="7"/>
  <c r="L118" i="7"/>
  <c r="K118" i="7"/>
  <c r="J118" i="7"/>
  <c r="I118" i="7"/>
  <c r="H118" i="7"/>
  <c r="G118" i="7"/>
  <c r="L117" i="7"/>
  <c r="K117" i="7"/>
  <c r="J117" i="7"/>
  <c r="I117" i="7"/>
  <c r="H117" i="7"/>
  <c r="G117" i="7"/>
  <c r="L116" i="7"/>
  <c r="K116" i="7"/>
  <c r="J116" i="7"/>
  <c r="I116" i="7"/>
  <c r="H116" i="7"/>
  <c r="G116" i="7"/>
  <c r="L115" i="7"/>
  <c r="K115" i="7"/>
  <c r="J115" i="7"/>
  <c r="I115" i="7"/>
  <c r="H115" i="7"/>
  <c r="G115" i="7"/>
  <c r="L114" i="7"/>
  <c r="K114" i="7"/>
  <c r="J114" i="7"/>
  <c r="I114" i="7"/>
  <c r="H114" i="7"/>
  <c r="G114" i="7"/>
  <c r="L113" i="7"/>
  <c r="K113" i="7"/>
  <c r="J113" i="7"/>
  <c r="I113" i="7"/>
  <c r="H113" i="7"/>
  <c r="G113" i="7"/>
  <c r="L112" i="7"/>
  <c r="K112" i="7"/>
  <c r="J112" i="7"/>
  <c r="I112" i="7"/>
  <c r="H112" i="7"/>
  <c r="G112" i="7"/>
  <c r="L111" i="7"/>
  <c r="K111" i="7"/>
  <c r="J111" i="7"/>
  <c r="I111" i="7"/>
  <c r="H111" i="7"/>
  <c r="G111" i="7"/>
  <c r="L110" i="7"/>
  <c r="K110" i="7"/>
  <c r="J110" i="7"/>
  <c r="I110" i="7"/>
  <c r="H110" i="7"/>
  <c r="G110" i="7"/>
  <c r="L109" i="7"/>
  <c r="K109" i="7"/>
  <c r="J109" i="7"/>
  <c r="I109" i="7"/>
  <c r="H109" i="7"/>
  <c r="G109" i="7"/>
  <c r="L108" i="7"/>
  <c r="K108" i="7"/>
  <c r="J108" i="7"/>
  <c r="I108" i="7"/>
  <c r="H108" i="7"/>
  <c r="G108" i="7"/>
  <c r="L107" i="7"/>
  <c r="K107" i="7"/>
  <c r="J107" i="7"/>
  <c r="I107" i="7"/>
  <c r="H107" i="7"/>
  <c r="G107" i="7"/>
  <c r="L106" i="7"/>
  <c r="K106" i="7"/>
  <c r="J106" i="7"/>
  <c r="I106" i="7"/>
  <c r="H106" i="7"/>
  <c r="G106" i="7"/>
  <c r="L105" i="7"/>
  <c r="K105" i="7"/>
  <c r="J105" i="7"/>
  <c r="I105" i="7"/>
  <c r="H105" i="7"/>
  <c r="G105" i="7"/>
  <c r="L104" i="7"/>
  <c r="K104" i="7"/>
  <c r="J104" i="7"/>
  <c r="I104" i="7"/>
  <c r="H104" i="7"/>
  <c r="G104" i="7"/>
  <c r="L103" i="7"/>
  <c r="K103" i="7"/>
  <c r="J103" i="7"/>
  <c r="I103" i="7"/>
  <c r="H103" i="7"/>
  <c r="G103" i="7"/>
  <c r="L102" i="7"/>
  <c r="K102" i="7"/>
  <c r="J102" i="7"/>
  <c r="I102" i="7"/>
  <c r="H102" i="7"/>
  <c r="G102" i="7"/>
  <c r="L101" i="7"/>
  <c r="K101" i="7"/>
  <c r="J101" i="7"/>
  <c r="I101" i="7"/>
  <c r="H101" i="7"/>
  <c r="G101" i="7"/>
  <c r="L100" i="7"/>
  <c r="K100" i="7"/>
  <c r="J100" i="7"/>
  <c r="I100" i="7"/>
  <c r="H100" i="7"/>
  <c r="G100" i="7"/>
  <c r="L99" i="7"/>
  <c r="K99" i="7"/>
  <c r="J99" i="7"/>
  <c r="I99" i="7"/>
  <c r="H99" i="7"/>
  <c r="G99" i="7"/>
  <c r="L98" i="7"/>
  <c r="K98" i="7"/>
  <c r="J98" i="7"/>
  <c r="I98" i="7"/>
  <c r="H98" i="7"/>
  <c r="G98" i="7"/>
  <c r="L97" i="7"/>
  <c r="K97" i="7"/>
  <c r="J97" i="7"/>
  <c r="I97" i="7"/>
  <c r="H97" i="7"/>
  <c r="G97" i="7"/>
  <c r="L96" i="7"/>
  <c r="K96" i="7"/>
  <c r="J96" i="7"/>
  <c r="I96" i="7"/>
  <c r="H96" i="7"/>
  <c r="G96" i="7"/>
  <c r="L95" i="7"/>
  <c r="K95" i="7"/>
  <c r="J95" i="7"/>
  <c r="I95" i="7"/>
  <c r="H95" i="7"/>
  <c r="G95" i="7"/>
  <c r="L94" i="7"/>
  <c r="K94" i="7"/>
  <c r="J94" i="7"/>
  <c r="I94" i="7"/>
  <c r="H94" i="7"/>
  <c r="G94" i="7"/>
  <c r="L93" i="7"/>
  <c r="K93" i="7"/>
  <c r="J93" i="7"/>
  <c r="I93" i="7"/>
  <c r="H93" i="7"/>
  <c r="G93" i="7"/>
  <c r="L92" i="7"/>
  <c r="K92" i="7"/>
  <c r="J92" i="7"/>
  <c r="I92" i="7"/>
  <c r="H92" i="7"/>
  <c r="G92" i="7"/>
  <c r="L91" i="7"/>
  <c r="K91" i="7"/>
  <c r="J91" i="7"/>
  <c r="I91" i="7"/>
  <c r="H91" i="7"/>
  <c r="G91" i="7"/>
  <c r="L90" i="7"/>
  <c r="K90" i="7"/>
  <c r="J90" i="7"/>
  <c r="I90" i="7"/>
  <c r="H90" i="7"/>
  <c r="G90" i="7"/>
  <c r="L89" i="7"/>
  <c r="K89" i="7"/>
  <c r="J89" i="7"/>
  <c r="I89" i="7"/>
  <c r="H89" i="7"/>
  <c r="G89" i="7"/>
  <c r="L88" i="7"/>
  <c r="K88" i="7"/>
  <c r="J88" i="7"/>
  <c r="I88" i="7"/>
  <c r="H88" i="7"/>
  <c r="G88" i="7"/>
  <c r="L87" i="7"/>
  <c r="K87" i="7"/>
  <c r="J87" i="7"/>
  <c r="I87" i="7"/>
  <c r="H87" i="7"/>
  <c r="G87" i="7"/>
  <c r="L86" i="7"/>
  <c r="K86" i="7"/>
  <c r="J86" i="7"/>
  <c r="I86" i="7"/>
  <c r="H86" i="7"/>
  <c r="G86" i="7"/>
  <c r="L85" i="7"/>
  <c r="K85" i="7"/>
  <c r="J85" i="7"/>
  <c r="I85" i="7"/>
  <c r="H85" i="7"/>
  <c r="G85" i="7"/>
  <c r="L84" i="7"/>
  <c r="K84" i="7"/>
  <c r="J84" i="7"/>
  <c r="I84" i="7"/>
  <c r="H84" i="7"/>
  <c r="G84" i="7"/>
  <c r="L83" i="7"/>
  <c r="K83" i="7"/>
  <c r="J83" i="7"/>
  <c r="I83" i="7"/>
  <c r="H83" i="7"/>
  <c r="G83" i="7"/>
  <c r="L82" i="7"/>
  <c r="K82" i="7"/>
  <c r="J82" i="7"/>
  <c r="I82" i="7"/>
  <c r="H82" i="7"/>
  <c r="G82" i="7"/>
  <c r="L81" i="7"/>
  <c r="K81" i="7"/>
  <c r="J81" i="7"/>
  <c r="I81" i="7"/>
  <c r="H81" i="7"/>
  <c r="G81" i="7"/>
  <c r="L80" i="7"/>
  <c r="K80" i="7"/>
  <c r="J80" i="7"/>
  <c r="I80" i="7"/>
  <c r="H80" i="7"/>
  <c r="G80" i="7"/>
  <c r="L79" i="7"/>
  <c r="K79" i="7"/>
  <c r="J79" i="7"/>
  <c r="I79" i="7"/>
  <c r="H79" i="7"/>
  <c r="G79" i="7"/>
  <c r="L78" i="7"/>
  <c r="K78" i="7"/>
  <c r="J78" i="7"/>
  <c r="I78" i="7"/>
  <c r="H78" i="7"/>
  <c r="G78" i="7"/>
  <c r="L77" i="7"/>
  <c r="K77" i="7"/>
  <c r="J77" i="7"/>
  <c r="I77" i="7"/>
  <c r="H77" i="7"/>
  <c r="G77" i="7"/>
  <c r="L76" i="7"/>
  <c r="K76" i="7"/>
  <c r="J76" i="7"/>
  <c r="I76" i="7"/>
  <c r="H76" i="7"/>
  <c r="G76" i="7"/>
  <c r="L75" i="7"/>
  <c r="K75" i="7"/>
  <c r="J75" i="7"/>
  <c r="I75" i="7"/>
  <c r="H75" i="7"/>
  <c r="G75" i="7"/>
  <c r="L74" i="7"/>
  <c r="K74" i="7"/>
  <c r="J74" i="7"/>
  <c r="I74" i="7"/>
  <c r="H74" i="7"/>
  <c r="G74" i="7"/>
  <c r="L73" i="7"/>
  <c r="K73" i="7"/>
  <c r="J73" i="7"/>
  <c r="I73" i="7"/>
  <c r="H73" i="7"/>
  <c r="G73" i="7"/>
  <c r="L72" i="7"/>
  <c r="K72" i="7"/>
  <c r="J72" i="7"/>
  <c r="I72" i="7"/>
  <c r="H72" i="7"/>
  <c r="G72" i="7"/>
  <c r="L71" i="7"/>
  <c r="K71" i="7"/>
  <c r="J71" i="7"/>
  <c r="I71" i="7"/>
  <c r="H71" i="7"/>
  <c r="G71" i="7"/>
  <c r="L70" i="7"/>
  <c r="K70" i="7"/>
  <c r="J70" i="7"/>
  <c r="I70" i="7"/>
  <c r="H70" i="7"/>
  <c r="G70" i="7"/>
  <c r="L69" i="7"/>
  <c r="K69" i="7"/>
  <c r="J69" i="7"/>
  <c r="I69" i="7"/>
  <c r="H69" i="7"/>
  <c r="G69" i="7"/>
  <c r="L68" i="7"/>
  <c r="K68" i="7"/>
  <c r="J68" i="7"/>
  <c r="I68" i="7"/>
  <c r="H68" i="7"/>
  <c r="G68" i="7"/>
  <c r="L67" i="7"/>
  <c r="K67" i="7"/>
  <c r="J67" i="7"/>
  <c r="I67" i="7"/>
  <c r="H67" i="7"/>
  <c r="G67" i="7"/>
  <c r="L66" i="7"/>
  <c r="K66" i="7"/>
  <c r="J66" i="7"/>
  <c r="I66" i="7"/>
  <c r="H66" i="7"/>
  <c r="G66" i="7"/>
  <c r="L65" i="7"/>
  <c r="K65" i="7"/>
  <c r="J65" i="7"/>
  <c r="I65" i="7"/>
  <c r="H65" i="7"/>
  <c r="G65" i="7"/>
  <c r="L64" i="7"/>
  <c r="K64" i="7"/>
  <c r="J64" i="7"/>
  <c r="I64" i="7"/>
  <c r="H64" i="7"/>
  <c r="G64" i="7"/>
  <c r="L63" i="7"/>
  <c r="K63" i="7"/>
  <c r="J63" i="7"/>
  <c r="I63" i="7"/>
  <c r="H63" i="7"/>
  <c r="G63" i="7"/>
  <c r="L62" i="7"/>
  <c r="K62" i="7"/>
  <c r="J62" i="7"/>
  <c r="I62" i="7"/>
  <c r="H62" i="7"/>
  <c r="G62" i="7"/>
  <c r="L61" i="7"/>
  <c r="K61" i="7"/>
  <c r="J61" i="7"/>
  <c r="I61" i="7"/>
  <c r="H61" i="7"/>
  <c r="G61" i="7"/>
  <c r="L60" i="7"/>
  <c r="K60" i="7"/>
  <c r="J60" i="7"/>
  <c r="I60" i="7"/>
  <c r="H60" i="7"/>
  <c r="G60" i="7"/>
  <c r="L59" i="7"/>
  <c r="K59" i="7"/>
  <c r="J59" i="7"/>
  <c r="I59" i="7"/>
  <c r="H59" i="7"/>
  <c r="G59" i="7"/>
  <c r="L58" i="7"/>
  <c r="K58" i="7"/>
  <c r="J58" i="7"/>
  <c r="I58" i="7"/>
  <c r="H58" i="7"/>
  <c r="G58" i="7"/>
  <c r="L57" i="7"/>
  <c r="K57" i="7"/>
  <c r="J57" i="7"/>
  <c r="I57" i="7"/>
  <c r="H57" i="7"/>
  <c r="G57" i="7"/>
  <c r="L56" i="7"/>
  <c r="K56" i="7"/>
  <c r="J56" i="7"/>
  <c r="I56" i="7"/>
  <c r="H56" i="7"/>
  <c r="G56" i="7"/>
  <c r="L55" i="7"/>
  <c r="K55" i="7"/>
  <c r="J55" i="7"/>
  <c r="I55" i="7"/>
  <c r="H55" i="7"/>
  <c r="G55" i="7"/>
  <c r="L54" i="7"/>
  <c r="K54" i="7"/>
  <c r="J54" i="7"/>
  <c r="I54" i="7"/>
  <c r="H54" i="7"/>
  <c r="G54" i="7"/>
  <c r="L53" i="7"/>
  <c r="K53" i="7"/>
  <c r="J53" i="7"/>
  <c r="I53" i="7"/>
  <c r="H53" i="7"/>
  <c r="G53" i="7"/>
  <c r="L52" i="7"/>
  <c r="K52" i="7"/>
  <c r="J52" i="7"/>
  <c r="I52" i="7"/>
  <c r="H52" i="7"/>
  <c r="G52" i="7"/>
  <c r="L51" i="7"/>
  <c r="K51" i="7"/>
  <c r="J51" i="7"/>
  <c r="I51" i="7"/>
  <c r="H51" i="7"/>
  <c r="G51" i="7"/>
  <c r="L50" i="7"/>
  <c r="K50" i="7"/>
  <c r="J50" i="7"/>
  <c r="I50" i="7"/>
  <c r="H50" i="7"/>
  <c r="G50" i="7"/>
  <c r="L49" i="7"/>
  <c r="K49" i="7"/>
  <c r="J49" i="7"/>
  <c r="I49" i="7"/>
  <c r="H49" i="7"/>
  <c r="G49" i="7"/>
  <c r="L48" i="7"/>
  <c r="K48" i="7"/>
  <c r="J48" i="7"/>
  <c r="I48" i="7"/>
  <c r="H48" i="7"/>
  <c r="G48" i="7"/>
  <c r="L47" i="7"/>
  <c r="K47" i="7"/>
  <c r="J47" i="7"/>
  <c r="I47" i="7"/>
  <c r="H47" i="7"/>
  <c r="G47" i="7"/>
  <c r="L46" i="7"/>
  <c r="K46" i="7"/>
  <c r="J46" i="7"/>
  <c r="I46" i="7"/>
  <c r="H46" i="7"/>
  <c r="G46" i="7"/>
  <c r="L45" i="7"/>
  <c r="K45" i="7"/>
  <c r="J45" i="7"/>
  <c r="I45" i="7"/>
  <c r="H45" i="7"/>
  <c r="G45" i="7"/>
  <c r="L44" i="7"/>
  <c r="K44" i="7"/>
  <c r="J44" i="7"/>
  <c r="I44" i="7"/>
  <c r="H44" i="7"/>
  <c r="G44" i="7"/>
  <c r="L43" i="7"/>
  <c r="K43" i="7"/>
  <c r="J43" i="7"/>
  <c r="I43" i="7"/>
  <c r="H43" i="7"/>
  <c r="G43" i="7"/>
  <c r="L42" i="7"/>
  <c r="K42" i="7"/>
  <c r="J42" i="7"/>
  <c r="I42" i="7"/>
  <c r="H42" i="7"/>
  <c r="G42" i="7"/>
  <c r="L41" i="7"/>
  <c r="K41" i="7"/>
  <c r="J41" i="7"/>
  <c r="I41" i="7"/>
  <c r="H41" i="7"/>
  <c r="G41" i="7"/>
  <c r="L40" i="7"/>
  <c r="K40" i="7"/>
  <c r="J40" i="7"/>
  <c r="I40" i="7"/>
  <c r="H40" i="7"/>
  <c r="G40" i="7"/>
  <c r="L39" i="7"/>
  <c r="K39" i="7"/>
  <c r="J39" i="7"/>
  <c r="I39" i="7"/>
  <c r="H39" i="7"/>
  <c r="G39" i="7"/>
  <c r="L38" i="7"/>
  <c r="K38" i="7"/>
  <c r="J38" i="7"/>
  <c r="I38" i="7"/>
  <c r="H38" i="7"/>
  <c r="G38" i="7"/>
  <c r="L37" i="7"/>
  <c r="K37" i="7"/>
  <c r="J37" i="7"/>
  <c r="I37" i="7"/>
  <c r="H37" i="7"/>
  <c r="G37" i="7"/>
  <c r="L36" i="7"/>
  <c r="K36" i="7"/>
  <c r="J36" i="7"/>
  <c r="I36" i="7"/>
  <c r="H36" i="7"/>
  <c r="G36" i="7"/>
  <c r="L35" i="7"/>
  <c r="K35" i="7"/>
  <c r="J35" i="7"/>
  <c r="I35" i="7"/>
  <c r="H35" i="7"/>
  <c r="G35" i="7"/>
  <c r="L34" i="7"/>
  <c r="K34" i="7"/>
  <c r="J34" i="7"/>
  <c r="I34" i="7"/>
  <c r="H34" i="7"/>
  <c r="G34" i="7"/>
  <c r="L33" i="7"/>
  <c r="K33" i="7"/>
  <c r="J33" i="7"/>
  <c r="I33" i="7"/>
  <c r="H33" i="7"/>
  <c r="G33" i="7"/>
  <c r="L32" i="7"/>
  <c r="K32" i="7"/>
  <c r="J32" i="7"/>
  <c r="I32" i="7"/>
  <c r="H32" i="7"/>
  <c r="G32" i="7"/>
  <c r="L31" i="7"/>
  <c r="K31" i="7"/>
  <c r="J31" i="7"/>
  <c r="I31" i="7"/>
  <c r="H31" i="7"/>
  <c r="G31" i="7"/>
  <c r="L30" i="7"/>
  <c r="K30" i="7"/>
  <c r="J30" i="7"/>
  <c r="I30" i="7"/>
  <c r="H30" i="7"/>
  <c r="G30" i="7"/>
  <c r="L29" i="7"/>
  <c r="K29" i="7"/>
  <c r="J29" i="7"/>
  <c r="I29" i="7"/>
  <c r="H29" i="7"/>
  <c r="G29" i="7"/>
  <c r="L28" i="7"/>
  <c r="K28" i="7"/>
  <c r="J28" i="7"/>
  <c r="I28" i="7"/>
  <c r="H28" i="7"/>
  <c r="G28" i="7"/>
  <c r="L27" i="7"/>
  <c r="K27" i="7"/>
  <c r="J27" i="7"/>
  <c r="I27" i="7"/>
  <c r="H27" i="7"/>
  <c r="G27" i="7"/>
  <c r="L26" i="7"/>
  <c r="K26" i="7"/>
  <c r="J26" i="7"/>
  <c r="I26" i="7"/>
  <c r="H26" i="7"/>
  <c r="G26" i="7"/>
  <c r="L25" i="7"/>
  <c r="K25" i="7"/>
  <c r="J25" i="7"/>
  <c r="I25" i="7"/>
  <c r="H25" i="7"/>
  <c r="G25" i="7"/>
  <c r="L24" i="7"/>
  <c r="K24" i="7"/>
  <c r="J24" i="7"/>
  <c r="I24" i="7"/>
  <c r="H24" i="7"/>
  <c r="G24" i="7"/>
  <c r="L23" i="7"/>
  <c r="K23" i="7"/>
  <c r="J23" i="7"/>
  <c r="I23" i="7"/>
  <c r="H23" i="7"/>
  <c r="G23" i="7"/>
  <c r="L22" i="7"/>
  <c r="K22" i="7"/>
  <c r="J22" i="7"/>
  <c r="I22" i="7"/>
  <c r="H22" i="7"/>
  <c r="G22" i="7"/>
  <c r="L21" i="7"/>
  <c r="K21" i="7"/>
  <c r="J21" i="7"/>
  <c r="I21" i="7"/>
  <c r="H21" i="7"/>
  <c r="G21" i="7"/>
  <c r="L20" i="7"/>
  <c r="K20" i="7"/>
  <c r="J20" i="7"/>
  <c r="I20" i="7"/>
  <c r="H20" i="7"/>
  <c r="G20" i="7"/>
  <c r="L19" i="7"/>
  <c r="K19" i="7"/>
  <c r="J19" i="7"/>
  <c r="I19" i="7"/>
  <c r="H19" i="7"/>
  <c r="G19" i="7"/>
  <c r="L18" i="7"/>
  <c r="K18" i="7"/>
  <c r="J18" i="7"/>
  <c r="I18" i="7"/>
  <c r="H18" i="7"/>
  <c r="G18" i="7"/>
  <c r="L17" i="7"/>
  <c r="K17" i="7"/>
  <c r="J17" i="7"/>
  <c r="I17" i="7"/>
  <c r="H17" i="7"/>
  <c r="G17" i="7"/>
  <c r="L16" i="7"/>
  <c r="K16" i="7"/>
  <c r="J16" i="7"/>
  <c r="I16" i="7"/>
  <c r="H16" i="7"/>
  <c r="G16" i="7"/>
  <c r="L15" i="7"/>
  <c r="K15" i="7"/>
  <c r="J15" i="7"/>
  <c r="I15" i="7"/>
  <c r="H15" i="7"/>
  <c r="G15" i="7"/>
  <c r="L14" i="7"/>
  <c r="K14" i="7"/>
  <c r="J14" i="7"/>
  <c r="I14" i="7"/>
  <c r="H14" i="7"/>
  <c r="G14" i="7"/>
  <c r="L13" i="7"/>
  <c r="K13" i="7"/>
  <c r="J13" i="7"/>
  <c r="I13" i="7"/>
  <c r="H13" i="7"/>
  <c r="G13" i="7"/>
  <c r="L12" i="7"/>
  <c r="K12" i="7"/>
  <c r="J12" i="7"/>
  <c r="I12" i="7"/>
  <c r="H12" i="7"/>
  <c r="G12" i="7"/>
  <c r="L11" i="7"/>
  <c r="K11" i="7"/>
  <c r="J11" i="7"/>
  <c r="I11" i="7"/>
  <c r="H11" i="7"/>
  <c r="G11" i="7"/>
  <c r="L10" i="7"/>
  <c r="K10" i="7"/>
  <c r="J10" i="7"/>
  <c r="I10" i="7"/>
  <c r="H10" i="7"/>
  <c r="G10" i="7"/>
  <c r="L9" i="7"/>
  <c r="K9" i="7"/>
  <c r="J9" i="7"/>
  <c r="I9" i="7"/>
  <c r="H9" i="7"/>
  <c r="G9" i="7"/>
  <c r="L8" i="7"/>
  <c r="K8" i="7"/>
  <c r="J8" i="7"/>
  <c r="I8" i="7"/>
  <c r="H8" i="7"/>
  <c r="G8" i="7"/>
  <c r="L7" i="7"/>
  <c r="K7" i="7"/>
  <c r="J7" i="7"/>
  <c r="I7" i="7"/>
  <c r="H7" i="7"/>
  <c r="G7" i="7"/>
  <c r="L6" i="7"/>
  <c r="K6" i="7"/>
  <c r="J6" i="7"/>
  <c r="I6" i="7"/>
  <c r="H6" i="7"/>
  <c r="G6" i="7"/>
  <c r="L5" i="7"/>
  <c r="K5" i="7"/>
  <c r="J5" i="7"/>
  <c r="I5" i="7"/>
  <c r="H5" i="7"/>
  <c r="G5" i="7"/>
  <c r="L4" i="7"/>
  <c r="K4" i="7"/>
  <c r="J4" i="7"/>
  <c r="I4" i="7"/>
  <c r="H4" i="7"/>
  <c r="G4" i="7"/>
  <c r="L3" i="7"/>
  <c r="K3" i="7"/>
  <c r="J3" i="7"/>
  <c r="I3" i="7"/>
  <c r="H3" i="7"/>
  <c r="G3" i="7"/>
  <c r="L2" i="7"/>
  <c r="K2" i="7"/>
  <c r="J2" i="7"/>
  <c r="I2" i="7"/>
  <c r="H2" i="7"/>
  <c r="G2" i="7"/>
  <c r="Y601" i="6"/>
  <c r="V601" i="6"/>
  <c r="S601" i="6"/>
  <c r="R601" i="6"/>
  <c r="Q601" i="6"/>
  <c r="P601" i="6"/>
  <c r="O601" i="6"/>
  <c r="N601" i="6"/>
  <c r="Y600" i="6"/>
  <c r="V600" i="6"/>
  <c r="S600" i="6"/>
  <c r="Q600" i="6"/>
  <c r="R600" i="6" s="1"/>
  <c r="M340" i="7" s="1"/>
  <c r="P600" i="6"/>
  <c r="O600" i="6"/>
  <c r="N600" i="6"/>
  <c r="Y599" i="6"/>
  <c r="V599" i="6"/>
  <c r="S599" i="6"/>
  <c r="Q599" i="6"/>
  <c r="R599" i="6" s="1"/>
  <c r="P599" i="6"/>
  <c r="O599" i="6"/>
  <c r="N599" i="6"/>
  <c r="Y598" i="6"/>
  <c r="V598" i="6"/>
  <c r="S598" i="6"/>
  <c r="Q598" i="6"/>
  <c r="R598" i="6" s="1"/>
  <c r="P598" i="6"/>
  <c r="O598" i="6"/>
  <c r="N598" i="6"/>
  <c r="Y597" i="6"/>
  <c r="V597" i="6"/>
  <c r="S597" i="6"/>
  <c r="Q597" i="6"/>
  <c r="R597" i="6" s="1"/>
  <c r="P597" i="6"/>
  <c r="O597" i="6"/>
  <c r="N597" i="6"/>
  <c r="Y596" i="6"/>
  <c r="V596" i="6"/>
  <c r="S596" i="6"/>
  <c r="Q596" i="6"/>
  <c r="R596" i="6" s="1"/>
  <c r="M70" i="7" s="1"/>
  <c r="P596" i="6"/>
  <c r="O596" i="6"/>
  <c r="N596" i="6"/>
  <c r="Y595" i="6"/>
  <c r="V595" i="6"/>
  <c r="S595" i="6"/>
  <c r="R595" i="6"/>
  <c r="M325" i="7" s="1"/>
  <c r="Q595" i="6"/>
  <c r="P595" i="6"/>
  <c r="O595" i="6"/>
  <c r="N595" i="6"/>
  <c r="Y594" i="6"/>
  <c r="V594" i="6"/>
  <c r="S594" i="6"/>
  <c r="Q594" i="6"/>
  <c r="R594" i="6" s="1"/>
  <c r="P594" i="6"/>
  <c r="O594" i="6"/>
  <c r="N594" i="6"/>
  <c r="Y593" i="6"/>
  <c r="V593" i="6"/>
  <c r="S593" i="6"/>
  <c r="R593" i="6"/>
  <c r="Q593" i="6"/>
  <c r="P593" i="6"/>
  <c r="O593" i="6"/>
  <c r="N593" i="6"/>
  <c r="Y592" i="6"/>
  <c r="V592" i="6"/>
  <c r="S592" i="6"/>
  <c r="Q592" i="6"/>
  <c r="R592" i="6" s="1"/>
  <c r="P592" i="6"/>
  <c r="O592" i="6"/>
  <c r="N592" i="6"/>
  <c r="Y591" i="6"/>
  <c r="V591" i="6"/>
  <c r="S591" i="6"/>
  <c r="Q591" i="6"/>
  <c r="R591" i="6" s="1"/>
  <c r="P591" i="6"/>
  <c r="O591" i="6"/>
  <c r="N591" i="6"/>
  <c r="Y590" i="6"/>
  <c r="V590" i="6"/>
  <c r="S590" i="6"/>
  <c r="Q590" i="6"/>
  <c r="R590" i="6" s="1"/>
  <c r="M350" i="7" s="1"/>
  <c r="P590" i="6"/>
  <c r="O590" i="6"/>
  <c r="N590" i="6"/>
  <c r="Y589" i="6"/>
  <c r="V589" i="6"/>
  <c r="S589" i="6"/>
  <c r="Q589" i="6"/>
  <c r="R589" i="6" s="1"/>
  <c r="M295" i="7" s="1"/>
  <c r="P589" i="6"/>
  <c r="O589" i="6"/>
  <c r="N589" i="6"/>
  <c r="Y588" i="6"/>
  <c r="V588" i="6"/>
  <c r="S588" i="6"/>
  <c r="Q588" i="6"/>
  <c r="R588" i="6" s="1"/>
  <c r="M280" i="7" s="1"/>
  <c r="P588" i="6"/>
  <c r="O588" i="6"/>
  <c r="N588" i="6"/>
  <c r="Y587" i="6"/>
  <c r="V587" i="6"/>
  <c r="S587" i="6"/>
  <c r="R587" i="6"/>
  <c r="M251" i="7" s="1"/>
  <c r="Q587" i="6"/>
  <c r="P587" i="6"/>
  <c r="O587" i="6"/>
  <c r="N587" i="6"/>
  <c r="Y586" i="6"/>
  <c r="V586" i="6"/>
  <c r="S586" i="6"/>
  <c r="Q586" i="6"/>
  <c r="R586" i="6" s="1"/>
  <c r="P586" i="6"/>
  <c r="O586" i="6"/>
  <c r="N586" i="6"/>
  <c r="Y585" i="6"/>
  <c r="V585" i="6"/>
  <c r="S585" i="6"/>
  <c r="Q585" i="6"/>
  <c r="R585" i="6" s="1"/>
  <c r="P585" i="6"/>
  <c r="O585" i="6"/>
  <c r="N585" i="6"/>
  <c r="Y584" i="6"/>
  <c r="V584" i="6"/>
  <c r="S584" i="6"/>
  <c r="Q584" i="6"/>
  <c r="R584" i="6" s="1"/>
  <c r="P584" i="6"/>
  <c r="O584" i="6"/>
  <c r="N584" i="6"/>
  <c r="Y583" i="6"/>
  <c r="V583" i="6"/>
  <c r="S583" i="6"/>
  <c r="R583" i="6"/>
  <c r="Q583" i="6"/>
  <c r="P583" i="6"/>
  <c r="O583" i="6"/>
  <c r="N583" i="6"/>
  <c r="Y582" i="6"/>
  <c r="V582" i="6"/>
  <c r="S582" i="6"/>
  <c r="Q582" i="6"/>
  <c r="R582" i="6" s="1"/>
  <c r="P582" i="6"/>
  <c r="O582" i="6"/>
  <c r="N582" i="6"/>
  <c r="Y581" i="6"/>
  <c r="V581" i="6"/>
  <c r="S581" i="6"/>
  <c r="Q581" i="6"/>
  <c r="R581" i="6" s="1"/>
  <c r="P581" i="6"/>
  <c r="O581" i="6"/>
  <c r="N581" i="6"/>
  <c r="Y580" i="6"/>
  <c r="V580" i="6"/>
  <c r="S580" i="6"/>
  <c r="Q580" i="6"/>
  <c r="R580" i="6" s="1"/>
  <c r="P580" i="6"/>
  <c r="O580" i="6"/>
  <c r="N580" i="6"/>
  <c r="Y579" i="6"/>
  <c r="V579" i="6"/>
  <c r="S579" i="6"/>
  <c r="R579" i="6"/>
  <c r="Q579" i="6"/>
  <c r="P579" i="6"/>
  <c r="O579" i="6"/>
  <c r="N579" i="6"/>
  <c r="Y578" i="6"/>
  <c r="V578" i="6"/>
  <c r="S578" i="6"/>
  <c r="Q578" i="6"/>
  <c r="R578" i="6" s="1"/>
  <c r="M150" i="7" s="1"/>
  <c r="P578" i="6"/>
  <c r="O578" i="6"/>
  <c r="N578" i="6"/>
  <c r="Y577" i="6"/>
  <c r="V577" i="6"/>
  <c r="S577" i="6"/>
  <c r="R577" i="6"/>
  <c r="Q577" i="6"/>
  <c r="P577" i="6"/>
  <c r="O577" i="6"/>
  <c r="N577" i="6"/>
  <c r="Y576" i="6"/>
  <c r="V576" i="6"/>
  <c r="S576" i="6"/>
  <c r="Q576" i="6"/>
  <c r="R576" i="6" s="1"/>
  <c r="P576" i="6"/>
  <c r="O576" i="6"/>
  <c r="N576" i="6"/>
  <c r="Y575" i="6"/>
  <c r="V575" i="6"/>
  <c r="S575" i="6"/>
  <c r="Q575" i="6"/>
  <c r="R575" i="6" s="1"/>
  <c r="M88" i="7" s="1"/>
  <c r="P575" i="6"/>
  <c r="O575" i="6"/>
  <c r="N575" i="6"/>
  <c r="Y574" i="6"/>
  <c r="V574" i="6"/>
  <c r="S574" i="6"/>
  <c r="Q574" i="6"/>
  <c r="R574" i="6" s="1"/>
  <c r="P574" i="6"/>
  <c r="O574" i="6"/>
  <c r="N574" i="6"/>
  <c r="Y573" i="6"/>
  <c r="V573" i="6"/>
  <c r="S573" i="6"/>
  <c r="Q573" i="6"/>
  <c r="R573" i="6" s="1"/>
  <c r="P573" i="6"/>
  <c r="O573" i="6"/>
  <c r="N573" i="6"/>
  <c r="Y572" i="6"/>
  <c r="V572" i="6"/>
  <c r="S572" i="6"/>
  <c r="Q572" i="6"/>
  <c r="R572" i="6" s="1"/>
  <c r="M310" i="7" s="1"/>
  <c r="P572" i="6"/>
  <c r="O572" i="6"/>
  <c r="N572" i="6"/>
  <c r="Y571" i="6"/>
  <c r="V571" i="6"/>
  <c r="S571" i="6"/>
  <c r="Q571" i="6"/>
  <c r="R571" i="6" s="1"/>
  <c r="P571" i="6"/>
  <c r="O571" i="6"/>
  <c r="N571" i="6"/>
  <c r="Y570" i="6"/>
  <c r="V570" i="6"/>
  <c r="S570" i="6"/>
  <c r="Q570" i="6"/>
  <c r="R570" i="6" s="1"/>
  <c r="P570" i="6"/>
  <c r="O570" i="6"/>
  <c r="N570" i="6"/>
  <c r="Y569" i="6"/>
  <c r="V569" i="6"/>
  <c r="S569" i="6"/>
  <c r="Q569" i="6"/>
  <c r="R569" i="6" s="1"/>
  <c r="M237" i="7" s="1"/>
  <c r="P569" i="6"/>
  <c r="O569" i="6"/>
  <c r="N569" i="6"/>
  <c r="Y568" i="6"/>
  <c r="V568" i="6"/>
  <c r="S568" i="6"/>
  <c r="R568" i="6"/>
  <c r="Q568" i="6"/>
  <c r="P568" i="6"/>
  <c r="O568" i="6"/>
  <c r="N568" i="6"/>
  <c r="Y567" i="6"/>
  <c r="V567" i="6"/>
  <c r="S567" i="6"/>
  <c r="Q567" i="6"/>
  <c r="R567" i="6" s="1"/>
  <c r="P567" i="6"/>
  <c r="O567" i="6"/>
  <c r="N567" i="6"/>
  <c r="Y566" i="6"/>
  <c r="V566" i="6"/>
  <c r="S566" i="6"/>
  <c r="Q566" i="6"/>
  <c r="R566" i="6" s="1"/>
  <c r="P566" i="6"/>
  <c r="O566" i="6"/>
  <c r="N566" i="6"/>
  <c r="Y565" i="6"/>
  <c r="V565" i="6"/>
  <c r="S565" i="6"/>
  <c r="Q565" i="6"/>
  <c r="R565" i="6" s="1"/>
  <c r="M199" i="7" s="1"/>
  <c r="P565" i="6"/>
  <c r="O565" i="6"/>
  <c r="N565" i="6"/>
  <c r="Y564" i="6"/>
  <c r="V564" i="6"/>
  <c r="S564" i="6"/>
  <c r="Q564" i="6"/>
  <c r="R564" i="6" s="1"/>
  <c r="M39" i="7" s="1"/>
  <c r="P564" i="6"/>
  <c r="O564" i="6"/>
  <c r="N564" i="6"/>
  <c r="Y563" i="6"/>
  <c r="V563" i="6"/>
  <c r="S563" i="6"/>
  <c r="Q563" i="6"/>
  <c r="R563" i="6" s="1"/>
  <c r="P563" i="6"/>
  <c r="O563" i="6"/>
  <c r="N563" i="6"/>
  <c r="Y562" i="6"/>
  <c r="V562" i="6"/>
  <c r="S562" i="6"/>
  <c r="Q562" i="6"/>
  <c r="R562" i="6" s="1"/>
  <c r="M45" i="7" s="1"/>
  <c r="P562" i="6"/>
  <c r="O562" i="6"/>
  <c r="N562" i="6"/>
  <c r="Y561" i="6"/>
  <c r="V561" i="6"/>
  <c r="S561" i="6"/>
  <c r="Q561" i="6"/>
  <c r="R561" i="6" s="1"/>
  <c r="P561" i="6"/>
  <c r="O561" i="6"/>
  <c r="N561" i="6"/>
  <c r="Y560" i="6"/>
  <c r="V560" i="6"/>
  <c r="S560" i="6"/>
  <c r="R560" i="6"/>
  <c r="M269" i="7" s="1"/>
  <c r="Q560" i="6"/>
  <c r="P560" i="6"/>
  <c r="O560" i="6"/>
  <c r="N560" i="6"/>
  <c r="Y559" i="6"/>
  <c r="V559" i="6"/>
  <c r="S559" i="6"/>
  <c r="Q559" i="6"/>
  <c r="R559" i="6" s="1"/>
  <c r="P559" i="6"/>
  <c r="O559" i="6"/>
  <c r="N559" i="6"/>
  <c r="Y558" i="6"/>
  <c r="V558" i="6"/>
  <c r="S558" i="6"/>
  <c r="Q558" i="6"/>
  <c r="R558" i="6" s="1"/>
  <c r="P558" i="6"/>
  <c r="O558" i="6"/>
  <c r="N558" i="6"/>
  <c r="Y557" i="6"/>
  <c r="V557" i="6"/>
  <c r="S557" i="6"/>
  <c r="Q557" i="6"/>
  <c r="R557" i="6" s="1"/>
  <c r="M169" i="7" s="1"/>
  <c r="P557" i="6"/>
  <c r="O557" i="6"/>
  <c r="N557" i="6"/>
  <c r="Y556" i="6"/>
  <c r="V556" i="6"/>
  <c r="S556" i="6"/>
  <c r="Q556" i="6"/>
  <c r="R556" i="6" s="1"/>
  <c r="P556" i="6"/>
  <c r="O556" i="6"/>
  <c r="N556" i="6"/>
  <c r="Y555" i="6"/>
  <c r="V555" i="6"/>
  <c r="S555" i="6"/>
  <c r="Q555" i="6"/>
  <c r="R555" i="6" s="1"/>
  <c r="M312" i="7" s="1"/>
  <c r="P555" i="6"/>
  <c r="O555" i="6"/>
  <c r="N555" i="6"/>
  <c r="Y554" i="6"/>
  <c r="V554" i="6"/>
  <c r="S554" i="6"/>
  <c r="Q554" i="6"/>
  <c r="R554" i="6" s="1"/>
  <c r="M344" i="7" s="1"/>
  <c r="P554" i="6"/>
  <c r="O554" i="6"/>
  <c r="N554" i="6"/>
  <c r="Y553" i="6"/>
  <c r="V553" i="6"/>
  <c r="S553" i="6"/>
  <c r="Q553" i="6"/>
  <c r="R553" i="6" s="1"/>
  <c r="M172" i="7" s="1"/>
  <c r="P553" i="6"/>
  <c r="O553" i="6"/>
  <c r="N553" i="6"/>
  <c r="Y552" i="6"/>
  <c r="V552" i="6"/>
  <c r="S552" i="6"/>
  <c r="R552" i="6"/>
  <c r="Q552" i="6"/>
  <c r="P552" i="6"/>
  <c r="O552" i="6"/>
  <c r="N552" i="6"/>
  <c r="Y551" i="6"/>
  <c r="V551" i="6"/>
  <c r="S551" i="6"/>
  <c r="Q551" i="6"/>
  <c r="R551" i="6" s="1"/>
  <c r="P551" i="6"/>
  <c r="O551" i="6"/>
  <c r="N551" i="6"/>
  <c r="Y550" i="6"/>
  <c r="V550" i="6"/>
  <c r="S550" i="6"/>
  <c r="Q550" i="6"/>
  <c r="R550" i="6" s="1"/>
  <c r="P550" i="6"/>
  <c r="O550" i="6"/>
  <c r="N550" i="6"/>
  <c r="Y549" i="6"/>
  <c r="V549" i="6"/>
  <c r="S549" i="6"/>
  <c r="Q549" i="6"/>
  <c r="R549" i="6" s="1"/>
  <c r="P549" i="6"/>
  <c r="O549" i="6"/>
  <c r="N549" i="6"/>
  <c r="Y548" i="6"/>
  <c r="V548" i="6"/>
  <c r="S548" i="6"/>
  <c r="Q548" i="6"/>
  <c r="R548" i="6" s="1"/>
  <c r="M56" i="7" s="1"/>
  <c r="P548" i="6"/>
  <c r="O548" i="6"/>
  <c r="N548" i="6"/>
  <c r="Y547" i="6"/>
  <c r="V547" i="6"/>
  <c r="S547" i="6"/>
  <c r="Q547" i="6"/>
  <c r="R547" i="6" s="1"/>
  <c r="P547" i="6"/>
  <c r="O547" i="6"/>
  <c r="N547" i="6"/>
  <c r="Y546" i="6"/>
  <c r="V546" i="6"/>
  <c r="S546" i="6"/>
  <c r="R546" i="6"/>
  <c r="M44" i="7" s="1"/>
  <c r="Q546" i="6"/>
  <c r="P546" i="6"/>
  <c r="O546" i="6"/>
  <c r="N546" i="6"/>
  <c r="Y545" i="6"/>
  <c r="V545" i="6"/>
  <c r="S545" i="6"/>
  <c r="Q545" i="6"/>
  <c r="R545" i="6" s="1"/>
  <c r="P545" i="6"/>
  <c r="O545" i="6"/>
  <c r="N545" i="6"/>
  <c r="Y544" i="6"/>
  <c r="V544" i="6"/>
  <c r="S544" i="6"/>
  <c r="Q544" i="6"/>
  <c r="R544" i="6" s="1"/>
  <c r="P544" i="6"/>
  <c r="O544" i="6"/>
  <c r="N544" i="6"/>
  <c r="Y543" i="6"/>
  <c r="V543" i="6"/>
  <c r="S543" i="6"/>
  <c r="Q543" i="6"/>
  <c r="R543" i="6" s="1"/>
  <c r="P543" i="6"/>
  <c r="O543" i="6"/>
  <c r="N543" i="6"/>
  <c r="Y542" i="6"/>
  <c r="V542" i="6"/>
  <c r="S542" i="6"/>
  <c r="Q542" i="6"/>
  <c r="R542" i="6" s="1"/>
  <c r="P542" i="6"/>
  <c r="O542" i="6"/>
  <c r="N542" i="6"/>
  <c r="Y541" i="6"/>
  <c r="V541" i="6"/>
  <c r="S541" i="6"/>
  <c r="Q541" i="6"/>
  <c r="R541" i="6" s="1"/>
  <c r="P541" i="6"/>
  <c r="O541" i="6"/>
  <c r="N541" i="6"/>
  <c r="Y540" i="6"/>
  <c r="V540" i="6"/>
  <c r="S540" i="6"/>
  <c r="Q540" i="6"/>
  <c r="R540" i="6" s="1"/>
  <c r="M89" i="7" s="1"/>
  <c r="P540" i="6"/>
  <c r="O540" i="6"/>
  <c r="N540" i="6"/>
  <c r="Y539" i="6"/>
  <c r="V539" i="6"/>
  <c r="S539" i="6"/>
  <c r="Q539" i="6"/>
  <c r="R539" i="6" s="1"/>
  <c r="P539" i="6"/>
  <c r="O539" i="6"/>
  <c r="N539" i="6"/>
  <c r="Y538" i="6"/>
  <c r="V538" i="6"/>
  <c r="S538" i="6"/>
  <c r="R538" i="6"/>
  <c r="Q538" i="6"/>
  <c r="P538" i="6"/>
  <c r="O538" i="6"/>
  <c r="N538" i="6"/>
  <c r="Y537" i="6"/>
  <c r="V537" i="6"/>
  <c r="S537" i="6"/>
  <c r="Q537" i="6"/>
  <c r="R537" i="6" s="1"/>
  <c r="M283" i="7" s="1"/>
  <c r="P537" i="6"/>
  <c r="O537" i="6"/>
  <c r="N537" i="6"/>
  <c r="Y536" i="6"/>
  <c r="V536" i="6"/>
  <c r="S536" i="6"/>
  <c r="Q536" i="6"/>
  <c r="R536" i="6" s="1"/>
  <c r="P536" i="6"/>
  <c r="O536" i="6"/>
  <c r="N536" i="6"/>
  <c r="Y535" i="6"/>
  <c r="V535" i="6"/>
  <c r="S535" i="6"/>
  <c r="Q535" i="6"/>
  <c r="R535" i="6" s="1"/>
  <c r="P535" i="6"/>
  <c r="O535" i="6"/>
  <c r="N535" i="6"/>
  <c r="Y534" i="6"/>
  <c r="V534" i="6"/>
  <c r="S534" i="6"/>
  <c r="Q534" i="6"/>
  <c r="R534" i="6" s="1"/>
  <c r="P534" i="6"/>
  <c r="O534" i="6"/>
  <c r="N534" i="6"/>
  <c r="Y533" i="6"/>
  <c r="V533" i="6"/>
  <c r="S533" i="6"/>
  <c r="Q533" i="6"/>
  <c r="R533" i="6" s="1"/>
  <c r="M91" i="7" s="1"/>
  <c r="P533" i="6"/>
  <c r="O533" i="6"/>
  <c r="N533" i="6"/>
  <c r="Y532" i="6"/>
  <c r="V532" i="6"/>
  <c r="S532" i="6"/>
  <c r="Q532" i="6"/>
  <c r="R532" i="6" s="1"/>
  <c r="P532" i="6"/>
  <c r="O532" i="6"/>
  <c r="N532" i="6"/>
  <c r="Y531" i="6"/>
  <c r="V531" i="6"/>
  <c r="S531" i="6"/>
  <c r="Q531" i="6"/>
  <c r="R531" i="6" s="1"/>
  <c r="P531" i="6"/>
  <c r="O531" i="6"/>
  <c r="N531" i="6"/>
  <c r="Y530" i="6"/>
  <c r="V530" i="6"/>
  <c r="S530" i="6"/>
  <c r="Q530" i="6"/>
  <c r="R530" i="6" s="1"/>
  <c r="M32" i="7" s="1"/>
  <c r="P530" i="6"/>
  <c r="O530" i="6"/>
  <c r="N530" i="6"/>
  <c r="Y529" i="6"/>
  <c r="V529" i="6"/>
  <c r="S529" i="6"/>
  <c r="Q529" i="6"/>
  <c r="R529" i="6" s="1"/>
  <c r="P529" i="6"/>
  <c r="O529" i="6"/>
  <c r="N529" i="6"/>
  <c r="Y528" i="6"/>
  <c r="V528" i="6"/>
  <c r="S528" i="6"/>
  <c r="Q528" i="6"/>
  <c r="R528" i="6" s="1"/>
  <c r="P528" i="6"/>
  <c r="O528" i="6"/>
  <c r="N528" i="6"/>
  <c r="Y527" i="6"/>
  <c r="V527" i="6"/>
  <c r="S527" i="6"/>
  <c r="Q527" i="6"/>
  <c r="R527" i="6" s="1"/>
  <c r="P527" i="6"/>
  <c r="O527" i="6"/>
  <c r="N527" i="6"/>
  <c r="Y526" i="6"/>
  <c r="V526" i="6"/>
  <c r="S526" i="6"/>
  <c r="Q526" i="6"/>
  <c r="R526" i="6" s="1"/>
  <c r="M201" i="7" s="1"/>
  <c r="P526" i="6"/>
  <c r="O526" i="6"/>
  <c r="N526" i="6"/>
  <c r="Y525" i="6"/>
  <c r="V525" i="6"/>
  <c r="S525" i="6"/>
  <c r="Q525" i="6"/>
  <c r="R525" i="6" s="1"/>
  <c r="P525" i="6"/>
  <c r="O525" i="6"/>
  <c r="N525" i="6"/>
  <c r="Y524" i="6"/>
  <c r="V524" i="6"/>
  <c r="S524" i="6"/>
  <c r="R524" i="6"/>
  <c r="M259" i="7" s="1"/>
  <c r="Q524" i="6"/>
  <c r="P524" i="6"/>
  <c r="O524" i="6"/>
  <c r="N524" i="6"/>
  <c r="Y523" i="6"/>
  <c r="V523" i="6"/>
  <c r="S523" i="6"/>
  <c r="R523" i="6"/>
  <c r="Q523" i="6"/>
  <c r="P523" i="6"/>
  <c r="O523" i="6"/>
  <c r="N523" i="6"/>
  <c r="Y522" i="6"/>
  <c r="V522" i="6"/>
  <c r="S522" i="6"/>
  <c r="R522" i="6"/>
  <c r="Q522" i="6"/>
  <c r="P522" i="6"/>
  <c r="O522" i="6"/>
  <c r="N522" i="6"/>
  <c r="Y521" i="6"/>
  <c r="V521" i="6"/>
  <c r="S521" i="6"/>
  <c r="Q521" i="6"/>
  <c r="R521" i="6" s="1"/>
  <c r="P521" i="6"/>
  <c r="O521" i="6"/>
  <c r="N521" i="6"/>
  <c r="Y520" i="6"/>
  <c r="V520" i="6"/>
  <c r="S520" i="6"/>
  <c r="Q520" i="6"/>
  <c r="R520" i="6" s="1"/>
  <c r="P520" i="6"/>
  <c r="O520" i="6"/>
  <c r="N520" i="6"/>
  <c r="Y519" i="6"/>
  <c r="V519" i="6"/>
  <c r="S519" i="6"/>
  <c r="Q519" i="6"/>
  <c r="R519" i="6" s="1"/>
  <c r="M118" i="7" s="1"/>
  <c r="P519" i="6"/>
  <c r="O519" i="6"/>
  <c r="N519" i="6"/>
  <c r="Y518" i="6"/>
  <c r="V518" i="6"/>
  <c r="S518" i="6"/>
  <c r="Q518" i="6"/>
  <c r="R518" i="6" s="1"/>
  <c r="M55" i="7" s="1"/>
  <c r="P518" i="6"/>
  <c r="O518" i="6"/>
  <c r="N518" i="6"/>
  <c r="Y517" i="6"/>
  <c r="V517" i="6"/>
  <c r="S517" i="6"/>
  <c r="Q517" i="6"/>
  <c r="R517" i="6" s="1"/>
  <c r="M157" i="7" s="1"/>
  <c r="P517" i="6"/>
  <c r="O517" i="6"/>
  <c r="N517" i="6"/>
  <c r="Y516" i="6"/>
  <c r="V516" i="6"/>
  <c r="S516" i="6"/>
  <c r="Q516" i="6"/>
  <c r="R516" i="6" s="1"/>
  <c r="P516" i="6"/>
  <c r="O516" i="6"/>
  <c r="N516" i="6"/>
  <c r="Y515" i="6"/>
  <c r="V515" i="6"/>
  <c r="S515" i="6"/>
  <c r="Q515" i="6"/>
  <c r="R515" i="6" s="1"/>
  <c r="P515" i="6"/>
  <c r="O515" i="6"/>
  <c r="N515" i="6"/>
  <c r="Y514" i="6"/>
  <c r="V514" i="6"/>
  <c r="S514" i="6"/>
  <c r="Q514" i="6"/>
  <c r="R514" i="6" s="1"/>
  <c r="P514" i="6"/>
  <c r="O514" i="6"/>
  <c r="N514" i="6"/>
  <c r="Y513" i="6"/>
  <c r="V513" i="6"/>
  <c r="S513" i="6"/>
  <c r="Q513" i="6"/>
  <c r="R513" i="6" s="1"/>
  <c r="P513" i="6"/>
  <c r="O513" i="6"/>
  <c r="N513" i="6"/>
  <c r="Y512" i="6"/>
  <c r="V512" i="6"/>
  <c r="S512" i="6"/>
  <c r="Q512" i="6"/>
  <c r="R512" i="6" s="1"/>
  <c r="M5" i="7" s="1"/>
  <c r="P512" i="6"/>
  <c r="O512" i="6"/>
  <c r="N512" i="6"/>
  <c r="Y511" i="6"/>
  <c r="V511" i="6"/>
  <c r="S511" i="6"/>
  <c r="Q511" i="6"/>
  <c r="R511" i="6" s="1"/>
  <c r="P511" i="6"/>
  <c r="O511" i="6"/>
  <c r="N511" i="6"/>
  <c r="Y510" i="6"/>
  <c r="V510" i="6"/>
  <c r="S510" i="6"/>
  <c r="Q510" i="6"/>
  <c r="R510" i="6" s="1"/>
  <c r="P510" i="6"/>
  <c r="O510" i="6"/>
  <c r="N510" i="6"/>
  <c r="Y509" i="6"/>
  <c r="V509" i="6"/>
  <c r="S509" i="6"/>
  <c r="Q509" i="6"/>
  <c r="R509" i="6" s="1"/>
  <c r="M58" i="7" s="1"/>
  <c r="P509" i="6"/>
  <c r="O509" i="6"/>
  <c r="N509" i="6"/>
  <c r="Y508" i="6"/>
  <c r="V508" i="6"/>
  <c r="S508" i="6"/>
  <c r="R508" i="6"/>
  <c r="M53" i="7" s="1"/>
  <c r="Q508" i="6"/>
  <c r="P508" i="6"/>
  <c r="O508" i="6"/>
  <c r="N508" i="6"/>
  <c r="Y507" i="6"/>
  <c r="V507" i="6"/>
  <c r="S507" i="6"/>
  <c r="R507" i="6"/>
  <c r="M94" i="7" s="1"/>
  <c r="Q507" i="6"/>
  <c r="P507" i="6"/>
  <c r="O507" i="6"/>
  <c r="N507" i="6"/>
  <c r="Y506" i="6"/>
  <c r="V506" i="6"/>
  <c r="S506" i="6"/>
  <c r="R506" i="6"/>
  <c r="Q506" i="6"/>
  <c r="P506" i="6"/>
  <c r="O506" i="6"/>
  <c r="N506" i="6"/>
  <c r="Y505" i="6"/>
  <c r="V505" i="6"/>
  <c r="S505" i="6"/>
  <c r="Q505" i="6"/>
  <c r="R505" i="6" s="1"/>
  <c r="M93" i="7" s="1"/>
  <c r="P505" i="6"/>
  <c r="O505" i="6"/>
  <c r="N505" i="6"/>
  <c r="Y504" i="6"/>
  <c r="V504" i="6"/>
  <c r="S504" i="6"/>
  <c r="Q504" i="6"/>
  <c r="R504" i="6" s="1"/>
  <c r="P504" i="6"/>
  <c r="O504" i="6"/>
  <c r="N504" i="6"/>
  <c r="Y503" i="6"/>
  <c r="V503" i="6"/>
  <c r="S503" i="6"/>
  <c r="Q503" i="6"/>
  <c r="R503" i="6" s="1"/>
  <c r="P503" i="6"/>
  <c r="O503" i="6"/>
  <c r="N503" i="6"/>
  <c r="Y502" i="6"/>
  <c r="V502" i="6"/>
  <c r="S502" i="6"/>
  <c r="Q502" i="6"/>
  <c r="R502" i="6" s="1"/>
  <c r="P502" i="6"/>
  <c r="O502" i="6"/>
  <c r="N502" i="6"/>
  <c r="Y501" i="6"/>
  <c r="V501" i="6"/>
  <c r="S501" i="6"/>
  <c r="Q501" i="6"/>
  <c r="R501" i="6" s="1"/>
  <c r="M108" i="7" s="1"/>
  <c r="P501" i="6"/>
  <c r="O501" i="6"/>
  <c r="N501" i="6"/>
  <c r="Y500" i="6"/>
  <c r="V500" i="6"/>
  <c r="S500" i="6"/>
  <c r="Q500" i="6"/>
  <c r="R500" i="6" s="1"/>
  <c r="P500" i="6"/>
  <c r="O500" i="6"/>
  <c r="N500" i="6"/>
  <c r="Y499" i="6"/>
  <c r="V499" i="6"/>
  <c r="S499" i="6"/>
  <c r="Q499" i="6"/>
  <c r="R499" i="6" s="1"/>
  <c r="M303" i="7" s="1"/>
  <c r="P499" i="6"/>
  <c r="O499" i="6"/>
  <c r="N499" i="6"/>
  <c r="Y498" i="6"/>
  <c r="V498" i="6"/>
  <c r="S498" i="6"/>
  <c r="Q498" i="6"/>
  <c r="R498" i="6" s="1"/>
  <c r="M233" i="7" s="1"/>
  <c r="P498" i="6"/>
  <c r="O498" i="6"/>
  <c r="N498" i="6"/>
  <c r="Y497" i="6"/>
  <c r="V497" i="6"/>
  <c r="S497" i="6"/>
  <c r="Q497" i="6"/>
  <c r="R497" i="6" s="1"/>
  <c r="P497" i="6"/>
  <c r="O497" i="6"/>
  <c r="N497" i="6"/>
  <c r="Y496" i="6"/>
  <c r="V496" i="6"/>
  <c r="S496" i="6"/>
  <c r="Q496" i="6"/>
  <c r="R496" i="6" s="1"/>
  <c r="P496" i="6"/>
  <c r="O496" i="6"/>
  <c r="N496" i="6"/>
  <c r="Y495" i="6"/>
  <c r="V495" i="6"/>
  <c r="S495" i="6"/>
  <c r="Q495" i="6"/>
  <c r="R495" i="6" s="1"/>
  <c r="M336" i="7" s="1"/>
  <c r="P495" i="6"/>
  <c r="O495" i="6"/>
  <c r="N495" i="6"/>
  <c r="Y494" i="6"/>
  <c r="V494" i="6"/>
  <c r="S494" i="6"/>
  <c r="Q494" i="6"/>
  <c r="R494" i="6" s="1"/>
  <c r="P494" i="6"/>
  <c r="O494" i="6"/>
  <c r="N494" i="6"/>
  <c r="Y493" i="6"/>
  <c r="V493" i="6"/>
  <c r="S493" i="6"/>
  <c r="Q493" i="6"/>
  <c r="R493" i="6" s="1"/>
  <c r="P493" i="6"/>
  <c r="O493" i="6"/>
  <c r="N493" i="6"/>
  <c r="Y492" i="6"/>
  <c r="V492" i="6"/>
  <c r="S492" i="6"/>
  <c r="R492" i="6"/>
  <c r="Q492" i="6"/>
  <c r="P492" i="6"/>
  <c r="O492" i="6"/>
  <c r="N492" i="6"/>
  <c r="Y491" i="6"/>
  <c r="V491" i="6"/>
  <c r="S491" i="6"/>
  <c r="R491" i="6"/>
  <c r="Q491" i="6"/>
  <c r="P491" i="6"/>
  <c r="O491" i="6"/>
  <c r="N491" i="6"/>
  <c r="Y490" i="6"/>
  <c r="V490" i="6"/>
  <c r="S490" i="6"/>
  <c r="R490" i="6"/>
  <c r="M238" i="7" s="1"/>
  <c r="Q490" i="6"/>
  <c r="P490" i="6"/>
  <c r="O490" i="6"/>
  <c r="N490" i="6"/>
  <c r="Y489" i="6"/>
  <c r="V489" i="6"/>
  <c r="S489" i="6"/>
  <c r="Q489" i="6"/>
  <c r="R489" i="6" s="1"/>
  <c r="M161" i="7" s="1"/>
  <c r="P489" i="6"/>
  <c r="O489" i="6"/>
  <c r="N489" i="6"/>
  <c r="Y488" i="6"/>
  <c r="V488" i="6"/>
  <c r="S488" i="6"/>
  <c r="Q488" i="6"/>
  <c r="R488" i="6" s="1"/>
  <c r="P488" i="6"/>
  <c r="O488" i="6"/>
  <c r="N488" i="6"/>
  <c r="Y487" i="6"/>
  <c r="V487" i="6"/>
  <c r="S487" i="6"/>
  <c r="Q487" i="6"/>
  <c r="R487" i="6" s="1"/>
  <c r="P487" i="6"/>
  <c r="O487" i="6"/>
  <c r="N487" i="6"/>
  <c r="Y486" i="6"/>
  <c r="V486" i="6"/>
  <c r="S486" i="6"/>
  <c r="Q486" i="6"/>
  <c r="R486" i="6" s="1"/>
  <c r="P486" i="6"/>
  <c r="O486" i="6"/>
  <c r="N486" i="6"/>
  <c r="Y485" i="6"/>
  <c r="V485" i="6"/>
  <c r="S485" i="6"/>
  <c r="Q485" i="6"/>
  <c r="R485" i="6" s="1"/>
  <c r="M110" i="7" s="1"/>
  <c r="P485" i="6"/>
  <c r="O485" i="6"/>
  <c r="N485" i="6"/>
  <c r="Y484" i="6"/>
  <c r="V484" i="6"/>
  <c r="S484" i="6"/>
  <c r="Q484" i="6"/>
  <c r="R484" i="6" s="1"/>
  <c r="M10" i="7" s="1"/>
  <c r="P484" i="6"/>
  <c r="O484" i="6"/>
  <c r="N484" i="6"/>
  <c r="Y483" i="6"/>
  <c r="V483" i="6"/>
  <c r="S483" i="6"/>
  <c r="Q483" i="6"/>
  <c r="R483" i="6" s="1"/>
  <c r="M274" i="7" s="1"/>
  <c r="P483" i="6"/>
  <c r="O483" i="6"/>
  <c r="N483" i="6"/>
  <c r="Y482" i="6"/>
  <c r="V482" i="6"/>
  <c r="S482" i="6"/>
  <c r="Q482" i="6"/>
  <c r="R482" i="6" s="1"/>
  <c r="P482" i="6"/>
  <c r="O482" i="6"/>
  <c r="N482" i="6"/>
  <c r="Y481" i="6"/>
  <c r="V481" i="6"/>
  <c r="S481" i="6"/>
  <c r="Q481" i="6"/>
  <c r="R481" i="6" s="1"/>
  <c r="M136" i="7" s="1"/>
  <c r="P481" i="6"/>
  <c r="O481" i="6"/>
  <c r="N481" i="6"/>
  <c r="Y480" i="6"/>
  <c r="V480" i="6"/>
  <c r="S480" i="6"/>
  <c r="Q480" i="6"/>
  <c r="R480" i="6" s="1"/>
  <c r="M67" i="7" s="1"/>
  <c r="P480" i="6"/>
  <c r="O480" i="6"/>
  <c r="N480" i="6"/>
  <c r="Y479" i="6"/>
  <c r="V479" i="6"/>
  <c r="S479" i="6"/>
  <c r="Q479" i="6"/>
  <c r="R479" i="6" s="1"/>
  <c r="P479" i="6"/>
  <c r="O479" i="6"/>
  <c r="N479" i="6"/>
  <c r="Y478" i="6"/>
  <c r="V478" i="6"/>
  <c r="S478" i="6"/>
  <c r="Q478" i="6"/>
  <c r="R478" i="6" s="1"/>
  <c r="P478" i="6"/>
  <c r="O478" i="6"/>
  <c r="N478" i="6"/>
  <c r="Y477" i="6"/>
  <c r="V477" i="6"/>
  <c r="S477" i="6"/>
  <c r="Q477" i="6"/>
  <c r="R477" i="6" s="1"/>
  <c r="M249" i="7" s="1"/>
  <c r="P477" i="6"/>
  <c r="O477" i="6"/>
  <c r="N477" i="6"/>
  <c r="Y476" i="6"/>
  <c r="V476" i="6"/>
  <c r="S476" i="6"/>
  <c r="Q476" i="6"/>
  <c r="R476" i="6" s="1"/>
  <c r="P476" i="6"/>
  <c r="O476" i="6"/>
  <c r="N476" i="6"/>
  <c r="Y475" i="6"/>
  <c r="V475" i="6"/>
  <c r="S475" i="6"/>
  <c r="Q475" i="6"/>
  <c r="R475" i="6" s="1"/>
  <c r="P475" i="6"/>
  <c r="O475" i="6"/>
  <c r="N475" i="6"/>
  <c r="Y474" i="6"/>
  <c r="V474" i="6"/>
  <c r="S474" i="6"/>
  <c r="Q474" i="6"/>
  <c r="R474" i="6" s="1"/>
  <c r="P474" i="6"/>
  <c r="O474" i="6"/>
  <c r="N474" i="6"/>
  <c r="Y473" i="6"/>
  <c r="V473" i="6"/>
  <c r="S473" i="6"/>
  <c r="Q473" i="6"/>
  <c r="R473" i="6" s="1"/>
  <c r="P473" i="6"/>
  <c r="O473" i="6"/>
  <c r="N473" i="6"/>
  <c r="Y472" i="6"/>
  <c r="V472" i="6"/>
  <c r="S472" i="6"/>
  <c r="Q472" i="6"/>
  <c r="R472" i="6" s="1"/>
  <c r="M127" i="7" s="1"/>
  <c r="P472" i="6"/>
  <c r="O472" i="6"/>
  <c r="N472" i="6"/>
  <c r="Y471" i="6"/>
  <c r="V471" i="6"/>
  <c r="S471" i="6"/>
  <c r="Q471" i="6"/>
  <c r="R471" i="6" s="1"/>
  <c r="M82" i="7" s="1"/>
  <c r="P471" i="6"/>
  <c r="O471" i="6"/>
  <c r="N471" i="6"/>
  <c r="Y470" i="6"/>
  <c r="V470" i="6"/>
  <c r="S470" i="6"/>
  <c r="Q470" i="6"/>
  <c r="R470" i="6" s="1"/>
  <c r="P470" i="6"/>
  <c r="O470" i="6"/>
  <c r="N470" i="6"/>
  <c r="Y469" i="6"/>
  <c r="V469" i="6"/>
  <c r="S469" i="6"/>
  <c r="R469" i="6"/>
  <c r="M166" i="7" s="1"/>
  <c r="Q469" i="6"/>
  <c r="P469" i="6"/>
  <c r="O469" i="6"/>
  <c r="N469" i="6"/>
  <c r="Y468" i="6"/>
  <c r="V468" i="6"/>
  <c r="S468" i="6"/>
  <c r="R468" i="6"/>
  <c r="Q468" i="6"/>
  <c r="P468" i="6"/>
  <c r="O468" i="6"/>
  <c r="N468" i="6"/>
  <c r="Y467" i="6"/>
  <c r="V467" i="6"/>
  <c r="S467" i="6"/>
  <c r="R467" i="6"/>
  <c r="M101" i="7" s="1"/>
  <c r="Q467" i="6"/>
  <c r="P467" i="6"/>
  <c r="O467" i="6"/>
  <c r="N467" i="6"/>
  <c r="Y466" i="6"/>
  <c r="V466" i="6"/>
  <c r="S466" i="6"/>
  <c r="Q466" i="6"/>
  <c r="R466" i="6" s="1"/>
  <c r="M231" i="7" s="1"/>
  <c r="P466" i="6"/>
  <c r="O466" i="6"/>
  <c r="N466" i="6"/>
  <c r="Y465" i="6"/>
  <c r="V465" i="6"/>
  <c r="S465" i="6"/>
  <c r="Q465" i="6"/>
  <c r="R465" i="6" s="1"/>
  <c r="M106" i="7" s="1"/>
  <c r="P465" i="6"/>
  <c r="O465" i="6"/>
  <c r="N465" i="6"/>
  <c r="Y464" i="6"/>
  <c r="V464" i="6"/>
  <c r="S464" i="6"/>
  <c r="Q464" i="6"/>
  <c r="R464" i="6" s="1"/>
  <c r="P464" i="6"/>
  <c r="O464" i="6"/>
  <c r="N464" i="6"/>
  <c r="Y463" i="6"/>
  <c r="V463" i="6"/>
  <c r="S463" i="6"/>
  <c r="Q463" i="6"/>
  <c r="R463" i="6" s="1"/>
  <c r="P463" i="6"/>
  <c r="O463" i="6"/>
  <c r="N463" i="6"/>
  <c r="Y462" i="6"/>
  <c r="V462" i="6"/>
  <c r="S462" i="6"/>
  <c r="Q462" i="6"/>
  <c r="R462" i="6" s="1"/>
  <c r="P462" i="6"/>
  <c r="O462" i="6"/>
  <c r="N462" i="6"/>
  <c r="Y461" i="6"/>
  <c r="V461" i="6"/>
  <c r="S461" i="6"/>
  <c r="Q461" i="6"/>
  <c r="R461" i="6" s="1"/>
  <c r="M52" i="7" s="1"/>
  <c r="P461" i="6"/>
  <c r="O461" i="6"/>
  <c r="N461" i="6"/>
  <c r="Y460" i="6"/>
  <c r="V460" i="6"/>
  <c r="S460" i="6"/>
  <c r="Q460" i="6"/>
  <c r="R460" i="6" s="1"/>
  <c r="P460" i="6"/>
  <c r="O460" i="6"/>
  <c r="N460" i="6"/>
  <c r="Y459" i="6"/>
  <c r="V459" i="6"/>
  <c r="S459" i="6"/>
  <c r="Q459" i="6"/>
  <c r="R459" i="6" s="1"/>
  <c r="M182" i="7" s="1"/>
  <c r="P459" i="6"/>
  <c r="O459" i="6"/>
  <c r="N459" i="6"/>
  <c r="Y458" i="6"/>
  <c r="V458" i="6"/>
  <c r="S458" i="6"/>
  <c r="Q458" i="6"/>
  <c r="R458" i="6" s="1"/>
  <c r="P458" i="6"/>
  <c r="O458" i="6"/>
  <c r="N458" i="6"/>
  <c r="Y457" i="6"/>
  <c r="V457" i="6"/>
  <c r="S457" i="6"/>
  <c r="Q457" i="6"/>
  <c r="R457" i="6" s="1"/>
  <c r="P457" i="6"/>
  <c r="O457" i="6"/>
  <c r="N457" i="6"/>
  <c r="Y456" i="6"/>
  <c r="V456" i="6"/>
  <c r="S456" i="6"/>
  <c r="R456" i="6"/>
  <c r="M155" i="7" s="1"/>
  <c r="Q456" i="6"/>
  <c r="P456" i="6"/>
  <c r="O456" i="6"/>
  <c r="N456" i="6"/>
  <c r="Y455" i="6"/>
  <c r="V455" i="6"/>
  <c r="S455" i="6"/>
  <c r="R455" i="6"/>
  <c r="Q455" i="6"/>
  <c r="P455" i="6"/>
  <c r="O455" i="6"/>
  <c r="N455" i="6"/>
  <c r="Y454" i="6"/>
  <c r="V454" i="6"/>
  <c r="S454" i="6"/>
  <c r="Q454" i="6"/>
  <c r="R454" i="6" s="1"/>
  <c r="P454" i="6"/>
  <c r="O454" i="6"/>
  <c r="N454" i="6"/>
  <c r="Y453" i="6"/>
  <c r="V453" i="6"/>
  <c r="S453" i="6"/>
  <c r="Q453" i="6"/>
  <c r="R453" i="6" s="1"/>
  <c r="P453" i="6"/>
  <c r="O453" i="6"/>
  <c r="N453" i="6"/>
  <c r="Y452" i="6"/>
  <c r="V452" i="6"/>
  <c r="S452" i="6"/>
  <c r="Q452" i="6"/>
  <c r="R452" i="6" s="1"/>
  <c r="P452" i="6"/>
  <c r="O452" i="6"/>
  <c r="N452" i="6"/>
  <c r="Y451" i="6"/>
  <c r="V451" i="6"/>
  <c r="S451" i="6"/>
  <c r="Q451" i="6"/>
  <c r="R451" i="6" s="1"/>
  <c r="M335" i="7" s="1"/>
  <c r="P451" i="6"/>
  <c r="O451" i="6"/>
  <c r="N451" i="6"/>
  <c r="Y450" i="6"/>
  <c r="V450" i="6"/>
  <c r="S450" i="6"/>
  <c r="Q450" i="6"/>
  <c r="R450" i="6" s="1"/>
  <c r="P450" i="6"/>
  <c r="O450" i="6"/>
  <c r="N450" i="6"/>
  <c r="Y449" i="6"/>
  <c r="V449" i="6"/>
  <c r="S449" i="6"/>
  <c r="Q449" i="6"/>
  <c r="R449" i="6" s="1"/>
  <c r="P449" i="6"/>
  <c r="O449" i="6"/>
  <c r="N449" i="6"/>
  <c r="Y448" i="6"/>
  <c r="V448" i="6"/>
  <c r="S448" i="6"/>
  <c r="Q448" i="6"/>
  <c r="R448" i="6" s="1"/>
  <c r="M111" i="7" s="1"/>
  <c r="P448" i="6"/>
  <c r="O448" i="6"/>
  <c r="N448" i="6"/>
  <c r="Y447" i="6"/>
  <c r="V447" i="6"/>
  <c r="S447" i="6"/>
  <c r="Q447" i="6"/>
  <c r="R447" i="6" s="1"/>
  <c r="P447" i="6"/>
  <c r="O447" i="6"/>
  <c r="N447" i="6"/>
  <c r="Y446" i="6"/>
  <c r="V446" i="6"/>
  <c r="S446" i="6"/>
  <c r="Q446" i="6"/>
  <c r="R446" i="6" s="1"/>
  <c r="P446" i="6"/>
  <c r="O446" i="6"/>
  <c r="N446" i="6"/>
  <c r="Y445" i="6"/>
  <c r="V445" i="6"/>
  <c r="S445" i="6"/>
  <c r="Q445" i="6"/>
  <c r="R445" i="6" s="1"/>
  <c r="M135" i="7" s="1"/>
  <c r="P445" i="6"/>
  <c r="O445" i="6"/>
  <c r="N445" i="6"/>
  <c r="Y444" i="6"/>
  <c r="V444" i="6"/>
  <c r="S444" i="6"/>
  <c r="Q444" i="6"/>
  <c r="R444" i="6" s="1"/>
  <c r="P444" i="6"/>
  <c r="O444" i="6"/>
  <c r="N444" i="6"/>
  <c r="Y443" i="6"/>
  <c r="V443" i="6"/>
  <c r="S443" i="6"/>
  <c r="Q443" i="6"/>
  <c r="R443" i="6" s="1"/>
  <c r="P443" i="6"/>
  <c r="O443" i="6"/>
  <c r="N443" i="6"/>
  <c r="Y442" i="6"/>
  <c r="V442" i="6"/>
  <c r="S442" i="6"/>
  <c r="Q442" i="6"/>
  <c r="R442" i="6" s="1"/>
  <c r="P442" i="6"/>
  <c r="O442" i="6"/>
  <c r="N442" i="6"/>
  <c r="Y441" i="6"/>
  <c r="V441" i="6"/>
  <c r="S441" i="6"/>
  <c r="Q441" i="6"/>
  <c r="R441" i="6" s="1"/>
  <c r="P441" i="6"/>
  <c r="O441" i="6"/>
  <c r="N441" i="6"/>
  <c r="Y440" i="6"/>
  <c r="V440" i="6"/>
  <c r="S440" i="6"/>
  <c r="Q440" i="6"/>
  <c r="R440" i="6" s="1"/>
  <c r="P440" i="6"/>
  <c r="O440" i="6"/>
  <c r="N440" i="6"/>
  <c r="Y439" i="6"/>
  <c r="V439" i="6"/>
  <c r="S439" i="6"/>
  <c r="Q439" i="6"/>
  <c r="R439" i="6" s="1"/>
  <c r="M178" i="7" s="1"/>
  <c r="P439" i="6"/>
  <c r="O439" i="6"/>
  <c r="N439" i="6"/>
  <c r="Y438" i="6"/>
  <c r="V438" i="6"/>
  <c r="S438" i="6"/>
  <c r="Q438" i="6"/>
  <c r="R438" i="6" s="1"/>
  <c r="M246" i="7" s="1"/>
  <c r="P438" i="6"/>
  <c r="O438" i="6"/>
  <c r="N438" i="6"/>
  <c r="Y437" i="6"/>
  <c r="V437" i="6"/>
  <c r="S437" i="6"/>
  <c r="Q437" i="6"/>
  <c r="R437" i="6" s="1"/>
  <c r="M46" i="7" s="1"/>
  <c r="P437" i="6"/>
  <c r="O437" i="6"/>
  <c r="N437" i="6"/>
  <c r="Y436" i="6"/>
  <c r="V436" i="6"/>
  <c r="S436" i="6"/>
  <c r="Q436" i="6"/>
  <c r="R436" i="6" s="1"/>
  <c r="P436" i="6"/>
  <c r="O436" i="6"/>
  <c r="N436" i="6"/>
  <c r="Y435" i="6"/>
  <c r="V435" i="6"/>
  <c r="S435" i="6"/>
  <c r="Q435" i="6"/>
  <c r="R435" i="6" s="1"/>
  <c r="M81" i="7" s="1"/>
  <c r="P435" i="6"/>
  <c r="O435" i="6"/>
  <c r="N435" i="6"/>
  <c r="Y434" i="6"/>
  <c r="V434" i="6"/>
  <c r="S434" i="6"/>
  <c r="Q434" i="6"/>
  <c r="R434" i="6" s="1"/>
  <c r="P434" i="6"/>
  <c r="O434" i="6"/>
  <c r="N434" i="6"/>
  <c r="Y433" i="6"/>
  <c r="V433" i="6"/>
  <c r="S433" i="6"/>
  <c r="Q433" i="6"/>
  <c r="R433" i="6" s="1"/>
  <c r="M329" i="7" s="1"/>
  <c r="P433" i="6"/>
  <c r="O433" i="6"/>
  <c r="N433" i="6"/>
  <c r="Y432" i="6"/>
  <c r="V432" i="6"/>
  <c r="S432" i="6"/>
  <c r="Q432" i="6"/>
  <c r="R432" i="6" s="1"/>
  <c r="M13" i="7" s="1"/>
  <c r="P432" i="6"/>
  <c r="O432" i="6"/>
  <c r="N432" i="6"/>
  <c r="Y431" i="6"/>
  <c r="V431" i="6"/>
  <c r="S431" i="6"/>
  <c r="Q431" i="6"/>
  <c r="R431" i="6" s="1"/>
  <c r="P431" i="6"/>
  <c r="O431" i="6"/>
  <c r="N431" i="6"/>
  <c r="Y430" i="6"/>
  <c r="V430" i="6"/>
  <c r="S430" i="6"/>
  <c r="Q430" i="6"/>
  <c r="R430" i="6" s="1"/>
  <c r="M193" i="7" s="1"/>
  <c r="P430" i="6"/>
  <c r="O430" i="6"/>
  <c r="N430" i="6"/>
  <c r="Y429" i="6"/>
  <c r="V429" i="6"/>
  <c r="S429" i="6"/>
  <c r="Q429" i="6"/>
  <c r="R429" i="6" s="1"/>
  <c r="P429" i="6"/>
  <c r="O429" i="6"/>
  <c r="N429" i="6"/>
  <c r="Y428" i="6"/>
  <c r="V428" i="6"/>
  <c r="S428" i="6"/>
  <c r="Q428" i="6"/>
  <c r="R428" i="6" s="1"/>
  <c r="M291" i="7" s="1"/>
  <c r="P428" i="6"/>
  <c r="O428" i="6"/>
  <c r="N428" i="6"/>
  <c r="Y427" i="6"/>
  <c r="V427" i="6"/>
  <c r="S427" i="6"/>
  <c r="Q427" i="6"/>
  <c r="R427" i="6" s="1"/>
  <c r="M275" i="7" s="1"/>
  <c r="P427" i="6"/>
  <c r="O427" i="6"/>
  <c r="N427" i="6"/>
  <c r="Y426" i="6"/>
  <c r="V426" i="6"/>
  <c r="S426" i="6"/>
  <c r="R426" i="6"/>
  <c r="Q426" i="6"/>
  <c r="P426" i="6"/>
  <c r="O426" i="6"/>
  <c r="N426" i="6"/>
  <c r="Y425" i="6"/>
  <c r="V425" i="6"/>
  <c r="S425" i="6"/>
  <c r="Q425" i="6"/>
  <c r="R425" i="6" s="1"/>
  <c r="P425" i="6"/>
  <c r="O425" i="6"/>
  <c r="N425" i="6"/>
  <c r="Y424" i="6"/>
  <c r="V424" i="6"/>
  <c r="S424" i="6"/>
  <c r="Q424" i="6"/>
  <c r="R424" i="6" s="1"/>
  <c r="P424" i="6"/>
  <c r="O424" i="6"/>
  <c r="N424" i="6"/>
  <c r="Y423" i="6"/>
  <c r="V423" i="6"/>
  <c r="S423" i="6"/>
  <c r="Q423" i="6"/>
  <c r="R423" i="6" s="1"/>
  <c r="P423" i="6"/>
  <c r="O423" i="6"/>
  <c r="N423" i="6"/>
  <c r="Y422" i="6"/>
  <c r="V422" i="6"/>
  <c r="S422" i="6"/>
  <c r="Q422" i="6"/>
  <c r="R422" i="6" s="1"/>
  <c r="M143" i="7" s="1"/>
  <c r="P422" i="6"/>
  <c r="O422" i="6"/>
  <c r="N422" i="6"/>
  <c r="Y421" i="6"/>
  <c r="V421" i="6"/>
  <c r="S421" i="6"/>
  <c r="Q421" i="6"/>
  <c r="R421" i="6" s="1"/>
  <c r="M121" i="7" s="1"/>
  <c r="P421" i="6"/>
  <c r="O421" i="6"/>
  <c r="N421" i="6"/>
  <c r="Y420" i="6"/>
  <c r="V420" i="6"/>
  <c r="S420" i="6"/>
  <c r="Q420" i="6"/>
  <c r="R420" i="6" s="1"/>
  <c r="P420" i="6"/>
  <c r="O420" i="6"/>
  <c r="N420" i="6"/>
  <c r="Y419" i="6"/>
  <c r="V419" i="6"/>
  <c r="S419" i="6"/>
  <c r="Q419" i="6"/>
  <c r="R419" i="6" s="1"/>
  <c r="M181" i="7" s="1"/>
  <c r="P419" i="6"/>
  <c r="O419" i="6"/>
  <c r="N419" i="6"/>
  <c r="Y418" i="6"/>
  <c r="V418" i="6"/>
  <c r="S418" i="6"/>
  <c r="R418" i="6"/>
  <c r="Q418" i="6"/>
  <c r="P418" i="6"/>
  <c r="O418" i="6"/>
  <c r="N418" i="6"/>
  <c r="Y417" i="6"/>
  <c r="V417" i="6"/>
  <c r="S417" i="6"/>
  <c r="Q417" i="6"/>
  <c r="R417" i="6" s="1"/>
  <c r="P417" i="6"/>
  <c r="O417" i="6"/>
  <c r="N417" i="6"/>
  <c r="Y416" i="6"/>
  <c r="V416" i="6"/>
  <c r="S416" i="6"/>
  <c r="Q416" i="6"/>
  <c r="R416" i="6" s="1"/>
  <c r="P416" i="6"/>
  <c r="O416" i="6"/>
  <c r="N416" i="6"/>
  <c r="Y415" i="6"/>
  <c r="V415" i="6"/>
  <c r="S415" i="6"/>
  <c r="Q415" i="6"/>
  <c r="R415" i="6" s="1"/>
  <c r="P415" i="6"/>
  <c r="O415" i="6"/>
  <c r="N415" i="6"/>
  <c r="Y414" i="6"/>
  <c r="V414" i="6"/>
  <c r="S414" i="6"/>
  <c r="Q414" i="6"/>
  <c r="R414" i="6" s="1"/>
  <c r="M62" i="7" s="1"/>
  <c r="P414" i="6"/>
  <c r="O414" i="6"/>
  <c r="N414" i="6"/>
  <c r="Y413" i="6"/>
  <c r="V413" i="6"/>
  <c r="S413" i="6"/>
  <c r="Q413" i="6"/>
  <c r="R413" i="6" s="1"/>
  <c r="M145" i="7" s="1"/>
  <c r="P413" i="6"/>
  <c r="O413" i="6"/>
  <c r="N413" i="6"/>
  <c r="Y412" i="6"/>
  <c r="V412" i="6"/>
  <c r="S412" i="6"/>
  <c r="Q412" i="6"/>
  <c r="R412" i="6" s="1"/>
  <c r="P412" i="6"/>
  <c r="O412" i="6"/>
  <c r="N412" i="6"/>
  <c r="Y411" i="6"/>
  <c r="V411" i="6"/>
  <c r="S411" i="6"/>
  <c r="Q411" i="6"/>
  <c r="R411" i="6" s="1"/>
  <c r="P411" i="6"/>
  <c r="O411" i="6"/>
  <c r="N411" i="6"/>
  <c r="Y410" i="6"/>
  <c r="V410" i="6"/>
  <c r="S410" i="6"/>
  <c r="R410" i="6"/>
  <c r="Q410" i="6"/>
  <c r="P410" i="6"/>
  <c r="O410" i="6"/>
  <c r="N410" i="6"/>
  <c r="Y409" i="6"/>
  <c r="V409" i="6"/>
  <c r="S409" i="6"/>
  <c r="Q409" i="6"/>
  <c r="R409" i="6" s="1"/>
  <c r="P409" i="6"/>
  <c r="O409" i="6"/>
  <c r="N409" i="6"/>
  <c r="Y408" i="6"/>
  <c r="V408" i="6"/>
  <c r="S408" i="6"/>
  <c r="Q408" i="6"/>
  <c r="R408" i="6" s="1"/>
  <c r="P408" i="6"/>
  <c r="O408" i="6"/>
  <c r="N408" i="6"/>
  <c r="Y407" i="6"/>
  <c r="V407" i="6"/>
  <c r="S407" i="6"/>
  <c r="Q407" i="6"/>
  <c r="R407" i="6" s="1"/>
  <c r="P407" i="6"/>
  <c r="O407" i="6"/>
  <c r="N407" i="6"/>
  <c r="Y406" i="6"/>
  <c r="V406" i="6"/>
  <c r="S406" i="6"/>
  <c r="Q406" i="6"/>
  <c r="R406" i="6" s="1"/>
  <c r="P406" i="6"/>
  <c r="O406" i="6"/>
  <c r="N406" i="6"/>
  <c r="Y405" i="6"/>
  <c r="V405" i="6"/>
  <c r="S405" i="6"/>
  <c r="Q405" i="6"/>
  <c r="R405" i="6" s="1"/>
  <c r="M90" i="7" s="1"/>
  <c r="P405" i="6"/>
  <c r="O405" i="6"/>
  <c r="N405" i="6"/>
  <c r="Y404" i="6"/>
  <c r="V404" i="6"/>
  <c r="S404" i="6"/>
  <c r="Q404" i="6"/>
  <c r="R404" i="6" s="1"/>
  <c r="P404" i="6"/>
  <c r="O404" i="6"/>
  <c r="N404" i="6"/>
  <c r="Y403" i="6"/>
  <c r="V403" i="6"/>
  <c r="S403" i="6"/>
  <c r="Q403" i="6"/>
  <c r="R403" i="6" s="1"/>
  <c r="P403" i="6"/>
  <c r="O403" i="6"/>
  <c r="N403" i="6"/>
  <c r="Y402" i="6"/>
  <c r="V402" i="6"/>
  <c r="S402" i="6"/>
  <c r="Q402" i="6"/>
  <c r="R402" i="6" s="1"/>
  <c r="P402" i="6"/>
  <c r="O402" i="6"/>
  <c r="N402" i="6"/>
  <c r="Y401" i="6"/>
  <c r="V401" i="6"/>
  <c r="S401" i="6"/>
  <c r="Q401" i="6"/>
  <c r="R401" i="6" s="1"/>
  <c r="P401" i="6"/>
  <c r="O401" i="6"/>
  <c r="N401" i="6"/>
  <c r="Y400" i="6"/>
  <c r="V400" i="6"/>
  <c r="S400" i="6"/>
  <c r="Q400" i="6"/>
  <c r="R400" i="6" s="1"/>
  <c r="P400" i="6"/>
  <c r="O400" i="6"/>
  <c r="N400" i="6"/>
  <c r="Y399" i="6"/>
  <c r="V399" i="6"/>
  <c r="S399" i="6"/>
  <c r="Q399" i="6"/>
  <c r="R399" i="6" s="1"/>
  <c r="M338" i="7" s="1"/>
  <c r="P399" i="6"/>
  <c r="O399" i="6"/>
  <c r="N399" i="6"/>
  <c r="Y398" i="6"/>
  <c r="V398" i="6"/>
  <c r="S398" i="6"/>
  <c r="Q398" i="6"/>
  <c r="R398" i="6" s="1"/>
  <c r="M37" i="7" s="1"/>
  <c r="P398" i="6"/>
  <c r="O398" i="6"/>
  <c r="N398" i="6"/>
  <c r="Y397" i="6"/>
  <c r="V397" i="6"/>
  <c r="S397" i="6"/>
  <c r="Q397" i="6"/>
  <c r="R397" i="6" s="1"/>
  <c r="P397" i="6"/>
  <c r="O397" i="6"/>
  <c r="N397" i="6"/>
  <c r="Y396" i="6"/>
  <c r="V396" i="6"/>
  <c r="S396" i="6"/>
  <c r="Q396" i="6"/>
  <c r="R396" i="6" s="1"/>
  <c r="P396" i="6"/>
  <c r="O396" i="6"/>
  <c r="N396" i="6"/>
  <c r="Y395" i="6"/>
  <c r="V395" i="6"/>
  <c r="S395" i="6"/>
  <c r="Q395" i="6"/>
  <c r="R395" i="6" s="1"/>
  <c r="P395" i="6"/>
  <c r="O395" i="6"/>
  <c r="N395" i="6"/>
  <c r="Y394" i="6"/>
  <c r="V394" i="6"/>
  <c r="S394" i="6"/>
  <c r="Q394" i="6"/>
  <c r="R394" i="6" s="1"/>
  <c r="P394" i="6"/>
  <c r="O394" i="6"/>
  <c r="N394" i="6"/>
  <c r="Y393" i="6"/>
  <c r="V393" i="6"/>
  <c r="S393" i="6"/>
  <c r="Q393" i="6"/>
  <c r="R393" i="6" s="1"/>
  <c r="P393" i="6"/>
  <c r="O393" i="6"/>
  <c r="N393" i="6"/>
  <c r="Y392" i="6"/>
  <c r="V392" i="6"/>
  <c r="S392" i="6"/>
  <c r="Q392" i="6"/>
  <c r="R392" i="6" s="1"/>
  <c r="P392" i="6"/>
  <c r="O392" i="6"/>
  <c r="N392" i="6"/>
  <c r="Y391" i="6"/>
  <c r="V391" i="6"/>
  <c r="S391" i="6"/>
  <c r="Q391" i="6"/>
  <c r="R391" i="6" s="1"/>
  <c r="M195" i="7" s="1"/>
  <c r="P391" i="6"/>
  <c r="O391" i="6"/>
  <c r="N391" i="6"/>
  <c r="Y390" i="6"/>
  <c r="V390" i="6"/>
  <c r="S390" i="6"/>
  <c r="R390" i="6"/>
  <c r="M256" i="7" s="1"/>
  <c r="Q390" i="6"/>
  <c r="P390" i="6"/>
  <c r="O390" i="6"/>
  <c r="N390" i="6"/>
  <c r="Y389" i="6"/>
  <c r="V389" i="6"/>
  <c r="S389" i="6"/>
  <c r="Q389" i="6"/>
  <c r="R389" i="6" s="1"/>
  <c r="M132" i="7" s="1"/>
  <c r="P389" i="6"/>
  <c r="O389" i="6"/>
  <c r="N389" i="6"/>
  <c r="Y388" i="6"/>
  <c r="V388" i="6"/>
  <c r="S388" i="6"/>
  <c r="Q388" i="6"/>
  <c r="R388" i="6" s="1"/>
  <c r="P388" i="6"/>
  <c r="O388" i="6"/>
  <c r="N388" i="6"/>
  <c r="Y387" i="6"/>
  <c r="V387" i="6"/>
  <c r="S387" i="6"/>
  <c r="Q387" i="6"/>
  <c r="R387" i="6" s="1"/>
  <c r="P387" i="6"/>
  <c r="O387" i="6"/>
  <c r="N387" i="6"/>
  <c r="Y386" i="6"/>
  <c r="V386" i="6"/>
  <c r="S386" i="6"/>
  <c r="Q386" i="6"/>
  <c r="R386" i="6" s="1"/>
  <c r="P386" i="6"/>
  <c r="O386" i="6"/>
  <c r="N386" i="6"/>
  <c r="Y385" i="6"/>
  <c r="V385" i="6"/>
  <c r="S385" i="6"/>
  <c r="Q385" i="6"/>
  <c r="R385" i="6" s="1"/>
  <c r="M142" i="7" s="1"/>
  <c r="P385" i="6"/>
  <c r="O385" i="6"/>
  <c r="N385" i="6"/>
  <c r="Y384" i="6"/>
  <c r="V384" i="6"/>
  <c r="S384" i="6"/>
  <c r="Q384" i="6"/>
  <c r="R384" i="6" s="1"/>
  <c r="M41" i="7" s="1"/>
  <c r="P384" i="6"/>
  <c r="O384" i="6"/>
  <c r="N384" i="6"/>
  <c r="Y383" i="6"/>
  <c r="V383" i="6"/>
  <c r="S383" i="6"/>
  <c r="Q383" i="6"/>
  <c r="R383" i="6" s="1"/>
  <c r="P383" i="6"/>
  <c r="O383" i="6"/>
  <c r="N383" i="6"/>
  <c r="Y382" i="6"/>
  <c r="V382" i="6"/>
  <c r="S382" i="6"/>
  <c r="R382" i="6"/>
  <c r="M57" i="7" s="1"/>
  <c r="Q382" i="6"/>
  <c r="P382" i="6"/>
  <c r="O382" i="6"/>
  <c r="N382" i="6"/>
  <c r="Y381" i="6"/>
  <c r="V381" i="6"/>
  <c r="S381" i="6"/>
  <c r="Q381" i="6"/>
  <c r="R381" i="6" s="1"/>
  <c r="P381" i="6"/>
  <c r="O381" i="6"/>
  <c r="N381" i="6"/>
  <c r="Y380" i="6"/>
  <c r="V380" i="6"/>
  <c r="S380" i="6"/>
  <c r="Q380" i="6"/>
  <c r="R380" i="6" s="1"/>
  <c r="P380" i="6"/>
  <c r="O380" i="6"/>
  <c r="N380" i="6"/>
  <c r="Y379" i="6"/>
  <c r="V379" i="6"/>
  <c r="S379" i="6"/>
  <c r="Q379" i="6"/>
  <c r="R379" i="6" s="1"/>
  <c r="P379" i="6"/>
  <c r="O379" i="6"/>
  <c r="N379" i="6"/>
  <c r="Y378" i="6"/>
  <c r="V378" i="6"/>
  <c r="S378" i="6"/>
  <c r="Q378" i="6"/>
  <c r="R378" i="6" s="1"/>
  <c r="M33" i="7" s="1"/>
  <c r="P378" i="6"/>
  <c r="O378" i="6"/>
  <c r="N378" i="6"/>
  <c r="Y377" i="6"/>
  <c r="V377" i="6"/>
  <c r="S377" i="6"/>
  <c r="Q377" i="6"/>
  <c r="R377" i="6" s="1"/>
  <c r="P377" i="6"/>
  <c r="O377" i="6"/>
  <c r="N377" i="6"/>
  <c r="Y376" i="6"/>
  <c r="V376" i="6"/>
  <c r="S376" i="6"/>
  <c r="R376" i="6"/>
  <c r="M11" i="7" s="1"/>
  <c r="Q376" i="6"/>
  <c r="P376" i="6"/>
  <c r="O376" i="6"/>
  <c r="N376" i="6"/>
  <c r="Y375" i="6"/>
  <c r="V375" i="6"/>
  <c r="S375" i="6"/>
  <c r="Q375" i="6"/>
  <c r="R375" i="6" s="1"/>
  <c r="P375" i="6"/>
  <c r="O375" i="6"/>
  <c r="N375" i="6"/>
  <c r="Y374" i="6"/>
  <c r="V374" i="6"/>
  <c r="S374" i="6"/>
  <c r="Q374" i="6"/>
  <c r="R374" i="6" s="1"/>
  <c r="P374" i="6"/>
  <c r="O374" i="6"/>
  <c r="N374" i="6"/>
  <c r="Y373" i="6"/>
  <c r="V373" i="6"/>
  <c r="S373" i="6"/>
  <c r="Q373" i="6"/>
  <c r="R373" i="6" s="1"/>
  <c r="P373" i="6"/>
  <c r="O373" i="6"/>
  <c r="N373" i="6"/>
  <c r="Y372" i="6"/>
  <c r="V372" i="6"/>
  <c r="S372" i="6"/>
  <c r="Q372" i="6"/>
  <c r="R372" i="6" s="1"/>
  <c r="M223" i="7" s="1"/>
  <c r="P372" i="6"/>
  <c r="O372" i="6"/>
  <c r="N372" i="6"/>
  <c r="Y371" i="6"/>
  <c r="V371" i="6"/>
  <c r="S371" i="6"/>
  <c r="Q371" i="6"/>
  <c r="R371" i="6" s="1"/>
  <c r="P371" i="6"/>
  <c r="O371" i="6"/>
  <c r="N371" i="6"/>
  <c r="Y370" i="6"/>
  <c r="V370" i="6"/>
  <c r="S370" i="6"/>
  <c r="Q370" i="6"/>
  <c r="R370" i="6" s="1"/>
  <c r="P370" i="6"/>
  <c r="O370" i="6"/>
  <c r="N370" i="6"/>
  <c r="Y369" i="6"/>
  <c r="V369" i="6"/>
  <c r="S369" i="6"/>
  <c r="Q369" i="6"/>
  <c r="R369" i="6" s="1"/>
  <c r="M216" i="7" s="1"/>
  <c r="P369" i="6"/>
  <c r="O369" i="6"/>
  <c r="N369" i="6"/>
  <c r="Y368" i="6"/>
  <c r="V368" i="6"/>
  <c r="S368" i="6"/>
  <c r="R368" i="6"/>
  <c r="Q368" i="6"/>
  <c r="P368" i="6"/>
  <c r="O368" i="6"/>
  <c r="N368" i="6"/>
  <c r="Y367" i="6"/>
  <c r="V367" i="6"/>
  <c r="S367" i="6"/>
  <c r="Q367" i="6"/>
  <c r="R367" i="6" s="1"/>
  <c r="P367" i="6"/>
  <c r="O367" i="6"/>
  <c r="N367" i="6"/>
  <c r="Y366" i="6"/>
  <c r="V366" i="6"/>
  <c r="S366" i="6"/>
  <c r="Q366" i="6"/>
  <c r="R366" i="6" s="1"/>
  <c r="P366" i="6"/>
  <c r="O366" i="6"/>
  <c r="N366" i="6"/>
  <c r="Y365" i="6"/>
  <c r="V365" i="6"/>
  <c r="S365" i="6"/>
  <c r="Q365" i="6"/>
  <c r="R365" i="6" s="1"/>
  <c r="M272" i="7" s="1"/>
  <c r="P365" i="6"/>
  <c r="O365" i="6"/>
  <c r="N365" i="6"/>
  <c r="Y364" i="6"/>
  <c r="V364" i="6"/>
  <c r="S364" i="6"/>
  <c r="Q364" i="6"/>
  <c r="R364" i="6" s="1"/>
  <c r="P364" i="6"/>
  <c r="O364" i="6"/>
  <c r="N364" i="6"/>
  <c r="Y363" i="6"/>
  <c r="V363" i="6"/>
  <c r="S363" i="6"/>
  <c r="Q363" i="6"/>
  <c r="R363" i="6" s="1"/>
  <c r="P363" i="6"/>
  <c r="O363" i="6"/>
  <c r="N363" i="6"/>
  <c r="Y362" i="6"/>
  <c r="V362" i="6"/>
  <c r="S362" i="6"/>
  <c r="Q362" i="6"/>
  <c r="R362" i="6" s="1"/>
  <c r="M224" i="7" s="1"/>
  <c r="P362" i="6"/>
  <c r="O362" i="6"/>
  <c r="N362" i="6"/>
  <c r="Y361" i="6"/>
  <c r="V361" i="6"/>
  <c r="S361" i="6"/>
  <c r="Q361" i="6"/>
  <c r="R361" i="6" s="1"/>
  <c r="M105" i="7" s="1"/>
  <c r="P361" i="6"/>
  <c r="O361" i="6"/>
  <c r="N361" i="6"/>
  <c r="Y360" i="6"/>
  <c r="V360" i="6"/>
  <c r="S360" i="6"/>
  <c r="Q360" i="6"/>
  <c r="R360" i="6" s="1"/>
  <c r="M265" i="7" s="1"/>
  <c r="P360" i="6"/>
  <c r="O360" i="6"/>
  <c r="N360" i="6"/>
  <c r="Y359" i="6"/>
  <c r="V359" i="6"/>
  <c r="S359" i="6"/>
  <c r="Q359" i="6"/>
  <c r="R359" i="6" s="1"/>
  <c r="P359" i="6"/>
  <c r="O359" i="6"/>
  <c r="N359" i="6"/>
  <c r="Y358" i="6"/>
  <c r="V358" i="6"/>
  <c r="S358" i="6"/>
  <c r="Q358" i="6"/>
  <c r="R358" i="6" s="1"/>
  <c r="M197" i="7" s="1"/>
  <c r="P358" i="6"/>
  <c r="O358" i="6"/>
  <c r="N358" i="6"/>
  <c r="Y357" i="6"/>
  <c r="V357" i="6"/>
  <c r="S357" i="6"/>
  <c r="Q357" i="6"/>
  <c r="R357" i="6" s="1"/>
  <c r="P357" i="6"/>
  <c r="O357" i="6"/>
  <c r="N357" i="6"/>
  <c r="Y356" i="6"/>
  <c r="V356" i="6"/>
  <c r="S356" i="6"/>
  <c r="Q356" i="6"/>
  <c r="R356" i="6" s="1"/>
  <c r="P356" i="6"/>
  <c r="O356" i="6"/>
  <c r="N356" i="6"/>
  <c r="Y355" i="6"/>
  <c r="V355" i="6"/>
  <c r="S355" i="6"/>
  <c r="Q355" i="6"/>
  <c r="R355" i="6" s="1"/>
  <c r="P355" i="6"/>
  <c r="O355" i="6"/>
  <c r="N355" i="6"/>
  <c r="Y354" i="6"/>
  <c r="V354" i="6"/>
  <c r="S354" i="6"/>
  <c r="Q354" i="6"/>
  <c r="R354" i="6" s="1"/>
  <c r="P354" i="6"/>
  <c r="O354" i="6"/>
  <c r="N354" i="6"/>
  <c r="Y353" i="6"/>
  <c r="V353" i="6"/>
  <c r="S353" i="6"/>
  <c r="Q353" i="6"/>
  <c r="R353" i="6" s="1"/>
  <c r="P353" i="6"/>
  <c r="O353" i="6"/>
  <c r="N353" i="6"/>
  <c r="Y352" i="6"/>
  <c r="V352" i="6"/>
  <c r="S352" i="6"/>
  <c r="Q352" i="6"/>
  <c r="R352" i="6" s="1"/>
  <c r="P352" i="6"/>
  <c r="O352" i="6"/>
  <c r="N352" i="6"/>
  <c r="Y351" i="6"/>
  <c r="V351" i="6"/>
  <c r="S351" i="6"/>
  <c r="Q351" i="6"/>
  <c r="R351" i="6" s="1"/>
  <c r="M255" i="7" s="1"/>
  <c r="P351" i="6"/>
  <c r="O351" i="6"/>
  <c r="N351" i="6"/>
  <c r="Y350" i="6"/>
  <c r="V350" i="6"/>
  <c r="S350" i="6"/>
  <c r="Q350" i="6"/>
  <c r="R350" i="6" s="1"/>
  <c r="M100" i="7" s="1"/>
  <c r="P350" i="6"/>
  <c r="O350" i="6"/>
  <c r="N350" i="6"/>
  <c r="Y349" i="6"/>
  <c r="V349" i="6"/>
  <c r="S349" i="6"/>
  <c r="Q349" i="6"/>
  <c r="R349" i="6" s="1"/>
  <c r="P349" i="6"/>
  <c r="O349" i="6"/>
  <c r="N349" i="6"/>
  <c r="Y348" i="6"/>
  <c r="V348" i="6"/>
  <c r="S348" i="6"/>
  <c r="Q348" i="6"/>
  <c r="R348" i="6" s="1"/>
  <c r="M14" i="7" s="1"/>
  <c r="P348" i="6"/>
  <c r="O348" i="6"/>
  <c r="N348" i="6"/>
  <c r="Y347" i="6"/>
  <c r="V347" i="6"/>
  <c r="S347" i="6"/>
  <c r="Q347" i="6"/>
  <c r="R347" i="6" s="1"/>
  <c r="M190" i="7" s="1"/>
  <c r="P347" i="6"/>
  <c r="O347" i="6"/>
  <c r="N347" i="6"/>
  <c r="Y346" i="6"/>
  <c r="V346" i="6"/>
  <c r="S346" i="6"/>
  <c r="Q346" i="6"/>
  <c r="R346" i="6" s="1"/>
  <c r="M9" i="7" s="1"/>
  <c r="P346" i="6"/>
  <c r="O346" i="6"/>
  <c r="N346" i="6"/>
  <c r="Y345" i="6"/>
  <c r="V345" i="6"/>
  <c r="S345" i="6"/>
  <c r="Q345" i="6"/>
  <c r="R345" i="6" s="1"/>
  <c r="P345" i="6"/>
  <c r="O345" i="6"/>
  <c r="N345" i="6"/>
  <c r="Y344" i="6"/>
  <c r="V344" i="6"/>
  <c r="S344" i="6"/>
  <c r="Q344" i="6"/>
  <c r="R344" i="6" s="1"/>
  <c r="P344" i="6"/>
  <c r="O344" i="6"/>
  <c r="N344" i="6"/>
  <c r="Y343" i="6"/>
  <c r="V343" i="6"/>
  <c r="S343" i="6"/>
  <c r="Q343" i="6"/>
  <c r="R343" i="6" s="1"/>
  <c r="P343" i="6"/>
  <c r="O343" i="6"/>
  <c r="N343" i="6"/>
  <c r="Y342" i="6"/>
  <c r="V342" i="6"/>
  <c r="S342" i="6"/>
  <c r="Q342" i="6"/>
  <c r="R342" i="6" s="1"/>
  <c r="M228" i="7" s="1"/>
  <c r="P342" i="6"/>
  <c r="O342" i="6"/>
  <c r="N342" i="6"/>
  <c r="Y341" i="6"/>
  <c r="V341" i="6"/>
  <c r="S341" i="6"/>
  <c r="Q341" i="6"/>
  <c r="R341" i="6" s="1"/>
  <c r="M17" i="7" s="1"/>
  <c r="P341" i="6"/>
  <c r="O341" i="6"/>
  <c r="N341" i="6"/>
  <c r="Y340" i="6"/>
  <c r="V340" i="6"/>
  <c r="S340" i="6"/>
  <c r="Q340" i="6"/>
  <c r="R340" i="6" s="1"/>
  <c r="P340" i="6"/>
  <c r="O340" i="6"/>
  <c r="N340" i="6"/>
  <c r="Y339" i="6"/>
  <c r="V339" i="6"/>
  <c r="S339" i="6"/>
  <c r="R339" i="6"/>
  <c r="M337" i="7" s="1"/>
  <c r="Q339" i="6"/>
  <c r="P339" i="6"/>
  <c r="O339" i="6"/>
  <c r="N339" i="6"/>
  <c r="Y338" i="6"/>
  <c r="V338" i="6"/>
  <c r="S338" i="6"/>
  <c r="Q338" i="6"/>
  <c r="R338" i="6" s="1"/>
  <c r="M326" i="7" s="1"/>
  <c r="P338" i="6"/>
  <c r="O338" i="6"/>
  <c r="N338" i="6"/>
  <c r="Y337" i="6"/>
  <c r="V337" i="6"/>
  <c r="S337" i="6"/>
  <c r="Q337" i="6"/>
  <c r="R337" i="6" s="1"/>
  <c r="M215" i="7" s="1"/>
  <c r="P337" i="6"/>
  <c r="O337" i="6"/>
  <c r="N337" i="6"/>
  <c r="Y336" i="6"/>
  <c r="V336" i="6"/>
  <c r="S336" i="6"/>
  <c r="Q336" i="6"/>
  <c r="R336" i="6" s="1"/>
  <c r="M267" i="7" s="1"/>
  <c r="P336" i="6"/>
  <c r="O336" i="6"/>
  <c r="N336" i="6"/>
  <c r="Y335" i="6"/>
  <c r="V335" i="6"/>
  <c r="S335" i="6"/>
  <c r="Q335" i="6"/>
  <c r="R335" i="6" s="1"/>
  <c r="M311" i="7" s="1"/>
  <c r="P335" i="6"/>
  <c r="O335" i="6"/>
  <c r="N335" i="6"/>
  <c r="Y334" i="6"/>
  <c r="V334" i="6"/>
  <c r="S334" i="6"/>
  <c r="Q334" i="6"/>
  <c r="R334" i="6" s="1"/>
  <c r="P334" i="6"/>
  <c r="O334" i="6"/>
  <c r="N334" i="6"/>
  <c r="Y333" i="6"/>
  <c r="V333" i="6"/>
  <c r="S333" i="6"/>
  <c r="Q333" i="6"/>
  <c r="R333" i="6" s="1"/>
  <c r="P333" i="6"/>
  <c r="O333" i="6"/>
  <c r="N333" i="6"/>
  <c r="Y332" i="6"/>
  <c r="V332" i="6"/>
  <c r="S332" i="6"/>
  <c r="Q332" i="6"/>
  <c r="R332" i="6" s="1"/>
  <c r="M78" i="7" s="1"/>
  <c r="P332" i="6"/>
  <c r="O332" i="6"/>
  <c r="N332" i="6"/>
  <c r="Y331" i="6"/>
  <c r="V331" i="6"/>
  <c r="S331" i="6"/>
  <c r="Q331" i="6"/>
  <c r="R331" i="6" s="1"/>
  <c r="P331" i="6"/>
  <c r="O331" i="6"/>
  <c r="N331" i="6"/>
  <c r="Y330" i="6"/>
  <c r="V330" i="6"/>
  <c r="S330" i="6"/>
  <c r="Q330" i="6"/>
  <c r="R330" i="6" s="1"/>
  <c r="P330" i="6"/>
  <c r="O330" i="6"/>
  <c r="N330" i="6"/>
  <c r="Y329" i="6"/>
  <c r="V329" i="6"/>
  <c r="S329" i="6"/>
  <c r="Q329" i="6"/>
  <c r="R329" i="6" s="1"/>
  <c r="M123" i="7" s="1"/>
  <c r="P329" i="6"/>
  <c r="O329" i="6"/>
  <c r="N329" i="6"/>
  <c r="Y328" i="6"/>
  <c r="V328" i="6"/>
  <c r="S328" i="6"/>
  <c r="Q328" i="6"/>
  <c r="R328" i="6" s="1"/>
  <c r="P328" i="6"/>
  <c r="O328" i="6"/>
  <c r="N328" i="6"/>
  <c r="Y327" i="6"/>
  <c r="V327" i="6"/>
  <c r="S327" i="6"/>
  <c r="Q327" i="6"/>
  <c r="R327" i="6" s="1"/>
  <c r="P327" i="6"/>
  <c r="O327" i="6"/>
  <c r="N327" i="6"/>
  <c r="Y326" i="6"/>
  <c r="V326" i="6"/>
  <c r="S326" i="6"/>
  <c r="Q326" i="6"/>
  <c r="R326" i="6" s="1"/>
  <c r="P326" i="6"/>
  <c r="O326" i="6"/>
  <c r="N326" i="6"/>
  <c r="Y325" i="6"/>
  <c r="V325" i="6"/>
  <c r="S325" i="6"/>
  <c r="Q325" i="6"/>
  <c r="R325" i="6" s="1"/>
  <c r="P325" i="6"/>
  <c r="O325" i="6"/>
  <c r="N325" i="6"/>
  <c r="Y324" i="6"/>
  <c r="V324" i="6"/>
  <c r="S324" i="6"/>
  <c r="R324" i="6"/>
  <c r="Q324" i="6"/>
  <c r="P324" i="6"/>
  <c r="O324" i="6"/>
  <c r="N324" i="6"/>
  <c r="Y323" i="6"/>
  <c r="V323" i="6"/>
  <c r="S323" i="6"/>
  <c r="R323" i="6"/>
  <c r="Q323" i="6"/>
  <c r="P323" i="6"/>
  <c r="O323" i="6"/>
  <c r="N323" i="6"/>
  <c r="Y322" i="6"/>
  <c r="V322" i="6"/>
  <c r="S322" i="6"/>
  <c r="R322" i="6"/>
  <c r="Q322" i="6"/>
  <c r="P322" i="6"/>
  <c r="O322" i="6"/>
  <c r="N322" i="6"/>
  <c r="Y321" i="6"/>
  <c r="V321" i="6"/>
  <c r="S321" i="6"/>
  <c r="Q321" i="6"/>
  <c r="R321" i="6" s="1"/>
  <c r="P321" i="6"/>
  <c r="O321" i="6"/>
  <c r="N321" i="6"/>
  <c r="Y320" i="6"/>
  <c r="V320" i="6"/>
  <c r="S320" i="6"/>
  <c r="Q320" i="6"/>
  <c r="R320" i="6" s="1"/>
  <c r="M18" i="7" s="1"/>
  <c r="P320" i="6"/>
  <c r="O320" i="6"/>
  <c r="N320" i="6"/>
  <c r="Y319" i="6"/>
  <c r="V319" i="6"/>
  <c r="S319" i="6"/>
  <c r="Q319" i="6"/>
  <c r="R319" i="6" s="1"/>
  <c r="P319" i="6"/>
  <c r="O319" i="6"/>
  <c r="N319" i="6"/>
  <c r="Y318" i="6"/>
  <c r="V318" i="6"/>
  <c r="S318" i="6"/>
  <c r="Q318" i="6"/>
  <c r="R318" i="6" s="1"/>
  <c r="P318" i="6"/>
  <c r="O318" i="6"/>
  <c r="N318" i="6"/>
  <c r="Y317" i="6"/>
  <c r="V317" i="6"/>
  <c r="S317" i="6"/>
  <c r="Q317" i="6"/>
  <c r="R317" i="6" s="1"/>
  <c r="P317" i="6"/>
  <c r="O317" i="6"/>
  <c r="N317" i="6"/>
  <c r="Y316" i="6"/>
  <c r="V316" i="6"/>
  <c r="S316" i="6"/>
  <c r="Q316" i="6"/>
  <c r="R316" i="6" s="1"/>
  <c r="P316" i="6"/>
  <c r="O316" i="6"/>
  <c r="N316" i="6"/>
  <c r="Y315" i="6"/>
  <c r="V315" i="6"/>
  <c r="S315" i="6"/>
  <c r="Q315" i="6"/>
  <c r="R315" i="6" s="1"/>
  <c r="P315" i="6"/>
  <c r="O315" i="6"/>
  <c r="N315" i="6"/>
  <c r="Y314" i="6"/>
  <c r="V314" i="6"/>
  <c r="S314" i="6"/>
  <c r="Q314" i="6"/>
  <c r="R314" i="6" s="1"/>
  <c r="P314" i="6"/>
  <c r="O314" i="6"/>
  <c r="N314" i="6"/>
  <c r="Y313" i="6"/>
  <c r="V313" i="6"/>
  <c r="S313" i="6"/>
  <c r="Q313" i="6"/>
  <c r="R313" i="6" s="1"/>
  <c r="P313" i="6"/>
  <c r="O313" i="6"/>
  <c r="N313" i="6"/>
  <c r="Y312" i="6"/>
  <c r="V312" i="6"/>
  <c r="S312" i="6"/>
  <c r="R312" i="6"/>
  <c r="M305" i="7" s="1"/>
  <c r="Q312" i="6"/>
  <c r="P312" i="6"/>
  <c r="O312" i="6"/>
  <c r="N312" i="6"/>
  <c r="Y311" i="6"/>
  <c r="V311" i="6"/>
  <c r="S311" i="6"/>
  <c r="R311" i="6"/>
  <c r="Q311" i="6"/>
  <c r="P311" i="6"/>
  <c r="O311" i="6"/>
  <c r="N311" i="6"/>
  <c r="Y310" i="6"/>
  <c r="V310" i="6"/>
  <c r="S310" i="6"/>
  <c r="Q310" i="6"/>
  <c r="R310" i="6" s="1"/>
  <c r="P310" i="6"/>
  <c r="O310" i="6"/>
  <c r="N310" i="6"/>
  <c r="Y309" i="6"/>
  <c r="V309" i="6"/>
  <c r="S309" i="6"/>
  <c r="Q309" i="6"/>
  <c r="R309" i="6" s="1"/>
  <c r="P309" i="6"/>
  <c r="O309" i="6"/>
  <c r="N309" i="6"/>
  <c r="Y308" i="6"/>
  <c r="V308" i="6"/>
  <c r="S308" i="6"/>
  <c r="Q308" i="6"/>
  <c r="R308" i="6" s="1"/>
  <c r="P308" i="6"/>
  <c r="O308" i="6"/>
  <c r="N308" i="6"/>
  <c r="Y307" i="6"/>
  <c r="V307" i="6"/>
  <c r="S307" i="6"/>
  <c r="Q307" i="6"/>
  <c r="R307" i="6" s="1"/>
  <c r="P307" i="6"/>
  <c r="O307" i="6"/>
  <c r="N307" i="6"/>
  <c r="Y306" i="6"/>
  <c r="V306" i="6"/>
  <c r="S306" i="6"/>
  <c r="Q306" i="6"/>
  <c r="R306" i="6" s="1"/>
  <c r="P306" i="6"/>
  <c r="O306" i="6"/>
  <c r="N306" i="6"/>
  <c r="Y305" i="6"/>
  <c r="V305" i="6"/>
  <c r="S305" i="6"/>
  <c r="Q305" i="6"/>
  <c r="R305" i="6" s="1"/>
  <c r="P305" i="6"/>
  <c r="O305" i="6"/>
  <c r="N305" i="6"/>
  <c r="Y304" i="6"/>
  <c r="V304" i="6"/>
  <c r="S304" i="6"/>
  <c r="Q304" i="6"/>
  <c r="R304" i="6" s="1"/>
  <c r="P304" i="6"/>
  <c r="O304" i="6"/>
  <c r="N304" i="6"/>
  <c r="Y303" i="6"/>
  <c r="V303" i="6"/>
  <c r="S303" i="6"/>
  <c r="Q303" i="6"/>
  <c r="R303" i="6" s="1"/>
  <c r="P303" i="6"/>
  <c r="O303" i="6"/>
  <c r="N303" i="6"/>
  <c r="Y302" i="6"/>
  <c r="V302" i="6"/>
  <c r="S302" i="6"/>
  <c r="Q302" i="6"/>
  <c r="R302" i="6" s="1"/>
  <c r="M97" i="7" s="1"/>
  <c r="P302" i="6"/>
  <c r="O302" i="6"/>
  <c r="N302" i="6"/>
  <c r="Y301" i="6"/>
  <c r="V301" i="6"/>
  <c r="S301" i="6"/>
  <c r="Q301" i="6"/>
  <c r="R301" i="6" s="1"/>
  <c r="P301" i="6"/>
  <c r="O301" i="6"/>
  <c r="N301" i="6"/>
  <c r="Y300" i="6"/>
  <c r="V300" i="6"/>
  <c r="S300" i="6"/>
  <c r="Q300" i="6"/>
  <c r="R300" i="6" s="1"/>
  <c r="M346" i="7" s="1"/>
  <c r="P300" i="6"/>
  <c r="O300" i="6"/>
  <c r="N300" i="6"/>
  <c r="Y299" i="6"/>
  <c r="V299" i="6"/>
  <c r="S299" i="6"/>
  <c r="Q299" i="6"/>
  <c r="R299" i="6" s="1"/>
  <c r="M103" i="7" s="1"/>
  <c r="P299" i="6"/>
  <c r="O299" i="6"/>
  <c r="N299" i="6"/>
  <c r="Y298" i="6"/>
  <c r="V298" i="6"/>
  <c r="S298" i="6"/>
  <c r="Q298" i="6"/>
  <c r="R298" i="6" s="1"/>
  <c r="P298" i="6"/>
  <c r="O298" i="6"/>
  <c r="N298" i="6"/>
  <c r="Y297" i="6"/>
  <c r="V297" i="6"/>
  <c r="S297" i="6"/>
  <c r="Q297" i="6"/>
  <c r="R297" i="6" s="1"/>
  <c r="P297" i="6"/>
  <c r="O297" i="6"/>
  <c r="N297" i="6"/>
  <c r="Y296" i="6"/>
  <c r="V296" i="6"/>
  <c r="S296" i="6"/>
  <c r="R296" i="6"/>
  <c r="M309" i="7" s="1"/>
  <c r="Q296" i="6"/>
  <c r="P296" i="6"/>
  <c r="O296" i="6"/>
  <c r="N296" i="6"/>
  <c r="Y295" i="6"/>
  <c r="V295" i="6"/>
  <c r="S295" i="6"/>
  <c r="R295" i="6"/>
  <c r="Q295" i="6"/>
  <c r="P295" i="6"/>
  <c r="O295" i="6"/>
  <c r="N295" i="6"/>
  <c r="Y294" i="6"/>
  <c r="V294" i="6"/>
  <c r="S294" i="6"/>
  <c r="R294" i="6"/>
  <c r="Q294" i="6"/>
  <c r="P294" i="6"/>
  <c r="O294" i="6"/>
  <c r="N294" i="6"/>
  <c r="Y293" i="6"/>
  <c r="V293" i="6"/>
  <c r="S293" i="6"/>
  <c r="Q293" i="6"/>
  <c r="R293" i="6" s="1"/>
  <c r="M69" i="7" s="1"/>
  <c r="P293" i="6"/>
  <c r="O293" i="6"/>
  <c r="N293" i="6"/>
  <c r="Y292" i="6"/>
  <c r="V292" i="6"/>
  <c r="S292" i="6"/>
  <c r="Q292" i="6"/>
  <c r="R292" i="6" s="1"/>
  <c r="P292" i="6"/>
  <c r="O292" i="6"/>
  <c r="N292" i="6"/>
  <c r="Y291" i="6"/>
  <c r="V291" i="6"/>
  <c r="S291" i="6"/>
  <c r="Q291" i="6"/>
  <c r="R291" i="6" s="1"/>
  <c r="P291" i="6"/>
  <c r="O291" i="6"/>
  <c r="N291" i="6"/>
  <c r="Y290" i="6"/>
  <c r="V290" i="6"/>
  <c r="S290" i="6"/>
  <c r="Q290" i="6"/>
  <c r="R290" i="6" s="1"/>
  <c r="P290" i="6"/>
  <c r="O290" i="6"/>
  <c r="N290" i="6"/>
  <c r="Y289" i="6"/>
  <c r="V289" i="6"/>
  <c r="S289" i="6"/>
  <c r="Q289" i="6"/>
  <c r="R289" i="6" s="1"/>
  <c r="P289" i="6"/>
  <c r="O289" i="6"/>
  <c r="N289" i="6"/>
  <c r="Y288" i="6"/>
  <c r="V288" i="6"/>
  <c r="S288" i="6"/>
  <c r="Q288" i="6"/>
  <c r="R288" i="6" s="1"/>
  <c r="P288" i="6"/>
  <c r="O288" i="6"/>
  <c r="N288" i="6"/>
  <c r="Y287" i="6"/>
  <c r="V287" i="6"/>
  <c r="S287" i="6"/>
  <c r="Q287" i="6"/>
  <c r="R287" i="6" s="1"/>
  <c r="M129" i="7" s="1"/>
  <c r="P287" i="6"/>
  <c r="O287" i="6"/>
  <c r="N287" i="6"/>
  <c r="Y286" i="6"/>
  <c r="V286" i="6"/>
  <c r="S286" i="6"/>
  <c r="Q286" i="6"/>
  <c r="R286" i="6" s="1"/>
  <c r="M124" i="7" s="1"/>
  <c r="P286" i="6"/>
  <c r="O286" i="6"/>
  <c r="N286" i="6"/>
  <c r="Y285" i="6"/>
  <c r="V285" i="6"/>
  <c r="S285" i="6"/>
  <c r="Q285" i="6"/>
  <c r="R285" i="6" s="1"/>
  <c r="P285" i="6"/>
  <c r="O285" i="6"/>
  <c r="N285" i="6"/>
  <c r="Y284" i="6"/>
  <c r="V284" i="6"/>
  <c r="S284" i="6"/>
  <c r="Q284" i="6"/>
  <c r="R284" i="6" s="1"/>
  <c r="P284" i="6"/>
  <c r="O284" i="6"/>
  <c r="N284" i="6"/>
  <c r="Y283" i="6"/>
  <c r="V283" i="6"/>
  <c r="S283" i="6"/>
  <c r="Q283" i="6"/>
  <c r="R283" i="6" s="1"/>
  <c r="M258" i="7" s="1"/>
  <c r="P283" i="6"/>
  <c r="O283" i="6"/>
  <c r="N283" i="6"/>
  <c r="Y282" i="6"/>
  <c r="V282" i="6"/>
  <c r="S282" i="6"/>
  <c r="Q282" i="6"/>
  <c r="R282" i="6" s="1"/>
  <c r="P282" i="6"/>
  <c r="O282" i="6"/>
  <c r="N282" i="6"/>
  <c r="Y281" i="6"/>
  <c r="V281" i="6"/>
  <c r="S281" i="6"/>
  <c r="Q281" i="6"/>
  <c r="R281" i="6" s="1"/>
  <c r="P281" i="6"/>
  <c r="O281" i="6"/>
  <c r="N281" i="6"/>
  <c r="Y280" i="6"/>
  <c r="V280" i="6"/>
  <c r="S280" i="6"/>
  <c r="R280" i="6"/>
  <c r="Q280" i="6"/>
  <c r="P280" i="6"/>
  <c r="O280" i="6"/>
  <c r="N280" i="6"/>
  <c r="Y279" i="6"/>
  <c r="V279" i="6"/>
  <c r="S279" i="6"/>
  <c r="Q279" i="6"/>
  <c r="R279" i="6" s="1"/>
  <c r="P279" i="6"/>
  <c r="O279" i="6"/>
  <c r="N279" i="6"/>
  <c r="Y278" i="6"/>
  <c r="V278" i="6"/>
  <c r="S278" i="6"/>
  <c r="Q278" i="6"/>
  <c r="R278" i="6" s="1"/>
  <c r="P278" i="6"/>
  <c r="O278" i="6"/>
  <c r="N278" i="6"/>
  <c r="Y277" i="6"/>
  <c r="V277" i="6"/>
  <c r="S277" i="6"/>
  <c r="Q277" i="6"/>
  <c r="R277" i="6" s="1"/>
  <c r="P277" i="6"/>
  <c r="O277" i="6"/>
  <c r="N277" i="6"/>
  <c r="Y276" i="6"/>
  <c r="V276" i="6"/>
  <c r="S276" i="6"/>
  <c r="Q276" i="6"/>
  <c r="R276" i="6" s="1"/>
  <c r="M327" i="7" s="1"/>
  <c r="P276" i="6"/>
  <c r="O276" i="6"/>
  <c r="N276" i="6"/>
  <c r="Y275" i="6"/>
  <c r="V275" i="6"/>
  <c r="S275" i="6"/>
  <c r="Q275" i="6"/>
  <c r="R275" i="6" s="1"/>
  <c r="P275" i="6"/>
  <c r="O275" i="6"/>
  <c r="N275" i="6"/>
  <c r="Y274" i="6"/>
  <c r="V274" i="6"/>
  <c r="S274" i="6"/>
  <c r="Q274" i="6"/>
  <c r="R274" i="6" s="1"/>
  <c r="P274" i="6"/>
  <c r="O274" i="6"/>
  <c r="N274" i="6"/>
  <c r="Y273" i="6"/>
  <c r="V273" i="6"/>
  <c r="S273" i="6"/>
  <c r="Q273" i="6"/>
  <c r="R273" i="6" s="1"/>
  <c r="P273" i="6"/>
  <c r="O273" i="6"/>
  <c r="N273" i="6"/>
  <c r="Y272" i="6"/>
  <c r="V272" i="6"/>
  <c r="S272" i="6"/>
  <c r="Q272" i="6"/>
  <c r="R272" i="6" s="1"/>
  <c r="P272" i="6"/>
  <c r="O272" i="6"/>
  <c r="N272" i="6"/>
  <c r="Y271" i="6"/>
  <c r="V271" i="6"/>
  <c r="S271" i="6"/>
  <c r="Q271" i="6"/>
  <c r="R271" i="6" s="1"/>
  <c r="P271" i="6"/>
  <c r="O271" i="6"/>
  <c r="N271" i="6"/>
  <c r="Y270" i="6"/>
  <c r="V270" i="6"/>
  <c r="S270" i="6"/>
  <c r="Q270" i="6"/>
  <c r="R270" i="6" s="1"/>
  <c r="P270" i="6"/>
  <c r="O270" i="6"/>
  <c r="N270" i="6"/>
  <c r="Y269" i="6"/>
  <c r="V269" i="6"/>
  <c r="S269" i="6"/>
  <c r="Q269" i="6"/>
  <c r="R269" i="6" s="1"/>
  <c r="P269" i="6"/>
  <c r="O269" i="6"/>
  <c r="N269" i="6"/>
  <c r="Y268" i="6"/>
  <c r="V268" i="6"/>
  <c r="S268" i="6"/>
  <c r="Q268" i="6"/>
  <c r="R268" i="6" s="1"/>
  <c r="M185" i="7" s="1"/>
  <c r="P268" i="6"/>
  <c r="O268" i="6"/>
  <c r="N268" i="6"/>
  <c r="Y267" i="6"/>
  <c r="V267" i="6"/>
  <c r="S267" i="6"/>
  <c r="Q267" i="6"/>
  <c r="R267" i="6" s="1"/>
  <c r="M148" i="7" s="1"/>
  <c r="P267" i="6"/>
  <c r="O267" i="6"/>
  <c r="N267" i="6"/>
  <c r="Y266" i="6"/>
  <c r="V266" i="6"/>
  <c r="S266" i="6"/>
  <c r="Q266" i="6"/>
  <c r="R266" i="6" s="1"/>
  <c r="M324" i="7" s="1"/>
  <c r="P266" i="6"/>
  <c r="O266" i="6"/>
  <c r="N266" i="6"/>
  <c r="Y265" i="6"/>
  <c r="V265" i="6"/>
  <c r="S265" i="6"/>
  <c r="Q265" i="6"/>
  <c r="R265" i="6" s="1"/>
  <c r="P265" i="6"/>
  <c r="O265" i="6"/>
  <c r="N265" i="6"/>
  <c r="Y264" i="6"/>
  <c r="V264" i="6"/>
  <c r="S264" i="6"/>
  <c r="Q264" i="6"/>
  <c r="R264" i="6" s="1"/>
  <c r="P264" i="6"/>
  <c r="O264" i="6"/>
  <c r="N264" i="6"/>
  <c r="Y263" i="6"/>
  <c r="V263" i="6"/>
  <c r="S263" i="6"/>
  <c r="Q263" i="6"/>
  <c r="R263" i="6" s="1"/>
  <c r="M306" i="7" s="1"/>
  <c r="P263" i="6"/>
  <c r="O263" i="6"/>
  <c r="N263" i="6"/>
  <c r="Y262" i="6"/>
  <c r="V262" i="6"/>
  <c r="S262" i="6"/>
  <c r="Q262" i="6"/>
  <c r="R262" i="6" s="1"/>
  <c r="P262" i="6"/>
  <c r="O262" i="6"/>
  <c r="N262" i="6"/>
  <c r="Y261" i="6"/>
  <c r="V261" i="6"/>
  <c r="S261" i="6"/>
  <c r="Q261" i="6"/>
  <c r="R261" i="6" s="1"/>
  <c r="M292" i="7" s="1"/>
  <c r="P261" i="6"/>
  <c r="O261" i="6"/>
  <c r="N261" i="6"/>
  <c r="Y260" i="6"/>
  <c r="V260" i="6"/>
  <c r="S260" i="6"/>
  <c r="Q260" i="6"/>
  <c r="R260" i="6" s="1"/>
  <c r="P260" i="6"/>
  <c r="O260" i="6"/>
  <c r="N260" i="6"/>
  <c r="Y259" i="6"/>
  <c r="V259" i="6"/>
  <c r="S259" i="6"/>
  <c r="Q259" i="6"/>
  <c r="R259" i="6" s="1"/>
  <c r="P259" i="6"/>
  <c r="O259" i="6"/>
  <c r="N259" i="6"/>
  <c r="Y258" i="6"/>
  <c r="V258" i="6"/>
  <c r="S258" i="6"/>
  <c r="Q258" i="6"/>
  <c r="R258" i="6" s="1"/>
  <c r="M19" i="7" s="1"/>
  <c r="P258" i="6"/>
  <c r="O258" i="6"/>
  <c r="N258" i="6"/>
  <c r="Y257" i="6"/>
  <c r="V257" i="6"/>
  <c r="S257" i="6"/>
  <c r="Q257" i="6"/>
  <c r="R257" i="6" s="1"/>
  <c r="P257" i="6"/>
  <c r="O257" i="6"/>
  <c r="N257" i="6"/>
  <c r="Y256" i="6"/>
  <c r="V256" i="6"/>
  <c r="S256" i="6"/>
  <c r="R256" i="6"/>
  <c r="Q256" i="6"/>
  <c r="P256" i="6"/>
  <c r="O256" i="6"/>
  <c r="N256" i="6"/>
  <c r="Y255" i="6"/>
  <c r="V255" i="6"/>
  <c r="S255" i="6"/>
  <c r="R255" i="6"/>
  <c r="Q255" i="6"/>
  <c r="P255" i="6"/>
  <c r="O255" i="6"/>
  <c r="N255" i="6"/>
  <c r="Y254" i="6"/>
  <c r="V254" i="6"/>
  <c r="S254" i="6"/>
  <c r="Q254" i="6"/>
  <c r="R254" i="6" s="1"/>
  <c r="M177" i="7" s="1"/>
  <c r="P254" i="6"/>
  <c r="O254" i="6"/>
  <c r="N254" i="6"/>
  <c r="Y253" i="6"/>
  <c r="V253" i="6"/>
  <c r="S253" i="6"/>
  <c r="Q253" i="6"/>
  <c r="R253" i="6" s="1"/>
  <c r="P253" i="6"/>
  <c r="O253" i="6"/>
  <c r="N253" i="6"/>
  <c r="Y252" i="6"/>
  <c r="V252" i="6"/>
  <c r="S252" i="6"/>
  <c r="Q252" i="6"/>
  <c r="R252" i="6" s="1"/>
  <c r="P252" i="6"/>
  <c r="O252" i="6"/>
  <c r="N252" i="6"/>
  <c r="Y251" i="6"/>
  <c r="V251" i="6"/>
  <c r="S251" i="6"/>
  <c r="Q251" i="6"/>
  <c r="R251" i="6" s="1"/>
  <c r="P251" i="6"/>
  <c r="O251" i="6"/>
  <c r="N251" i="6"/>
  <c r="Y250" i="6"/>
  <c r="V250" i="6"/>
  <c r="S250" i="6"/>
  <c r="Q250" i="6"/>
  <c r="R250" i="6" s="1"/>
  <c r="M27" i="7" s="1"/>
  <c r="P250" i="6"/>
  <c r="O250" i="6"/>
  <c r="N250" i="6"/>
  <c r="Y249" i="6"/>
  <c r="V249" i="6"/>
  <c r="S249" i="6"/>
  <c r="Q249" i="6"/>
  <c r="R249" i="6" s="1"/>
  <c r="P249" i="6"/>
  <c r="O249" i="6"/>
  <c r="N249" i="6"/>
  <c r="Y248" i="6"/>
  <c r="V248" i="6"/>
  <c r="S248" i="6"/>
  <c r="R248" i="6"/>
  <c r="Q248" i="6"/>
  <c r="P248" i="6"/>
  <c r="O248" i="6"/>
  <c r="N248" i="6"/>
  <c r="Y247" i="6"/>
  <c r="V247" i="6"/>
  <c r="S247" i="6"/>
  <c r="R247" i="6"/>
  <c r="M117" i="7" s="1"/>
  <c r="Q247" i="6"/>
  <c r="P247" i="6"/>
  <c r="O247" i="6"/>
  <c r="N247" i="6"/>
  <c r="Y246" i="6"/>
  <c r="V246" i="6"/>
  <c r="S246" i="6"/>
  <c r="Q246" i="6"/>
  <c r="R246" i="6" s="1"/>
  <c r="P246" i="6"/>
  <c r="O246" i="6"/>
  <c r="N246" i="6"/>
  <c r="Y245" i="6"/>
  <c r="V245" i="6"/>
  <c r="S245" i="6"/>
  <c r="Q245" i="6"/>
  <c r="R245" i="6" s="1"/>
  <c r="P245" i="6"/>
  <c r="O245" i="6"/>
  <c r="N245" i="6"/>
  <c r="Y244" i="6"/>
  <c r="V244" i="6"/>
  <c r="S244" i="6"/>
  <c r="Q244" i="6"/>
  <c r="R244" i="6" s="1"/>
  <c r="P244" i="6"/>
  <c r="O244" i="6"/>
  <c r="N244" i="6"/>
  <c r="Y243" i="6"/>
  <c r="V243" i="6"/>
  <c r="S243" i="6"/>
  <c r="Q243" i="6"/>
  <c r="R243" i="6" s="1"/>
  <c r="P243" i="6"/>
  <c r="O243" i="6"/>
  <c r="N243" i="6"/>
  <c r="Y242" i="6"/>
  <c r="V242" i="6"/>
  <c r="S242" i="6"/>
  <c r="Q242" i="6"/>
  <c r="R242" i="6" s="1"/>
  <c r="P242" i="6"/>
  <c r="O242" i="6"/>
  <c r="N242" i="6"/>
  <c r="Y241" i="6"/>
  <c r="V241" i="6"/>
  <c r="S241" i="6"/>
  <c r="Q241" i="6"/>
  <c r="R241" i="6" s="1"/>
  <c r="P241" i="6"/>
  <c r="O241" i="6"/>
  <c r="N241" i="6"/>
  <c r="Y240" i="6"/>
  <c r="V240" i="6"/>
  <c r="S240" i="6"/>
  <c r="R240" i="6"/>
  <c r="Q240" i="6"/>
  <c r="P240" i="6"/>
  <c r="O240" i="6"/>
  <c r="N240" i="6"/>
  <c r="Y239" i="6"/>
  <c r="V239" i="6"/>
  <c r="S239" i="6"/>
  <c r="R239" i="6"/>
  <c r="Q239" i="6"/>
  <c r="P239" i="6"/>
  <c r="O239" i="6"/>
  <c r="N239" i="6"/>
  <c r="Y238" i="6"/>
  <c r="V238" i="6"/>
  <c r="S238" i="6"/>
  <c r="Q238" i="6"/>
  <c r="R238" i="6" s="1"/>
  <c r="M209" i="7" s="1"/>
  <c r="P238" i="6"/>
  <c r="O238" i="6"/>
  <c r="N238" i="6"/>
  <c r="Y237" i="6"/>
  <c r="V237" i="6"/>
  <c r="S237" i="6"/>
  <c r="Q237" i="6"/>
  <c r="R237" i="6" s="1"/>
  <c r="P237" i="6"/>
  <c r="O237" i="6"/>
  <c r="N237" i="6"/>
  <c r="Y236" i="6"/>
  <c r="V236" i="6"/>
  <c r="S236" i="6"/>
  <c r="Q236" i="6"/>
  <c r="R236" i="6" s="1"/>
  <c r="P236" i="6"/>
  <c r="O236" i="6"/>
  <c r="N236" i="6"/>
  <c r="Y235" i="6"/>
  <c r="V235" i="6"/>
  <c r="S235" i="6"/>
  <c r="Q235" i="6"/>
  <c r="R235" i="6" s="1"/>
  <c r="P235" i="6"/>
  <c r="O235" i="6"/>
  <c r="N235" i="6"/>
  <c r="Y234" i="6"/>
  <c r="V234" i="6"/>
  <c r="S234" i="6"/>
  <c r="Q234" i="6"/>
  <c r="R234" i="6" s="1"/>
  <c r="P234" i="6"/>
  <c r="O234" i="6"/>
  <c r="N234" i="6"/>
  <c r="Y233" i="6"/>
  <c r="V233" i="6"/>
  <c r="S233" i="6"/>
  <c r="Q233" i="6"/>
  <c r="R233" i="6" s="1"/>
  <c r="P233" i="6"/>
  <c r="O233" i="6"/>
  <c r="N233" i="6"/>
  <c r="Y232" i="6"/>
  <c r="V232" i="6"/>
  <c r="S232" i="6"/>
  <c r="Q232" i="6"/>
  <c r="R232" i="6" s="1"/>
  <c r="P232" i="6"/>
  <c r="O232" i="6"/>
  <c r="N232" i="6"/>
  <c r="Y231" i="6"/>
  <c r="V231" i="6"/>
  <c r="S231" i="6"/>
  <c r="Q231" i="6"/>
  <c r="R231" i="6" s="1"/>
  <c r="M241" i="7" s="1"/>
  <c r="P231" i="6"/>
  <c r="O231" i="6"/>
  <c r="N231" i="6"/>
  <c r="Y230" i="6"/>
  <c r="V230" i="6"/>
  <c r="S230" i="6"/>
  <c r="Q230" i="6"/>
  <c r="R230" i="6" s="1"/>
  <c r="M279" i="7" s="1"/>
  <c r="P230" i="6"/>
  <c r="O230" i="6"/>
  <c r="N230" i="6"/>
  <c r="Y229" i="6"/>
  <c r="V229" i="6"/>
  <c r="S229" i="6"/>
  <c r="Q229" i="6"/>
  <c r="R229" i="6" s="1"/>
  <c r="P229" i="6"/>
  <c r="O229" i="6"/>
  <c r="N229" i="6"/>
  <c r="Y228" i="6"/>
  <c r="V228" i="6"/>
  <c r="S228" i="6"/>
  <c r="Q228" i="6"/>
  <c r="R228" i="6" s="1"/>
  <c r="M210" i="7" s="1"/>
  <c r="P228" i="6"/>
  <c r="O228" i="6"/>
  <c r="N228" i="6"/>
  <c r="Y227" i="6"/>
  <c r="V227" i="6"/>
  <c r="S227" i="6"/>
  <c r="Q227" i="6"/>
  <c r="R227" i="6" s="1"/>
  <c r="P227" i="6"/>
  <c r="O227" i="6"/>
  <c r="N227" i="6"/>
  <c r="Y226" i="6"/>
  <c r="V226" i="6"/>
  <c r="S226" i="6"/>
  <c r="Q226" i="6"/>
  <c r="R226" i="6" s="1"/>
  <c r="P226" i="6"/>
  <c r="O226" i="6"/>
  <c r="N226" i="6"/>
  <c r="Y225" i="6"/>
  <c r="V225" i="6"/>
  <c r="S225" i="6"/>
  <c r="Q225" i="6"/>
  <c r="R225" i="6" s="1"/>
  <c r="P225" i="6"/>
  <c r="O225" i="6"/>
  <c r="N225" i="6"/>
  <c r="Y224" i="6"/>
  <c r="V224" i="6"/>
  <c r="S224" i="6"/>
  <c r="Q224" i="6"/>
  <c r="R224" i="6" s="1"/>
  <c r="P224" i="6"/>
  <c r="O224" i="6"/>
  <c r="N224" i="6"/>
  <c r="Y223" i="6"/>
  <c r="V223" i="6"/>
  <c r="S223" i="6"/>
  <c r="Q223" i="6"/>
  <c r="R223" i="6" s="1"/>
  <c r="P223" i="6"/>
  <c r="O223" i="6"/>
  <c r="N223" i="6"/>
  <c r="Y222" i="6"/>
  <c r="V222" i="6"/>
  <c r="S222" i="6"/>
  <c r="Q222" i="6"/>
  <c r="R222" i="6" s="1"/>
  <c r="P222" i="6"/>
  <c r="O222" i="6"/>
  <c r="N222" i="6"/>
  <c r="Y221" i="6"/>
  <c r="V221" i="6"/>
  <c r="S221" i="6"/>
  <c r="R221" i="6"/>
  <c r="Q221" i="6"/>
  <c r="P221" i="6"/>
  <c r="O221" i="6"/>
  <c r="N221" i="6"/>
  <c r="Y220" i="6"/>
  <c r="V220" i="6"/>
  <c r="S220" i="6"/>
  <c r="R220" i="6"/>
  <c r="Q220" i="6"/>
  <c r="P220" i="6"/>
  <c r="O220" i="6"/>
  <c r="N220" i="6"/>
  <c r="Y219" i="6"/>
  <c r="V219" i="6"/>
  <c r="S219" i="6"/>
  <c r="R219" i="6"/>
  <c r="Q219" i="6"/>
  <c r="P219" i="6"/>
  <c r="O219" i="6"/>
  <c r="N219" i="6"/>
  <c r="Y218" i="6"/>
  <c r="V218" i="6"/>
  <c r="S218" i="6"/>
  <c r="Q218" i="6"/>
  <c r="R218" i="6" s="1"/>
  <c r="M299" i="7" s="1"/>
  <c r="P218" i="6"/>
  <c r="O218" i="6"/>
  <c r="N218" i="6"/>
  <c r="Y217" i="6"/>
  <c r="V217" i="6"/>
  <c r="S217" i="6"/>
  <c r="Q217" i="6"/>
  <c r="R217" i="6" s="1"/>
  <c r="P217" i="6"/>
  <c r="O217" i="6"/>
  <c r="N217" i="6"/>
  <c r="Y216" i="6"/>
  <c r="V216" i="6"/>
  <c r="S216" i="6"/>
  <c r="Q216" i="6"/>
  <c r="R216" i="6" s="1"/>
  <c r="P216" i="6"/>
  <c r="O216" i="6"/>
  <c r="N216" i="6"/>
  <c r="Y215" i="6"/>
  <c r="V215" i="6"/>
  <c r="S215" i="6"/>
  <c r="Q215" i="6"/>
  <c r="R215" i="6" s="1"/>
  <c r="P215" i="6"/>
  <c r="O215" i="6"/>
  <c r="N215" i="6"/>
  <c r="Y214" i="6"/>
  <c r="V214" i="6"/>
  <c r="S214" i="6"/>
  <c r="Q214" i="6"/>
  <c r="R214" i="6" s="1"/>
  <c r="M271" i="7" s="1"/>
  <c r="P214" i="6"/>
  <c r="O214" i="6"/>
  <c r="N214" i="6"/>
  <c r="Y213" i="6"/>
  <c r="V213" i="6"/>
  <c r="S213" i="6"/>
  <c r="Q213" i="6"/>
  <c r="R213" i="6" s="1"/>
  <c r="P213" i="6"/>
  <c r="O213" i="6"/>
  <c r="N213" i="6"/>
  <c r="Y212" i="6"/>
  <c r="V212" i="6"/>
  <c r="S212" i="6"/>
  <c r="Q212" i="6"/>
  <c r="R212" i="6" s="1"/>
  <c r="P212" i="6"/>
  <c r="O212" i="6"/>
  <c r="N212" i="6"/>
  <c r="Y211" i="6"/>
  <c r="V211" i="6"/>
  <c r="S211" i="6"/>
  <c r="R211" i="6"/>
  <c r="M331" i="7" s="1"/>
  <c r="Q211" i="6"/>
  <c r="P211" i="6"/>
  <c r="O211" i="6"/>
  <c r="N211" i="6"/>
  <c r="Y210" i="6"/>
  <c r="V210" i="6"/>
  <c r="S210" i="6"/>
  <c r="Q210" i="6"/>
  <c r="R210" i="6" s="1"/>
  <c r="M20" i="7" s="1"/>
  <c r="P210" i="6"/>
  <c r="O210" i="6"/>
  <c r="N210" i="6"/>
  <c r="Y209" i="6"/>
  <c r="V209" i="6"/>
  <c r="S209" i="6"/>
  <c r="Q209" i="6"/>
  <c r="R209" i="6" s="1"/>
  <c r="P209" i="6"/>
  <c r="O209" i="6"/>
  <c r="N209" i="6"/>
  <c r="Y208" i="6"/>
  <c r="V208" i="6"/>
  <c r="S208" i="6"/>
  <c r="Q208" i="6"/>
  <c r="R208" i="6" s="1"/>
  <c r="P208" i="6"/>
  <c r="O208" i="6"/>
  <c r="N208" i="6"/>
  <c r="Y207" i="6"/>
  <c r="V207" i="6"/>
  <c r="S207" i="6"/>
  <c r="Q207" i="6"/>
  <c r="R207" i="6" s="1"/>
  <c r="P207" i="6"/>
  <c r="O207" i="6"/>
  <c r="N207" i="6"/>
  <c r="Y206" i="6"/>
  <c r="V206" i="6"/>
  <c r="S206" i="6"/>
  <c r="Q206" i="6"/>
  <c r="R206" i="6" s="1"/>
  <c r="P206" i="6"/>
  <c r="O206" i="6"/>
  <c r="N206" i="6"/>
  <c r="Y205" i="6"/>
  <c r="V205" i="6"/>
  <c r="S205" i="6"/>
  <c r="Q205" i="6"/>
  <c r="R205" i="6" s="1"/>
  <c r="M288" i="7" s="1"/>
  <c r="P205" i="6"/>
  <c r="O205" i="6"/>
  <c r="N205" i="6"/>
  <c r="Y204" i="6"/>
  <c r="V204" i="6"/>
  <c r="S204" i="6"/>
  <c r="Q204" i="6"/>
  <c r="R204" i="6" s="1"/>
  <c r="P204" i="6"/>
  <c r="O204" i="6"/>
  <c r="N204" i="6"/>
  <c r="Y203" i="6"/>
  <c r="V203" i="6"/>
  <c r="S203" i="6"/>
  <c r="Q203" i="6"/>
  <c r="R203" i="6" s="1"/>
  <c r="P203" i="6"/>
  <c r="O203" i="6"/>
  <c r="N203" i="6"/>
  <c r="Y202" i="6"/>
  <c r="V202" i="6"/>
  <c r="S202" i="6"/>
  <c r="Q202" i="6"/>
  <c r="R202" i="6" s="1"/>
  <c r="P202" i="6"/>
  <c r="O202" i="6"/>
  <c r="N202" i="6"/>
  <c r="Y201" i="6"/>
  <c r="V201" i="6"/>
  <c r="S201" i="6"/>
  <c r="Q201" i="6"/>
  <c r="R201" i="6" s="1"/>
  <c r="M170" i="7" s="1"/>
  <c r="P201" i="6"/>
  <c r="O201" i="6"/>
  <c r="N201" i="6"/>
  <c r="Y200" i="6"/>
  <c r="V200" i="6"/>
  <c r="S200" i="6"/>
  <c r="Q200" i="6"/>
  <c r="R200" i="6" s="1"/>
  <c r="P200" i="6"/>
  <c r="O200" i="6"/>
  <c r="N200" i="6"/>
  <c r="Y199" i="6"/>
  <c r="V199" i="6"/>
  <c r="S199" i="6"/>
  <c r="Q199" i="6"/>
  <c r="R199" i="6" s="1"/>
  <c r="M348" i="7" s="1"/>
  <c r="P199" i="6"/>
  <c r="O199" i="6"/>
  <c r="N199" i="6"/>
  <c r="Y198" i="6"/>
  <c r="V198" i="6"/>
  <c r="S198" i="6"/>
  <c r="Q198" i="6"/>
  <c r="R198" i="6" s="1"/>
  <c r="P198" i="6"/>
  <c r="O198" i="6"/>
  <c r="N198" i="6"/>
  <c r="Y197" i="6"/>
  <c r="V197" i="6"/>
  <c r="S197" i="6"/>
  <c r="R197" i="6"/>
  <c r="Q197" i="6"/>
  <c r="P197" i="6"/>
  <c r="O197" i="6"/>
  <c r="N197" i="6"/>
  <c r="Y196" i="6"/>
  <c r="V196" i="6"/>
  <c r="S196" i="6"/>
  <c r="R196" i="6"/>
  <c r="Q196" i="6"/>
  <c r="P196" i="6"/>
  <c r="O196" i="6"/>
  <c r="N196" i="6"/>
  <c r="Y195" i="6"/>
  <c r="V195" i="6"/>
  <c r="S195" i="6"/>
  <c r="Q195" i="6"/>
  <c r="R195" i="6" s="1"/>
  <c r="P195" i="6"/>
  <c r="O195" i="6"/>
  <c r="N195" i="6"/>
  <c r="Y194" i="6"/>
  <c r="V194" i="6"/>
  <c r="S194" i="6"/>
  <c r="Q194" i="6"/>
  <c r="R194" i="6" s="1"/>
  <c r="P194" i="6"/>
  <c r="O194" i="6"/>
  <c r="N194" i="6"/>
  <c r="Y193" i="6"/>
  <c r="V193" i="6"/>
  <c r="S193" i="6"/>
  <c r="Q193" i="6"/>
  <c r="R193" i="6" s="1"/>
  <c r="P193" i="6"/>
  <c r="O193" i="6"/>
  <c r="N193" i="6"/>
  <c r="Y192" i="6"/>
  <c r="V192" i="6"/>
  <c r="S192" i="6"/>
  <c r="Q192" i="6"/>
  <c r="R192" i="6" s="1"/>
  <c r="M160" i="7" s="1"/>
  <c r="P192" i="6"/>
  <c r="O192" i="6"/>
  <c r="N192" i="6"/>
  <c r="Y191" i="6"/>
  <c r="V191" i="6"/>
  <c r="S191" i="6"/>
  <c r="Q191" i="6"/>
  <c r="R191" i="6" s="1"/>
  <c r="P191" i="6"/>
  <c r="O191" i="6"/>
  <c r="N191" i="6"/>
  <c r="Y190" i="6"/>
  <c r="V190" i="6"/>
  <c r="S190" i="6"/>
  <c r="Q190" i="6"/>
  <c r="R190" i="6" s="1"/>
  <c r="P190" i="6"/>
  <c r="O190" i="6"/>
  <c r="N190" i="6"/>
  <c r="Y189" i="6"/>
  <c r="V189" i="6"/>
  <c r="S189" i="6"/>
  <c r="Q189" i="6"/>
  <c r="R189" i="6" s="1"/>
  <c r="M294" i="7" s="1"/>
  <c r="P189" i="6"/>
  <c r="O189" i="6"/>
  <c r="N189" i="6"/>
  <c r="Y188" i="6"/>
  <c r="V188" i="6"/>
  <c r="S188" i="6"/>
  <c r="R188" i="6"/>
  <c r="M68" i="7" s="1"/>
  <c r="Q188" i="6"/>
  <c r="P188" i="6"/>
  <c r="O188" i="6"/>
  <c r="N188" i="6"/>
  <c r="Y187" i="6"/>
  <c r="V187" i="6"/>
  <c r="S187" i="6"/>
  <c r="Q187" i="6"/>
  <c r="R187" i="6" s="1"/>
  <c r="P187" i="6"/>
  <c r="O187" i="6"/>
  <c r="N187" i="6"/>
  <c r="Y186" i="6"/>
  <c r="V186" i="6"/>
  <c r="S186" i="6"/>
  <c r="Q186" i="6"/>
  <c r="R186" i="6" s="1"/>
  <c r="M131" i="7" s="1"/>
  <c r="P186" i="6"/>
  <c r="O186" i="6"/>
  <c r="N186" i="6"/>
  <c r="Y185" i="6"/>
  <c r="V185" i="6"/>
  <c r="S185" i="6"/>
  <c r="Q185" i="6"/>
  <c r="R185" i="6" s="1"/>
  <c r="M189" i="7" s="1"/>
  <c r="P185" i="6"/>
  <c r="O185" i="6"/>
  <c r="N185" i="6"/>
  <c r="Y184" i="6"/>
  <c r="V184" i="6"/>
  <c r="S184" i="6"/>
  <c r="Q184" i="6"/>
  <c r="R184" i="6" s="1"/>
  <c r="P184" i="6"/>
  <c r="O184" i="6"/>
  <c r="N184" i="6"/>
  <c r="Y183" i="6"/>
  <c r="V183" i="6"/>
  <c r="S183" i="6"/>
  <c r="Q183" i="6"/>
  <c r="R183" i="6" s="1"/>
  <c r="P183" i="6"/>
  <c r="O183" i="6"/>
  <c r="N183" i="6"/>
  <c r="Y182" i="6"/>
  <c r="V182" i="6"/>
  <c r="S182" i="6"/>
  <c r="Q182" i="6"/>
  <c r="R182" i="6" s="1"/>
  <c r="M153" i="7" s="1"/>
  <c r="P182" i="6"/>
  <c r="O182" i="6"/>
  <c r="N182" i="6"/>
  <c r="Y181" i="6"/>
  <c r="V181" i="6"/>
  <c r="S181" i="6"/>
  <c r="Q181" i="6"/>
  <c r="R181" i="6" s="1"/>
  <c r="M24" i="7" s="1"/>
  <c r="P181" i="6"/>
  <c r="O181" i="6"/>
  <c r="N181" i="6"/>
  <c r="Y180" i="6"/>
  <c r="V180" i="6"/>
  <c r="S180" i="6"/>
  <c r="R180" i="6"/>
  <c r="Q180" i="6"/>
  <c r="P180" i="6"/>
  <c r="O180" i="6"/>
  <c r="N180" i="6"/>
  <c r="Y179" i="6"/>
  <c r="V179" i="6"/>
  <c r="S179" i="6"/>
  <c r="Q179" i="6"/>
  <c r="R179" i="6" s="1"/>
  <c r="P179" i="6"/>
  <c r="O179" i="6"/>
  <c r="N179" i="6"/>
  <c r="Y178" i="6"/>
  <c r="V178" i="6"/>
  <c r="S178" i="6"/>
  <c r="Q178" i="6"/>
  <c r="R178" i="6" s="1"/>
  <c r="P178" i="6"/>
  <c r="O178" i="6"/>
  <c r="N178" i="6"/>
  <c r="Y177" i="6"/>
  <c r="V177" i="6"/>
  <c r="S177" i="6"/>
  <c r="Q177" i="6"/>
  <c r="R177" i="6" s="1"/>
  <c r="P177" i="6"/>
  <c r="O177" i="6"/>
  <c r="N177" i="6"/>
  <c r="Y176" i="6"/>
  <c r="V176" i="6"/>
  <c r="S176" i="6"/>
  <c r="Q176" i="6"/>
  <c r="R176" i="6" s="1"/>
  <c r="P176" i="6"/>
  <c r="O176" i="6"/>
  <c r="N176" i="6"/>
  <c r="Y175" i="6"/>
  <c r="V175" i="6"/>
  <c r="S175" i="6"/>
  <c r="Q175" i="6"/>
  <c r="R175" i="6" s="1"/>
  <c r="P175" i="6"/>
  <c r="O175" i="6"/>
  <c r="N175" i="6"/>
  <c r="Y174" i="6"/>
  <c r="V174" i="6"/>
  <c r="S174" i="6"/>
  <c r="Q174" i="6"/>
  <c r="R174" i="6" s="1"/>
  <c r="M60" i="7" s="1"/>
  <c r="P174" i="6"/>
  <c r="O174" i="6"/>
  <c r="N174" i="6"/>
  <c r="Y173" i="6"/>
  <c r="V173" i="6"/>
  <c r="S173" i="6"/>
  <c r="Q173" i="6"/>
  <c r="R173" i="6" s="1"/>
  <c r="P173" i="6"/>
  <c r="O173" i="6"/>
  <c r="N173" i="6"/>
  <c r="Y172" i="6"/>
  <c r="V172" i="6"/>
  <c r="S172" i="6"/>
  <c r="R172" i="6"/>
  <c r="Q172" i="6"/>
  <c r="P172" i="6"/>
  <c r="O172" i="6"/>
  <c r="N172" i="6"/>
  <c r="Y171" i="6"/>
  <c r="V171" i="6"/>
  <c r="S171" i="6"/>
  <c r="Q171" i="6"/>
  <c r="R171" i="6" s="1"/>
  <c r="M206" i="7" s="1"/>
  <c r="P171" i="6"/>
  <c r="O171" i="6"/>
  <c r="N171" i="6"/>
  <c r="Y170" i="6"/>
  <c r="V170" i="6"/>
  <c r="S170" i="6"/>
  <c r="Q170" i="6"/>
  <c r="R170" i="6" s="1"/>
  <c r="M298" i="7" s="1"/>
  <c r="P170" i="6"/>
  <c r="O170" i="6"/>
  <c r="N170" i="6"/>
  <c r="Y169" i="6"/>
  <c r="V169" i="6"/>
  <c r="S169" i="6"/>
  <c r="Q169" i="6"/>
  <c r="R169" i="6" s="1"/>
  <c r="P169" i="6"/>
  <c r="O169" i="6"/>
  <c r="N169" i="6"/>
  <c r="Y168" i="6"/>
  <c r="V168" i="6"/>
  <c r="S168" i="6"/>
  <c r="Q168" i="6"/>
  <c r="R168" i="6" s="1"/>
  <c r="P168" i="6"/>
  <c r="O168" i="6"/>
  <c r="N168" i="6"/>
  <c r="Y167" i="6"/>
  <c r="V167" i="6"/>
  <c r="S167" i="6"/>
  <c r="Q167" i="6"/>
  <c r="R167" i="6" s="1"/>
  <c r="P167" i="6"/>
  <c r="O167" i="6"/>
  <c r="N167" i="6"/>
  <c r="Y166" i="6"/>
  <c r="V166" i="6"/>
  <c r="S166" i="6"/>
  <c r="Q166" i="6"/>
  <c r="R166" i="6" s="1"/>
  <c r="P166" i="6"/>
  <c r="O166" i="6"/>
  <c r="N166" i="6"/>
  <c r="Y165" i="6"/>
  <c r="V165" i="6"/>
  <c r="S165" i="6"/>
  <c r="R165" i="6"/>
  <c r="M74" i="7" s="1"/>
  <c r="Q165" i="6"/>
  <c r="P165" i="6"/>
  <c r="O165" i="6"/>
  <c r="N165" i="6"/>
  <c r="Y164" i="6"/>
  <c r="V164" i="6"/>
  <c r="S164" i="6"/>
  <c r="R164" i="6"/>
  <c r="Q164" i="6"/>
  <c r="P164" i="6"/>
  <c r="O164" i="6"/>
  <c r="N164" i="6"/>
  <c r="Y163" i="6"/>
  <c r="V163" i="6"/>
  <c r="S163" i="6"/>
  <c r="Q163" i="6"/>
  <c r="R163" i="6" s="1"/>
  <c r="P163" i="6"/>
  <c r="O163" i="6"/>
  <c r="N163" i="6"/>
  <c r="Y162" i="6"/>
  <c r="V162" i="6"/>
  <c r="S162" i="6"/>
  <c r="Q162" i="6"/>
  <c r="R162" i="6" s="1"/>
  <c r="P162" i="6"/>
  <c r="O162" i="6"/>
  <c r="N162" i="6"/>
  <c r="Y161" i="6"/>
  <c r="V161" i="6"/>
  <c r="S161" i="6"/>
  <c r="Q161" i="6"/>
  <c r="R161" i="6" s="1"/>
  <c r="P161" i="6"/>
  <c r="O161" i="6"/>
  <c r="N161" i="6"/>
  <c r="Y160" i="6"/>
  <c r="V160" i="6"/>
  <c r="S160" i="6"/>
  <c r="Q160" i="6"/>
  <c r="R160" i="6" s="1"/>
  <c r="P160" i="6"/>
  <c r="O160" i="6"/>
  <c r="N160" i="6"/>
  <c r="Y159" i="6"/>
  <c r="V159" i="6"/>
  <c r="S159" i="6"/>
  <c r="Q159" i="6"/>
  <c r="R159" i="6" s="1"/>
  <c r="P159" i="6"/>
  <c r="O159" i="6"/>
  <c r="N159" i="6"/>
  <c r="Y158" i="6"/>
  <c r="V158" i="6"/>
  <c r="S158" i="6"/>
  <c r="Q158" i="6"/>
  <c r="R158" i="6" s="1"/>
  <c r="P158" i="6"/>
  <c r="O158" i="6"/>
  <c r="N158" i="6"/>
  <c r="Y157" i="6"/>
  <c r="V157" i="6"/>
  <c r="S157" i="6"/>
  <c r="R157" i="6"/>
  <c r="Q157" i="6"/>
  <c r="P157" i="6"/>
  <c r="O157" i="6"/>
  <c r="N157" i="6"/>
  <c r="Y156" i="6"/>
  <c r="V156" i="6"/>
  <c r="S156" i="6"/>
  <c r="R156" i="6"/>
  <c r="Q156" i="6"/>
  <c r="P156" i="6"/>
  <c r="O156" i="6"/>
  <c r="N156" i="6"/>
  <c r="Y155" i="6"/>
  <c r="V155" i="6"/>
  <c r="S155" i="6"/>
  <c r="Q155" i="6"/>
  <c r="R155" i="6" s="1"/>
  <c r="P155" i="6"/>
  <c r="O155" i="6"/>
  <c r="N155" i="6"/>
  <c r="Y154" i="6"/>
  <c r="V154" i="6"/>
  <c r="S154" i="6"/>
  <c r="Q154" i="6"/>
  <c r="R154" i="6" s="1"/>
  <c r="P154" i="6"/>
  <c r="O154" i="6"/>
  <c r="N154" i="6"/>
  <c r="Y153" i="6"/>
  <c r="V153" i="6"/>
  <c r="S153" i="6"/>
  <c r="Q153" i="6"/>
  <c r="R153" i="6" s="1"/>
  <c r="M140" i="7" s="1"/>
  <c r="P153" i="6"/>
  <c r="O153" i="6"/>
  <c r="N153" i="6"/>
  <c r="Y152" i="6"/>
  <c r="V152" i="6"/>
  <c r="S152" i="6"/>
  <c r="Q152" i="6"/>
  <c r="R152" i="6" s="1"/>
  <c r="M28" i="7" s="1"/>
  <c r="P152" i="6"/>
  <c r="O152" i="6"/>
  <c r="N152" i="6"/>
  <c r="Y151" i="6"/>
  <c r="V151" i="6"/>
  <c r="S151" i="6"/>
  <c r="Q151" i="6"/>
  <c r="R151" i="6" s="1"/>
  <c r="M192" i="7" s="1"/>
  <c r="P151" i="6"/>
  <c r="O151" i="6"/>
  <c r="N151" i="6"/>
  <c r="Y150" i="6"/>
  <c r="V150" i="6"/>
  <c r="S150" i="6"/>
  <c r="Q150" i="6"/>
  <c r="R150" i="6" s="1"/>
  <c r="M254" i="7" s="1"/>
  <c r="P150" i="6"/>
  <c r="O150" i="6"/>
  <c r="N150" i="6"/>
  <c r="Y149" i="6"/>
  <c r="V149" i="6"/>
  <c r="S149" i="6"/>
  <c r="R149" i="6"/>
  <c r="Q149" i="6"/>
  <c r="P149" i="6"/>
  <c r="O149" i="6"/>
  <c r="N149" i="6"/>
  <c r="Y148" i="6"/>
  <c r="V148" i="6"/>
  <c r="S148" i="6"/>
  <c r="Q148" i="6"/>
  <c r="R148" i="6" s="1"/>
  <c r="P148" i="6"/>
  <c r="O148" i="6"/>
  <c r="N148" i="6"/>
  <c r="Y147" i="6"/>
  <c r="V147" i="6"/>
  <c r="S147" i="6"/>
  <c r="Q147" i="6"/>
  <c r="R147" i="6" s="1"/>
  <c r="P147" i="6"/>
  <c r="O147" i="6"/>
  <c r="N147" i="6"/>
  <c r="Y146" i="6"/>
  <c r="V146" i="6"/>
  <c r="S146" i="6"/>
  <c r="Q146" i="6"/>
  <c r="R146" i="6" s="1"/>
  <c r="M50" i="7" s="1"/>
  <c r="P146" i="6"/>
  <c r="O146" i="6"/>
  <c r="N146" i="6"/>
  <c r="Y145" i="6"/>
  <c r="V145" i="6"/>
  <c r="S145" i="6"/>
  <c r="Q145" i="6"/>
  <c r="R145" i="6" s="1"/>
  <c r="M64" i="7" s="1"/>
  <c r="P145" i="6"/>
  <c r="O145" i="6"/>
  <c r="N145" i="6"/>
  <c r="Y144" i="6"/>
  <c r="V144" i="6"/>
  <c r="S144" i="6"/>
  <c r="Q144" i="6"/>
  <c r="R144" i="6" s="1"/>
  <c r="P144" i="6"/>
  <c r="O144" i="6"/>
  <c r="N144" i="6"/>
  <c r="Y143" i="6"/>
  <c r="V143" i="6"/>
  <c r="S143" i="6"/>
  <c r="Q143" i="6"/>
  <c r="R143" i="6" s="1"/>
  <c r="P143" i="6"/>
  <c r="O143" i="6"/>
  <c r="N143" i="6"/>
  <c r="Y142" i="6"/>
  <c r="V142" i="6"/>
  <c r="S142" i="6"/>
  <c r="R142" i="6"/>
  <c r="Q142" i="6"/>
  <c r="P142" i="6"/>
  <c r="O142" i="6"/>
  <c r="N142" i="6"/>
  <c r="Y141" i="6"/>
  <c r="V141" i="6"/>
  <c r="S141" i="6"/>
  <c r="R141" i="6"/>
  <c r="Q141" i="6"/>
  <c r="P141" i="6"/>
  <c r="O141" i="6"/>
  <c r="N141" i="6"/>
  <c r="Y140" i="6"/>
  <c r="V140" i="6"/>
  <c r="S140" i="6"/>
  <c r="Q140" i="6"/>
  <c r="R140" i="6" s="1"/>
  <c r="P140" i="6"/>
  <c r="O140" i="6"/>
  <c r="N140" i="6"/>
  <c r="Y139" i="6"/>
  <c r="V139" i="6"/>
  <c r="S139" i="6"/>
  <c r="Q139" i="6"/>
  <c r="R139" i="6" s="1"/>
  <c r="M217" i="7" s="1"/>
  <c r="P139" i="6"/>
  <c r="O139" i="6"/>
  <c r="N139" i="6"/>
  <c r="Y138" i="6"/>
  <c r="V138" i="6"/>
  <c r="S138" i="6"/>
  <c r="Q138" i="6"/>
  <c r="R138" i="6" s="1"/>
  <c r="P138" i="6"/>
  <c r="O138" i="6"/>
  <c r="N138" i="6"/>
  <c r="Y137" i="6"/>
  <c r="V137" i="6"/>
  <c r="S137" i="6"/>
  <c r="Q137" i="6"/>
  <c r="R137" i="6" s="1"/>
  <c r="P137" i="6"/>
  <c r="O137" i="6"/>
  <c r="N137" i="6"/>
  <c r="Y136" i="6"/>
  <c r="V136" i="6"/>
  <c r="S136" i="6"/>
  <c r="R136" i="6"/>
  <c r="M235" i="7" s="1"/>
  <c r="Q136" i="6"/>
  <c r="P136" i="6"/>
  <c r="O136" i="6"/>
  <c r="N136" i="6"/>
  <c r="Y135" i="6"/>
  <c r="V135" i="6"/>
  <c r="S135" i="6"/>
  <c r="Q135" i="6"/>
  <c r="R135" i="6" s="1"/>
  <c r="P135" i="6"/>
  <c r="O135" i="6"/>
  <c r="N135" i="6"/>
  <c r="Y134" i="6"/>
  <c r="V134" i="6"/>
  <c r="S134" i="6"/>
  <c r="Q134" i="6"/>
  <c r="R134" i="6" s="1"/>
  <c r="P134" i="6"/>
  <c r="O134" i="6"/>
  <c r="N134" i="6"/>
  <c r="Y133" i="6"/>
  <c r="V133" i="6"/>
  <c r="S133" i="6"/>
  <c r="Q133" i="6"/>
  <c r="R133" i="6" s="1"/>
  <c r="P133" i="6"/>
  <c r="O133" i="6"/>
  <c r="N133" i="6"/>
  <c r="Y132" i="6"/>
  <c r="V132" i="6"/>
  <c r="S132" i="6"/>
  <c r="Q132" i="6"/>
  <c r="R132" i="6" s="1"/>
  <c r="M113" i="7" s="1"/>
  <c r="P132" i="6"/>
  <c r="O132" i="6"/>
  <c r="N132" i="6"/>
  <c r="Y131" i="6"/>
  <c r="V131" i="6"/>
  <c r="S131" i="6"/>
  <c r="Q131" i="6"/>
  <c r="R131" i="6" s="1"/>
  <c r="M244" i="7" s="1"/>
  <c r="P131" i="6"/>
  <c r="O131" i="6"/>
  <c r="N131" i="6"/>
  <c r="Y130" i="6"/>
  <c r="V130" i="6"/>
  <c r="S130" i="6"/>
  <c r="Q130" i="6"/>
  <c r="R130" i="6" s="1"/>
  <c r="P130" i="6"/>
  <c r="O130" i="6"/>
  <c r="N130" i="6"/>
  <c r="Y129" i="6"/>
  <c r="V129" i="6"/>
  <c r="S129" i="6"/>
  <c r="Q129" i="6"/>
  <c r="R129" i="6" s="1"/>
  <c r="P129" i="6"/>
  <c r="O129" i="6"/>
  <c r="N129" i="6"/>
  <c r="Y128" i="6"/>
  <c r="V128" i="6"/>
  <c r="S128" i="6"/>
  <c r="Q128" i="6"/>
  <c r="R128" i="6" s="1"/>
  <c r="P128" i="6"/>
  <c r="O128" i="6"/>
  <c r="N128" i="6"/>
  <c r="Y127" i="6"/>
  <c r="V127" i="6"/>
  <c r="S127" i="6"/>
  <c r="Q127" i="6"/>
  <c r="R127" i="6" s="1"/>
  <c r="P127" i="6"/>
  <c r="O127" i="6"/>
  <c r="N127" i="6"/>
  <c r="Y126" i="6"/>
  <c r="V126" i="6"/>
  <c r="S126" i="6"/>
  <c r="Q126" i="6"/>
  <c r="R126" i="6" s="1"/>
  <c r="P126" i="6"/>
  <c r="O126" i="6"/>
  <c r="N126" i="6"/>
  <c r="Y125" i="6"/>
  <c r="V125" i="6"/>
  <c r="S125" i="6"/>
  <c r="Q125" i="6"/>
  <c r="R125" i="6" s="1"/>
  <c r="M243" i="7" s="1"/>
  <c r="P125" i="6"/>
  <c r="O125" i="6"/>
  <c r="N125" i="6"/>
  <c r="Y124" i="6"/>
  <c r="V124" i="6"/>
  <c r="S124" i="6"/>
  <c r="Q124" i="6"/>
  <c r="R124" i="6" s="1"/>
  <c r="M332" i="7" s="1"/>
  <c r="P124" i="6"/>
  <c r="O124" i="6"/>
  <c r="N124" i="6"/>
  <c r="Y123" i="6"/>
  <c r="V123" i="6"/>
  <c r="S123" i="6"/>
  <c r="R123" i="6"/>
  <c r="Q123" i="6"/>
  <c r="P123" i="6"/>
  <c r="O123" i="6"/>
  <c r="N123" i="6"/>
  <c r="Y122" i="6"/>
  <c r="V122" i="6"/>
  <c r="S122" i="6"/>
  <c r="Q122" i="6"/>
  <c r="R122" i="6" s="1"/>
  <c r="P122" i="6"/>
  <c r="O122" i="6"/>
  <c r="N122" i="6"/>
  <c r="Y121" i="6"/>
  <c r="V121" i="6"/>
  <c r="S121" i="6"/>
  <c r="R121" i="6"/>
  <c r="Q121" i="6"/>
  <c r="P121" i="6"/>
  <c r="O121" i="6"/>
  <c r="N121" i="6"/>
  <c r="Y120" i="6"/>
  <c r="V120" i="6"/>
  <c r="S120" i="6"/>
  <c r="Q120" i="6"/>
  <c r="R120" i="6" s="1"/>
  <c r="P120" i="6"/>
  <c r="O120" i="6"/>
  <c r="N120" i="6"/>
  <c r="Y119" i="6"/>
  <c r="V119" i="6"/>
  <c r="S119" i="6"/>
  <c r="Q119" i="6"/>
  <c r="R119" i="6" s="1"/>
  <c r="P119" i="6"/>
  <c r="O119" i="6"/>
  <c r="N119" i="6"/>
  <c r="Y118" i="6"/>
  <c r="V118" i="6"/>
  <c r="S118" i="6"/>
  <c r="Q118" i="6"/>
  <c r="R118" i="6" s="1"/>
  <c r="P118" i="6"/>
  <c r="O118" i="6"/>
  <c r="N118" i="6"/>
  <c r="Y117" i="6"/>
  <c r="V117" i="6"/>
  <c r="S117" i="6"/>
  <c r="Q117" i="6"/>
  <c r="R117" i="6" s="1"/>
  <c r="P117" i="6"/>
  <c r="O117" i="6"/>
  <c r="N117" i="6"/>
  <c r="Y116" i="6"/>
  <c r="V116" i="6"/>
  <c r="S116" i="6"/>
  <c r="Q116" i="6"/>
  <c r="R116" i="6" s="1"/>
  <c r="P116" i="6"/>
  <c r="O116" i="6"/>
  <c r="N116" i="6"/>
  <c r="Y115" i="6"/>
  <c r="V115" i="6"/>
  <c r="S115" i="6"/>
  <c r="R115" i="6"/>
  <c r="Q115" i="6"/>
  <c r="P115" i="6"/>
  <c r="O115" i="6"/>
  <c r="N115" i="6"/>
  <c r="Y114" i="6"/>
  <c r="V114" i="6"/>
  <c r="S114" i="6"/>
  <c r="Q114" i="6"/>
  <c r="R114" i="6" s="1"/>
  <c r="P114" i="6"/>
  <c r="O114" i="6"/>
  <c r="N114" i="6"/>
  <c r="Y113" i="6"/>
  <c r="V113" i="6"/>
  <c r="S113" i="6"/>
  <c r="Q113" i="6"/>
  <c r="R113" i="6" s="1"/>
  <c r="M35" i="7" s="1"/>
  <c r="P113" i="6"/>
  <c r="O113" i="6"/>
  <c r="N113" i="6"/>
  <c r="Y112" i="6"/>
  <c r="V112" i="6"/>
  <c r="S112" i="6"/>
  <c r="Q112" i="6"/>
  <c r="R112" i="6" s="1"/>
  <c r="M184" i="7" s="1"/>
  <c r="P112" i="6"/>
  <c r="O112" i="6"/>
  <c r="N112" i="6"/>
  <c r="Y111" i="6"/>
  <c r="V111" i="6"/>
  <c r="S111" i="6"/>
  <c r="Q111" i="6"/>
  <c r="R111" i="6" s="1"/>
  <c r="M317" i="7" s="1"/>
  <c r="P111" i="6"/>
  <c r="O111" i="6"/>
  <c r="N111" i="6"/>
  <c r="Y110" i="6"/>
  <c r="V110" i="6"/>
  <c r="S110" i="6"/>
  <c r="Q110" i="6"/>
  <c r="R110" i="6" s="1"/>
  <c r="P110" i="6"/>
  <c r="O110" i="6"/>
  <c r="N110" i="6"/>
  <c r="Y109" i="6"/>
  <c r="V109" i="6"/>
  <c r="S109" i="6"/>
  <c r="Q109" i="6"/>
  <c r="R109" i="6" s="1"/>
  <c r="M285" i="7" s="1"/>
  <c r="P109" i="6"/>
  <c r="O109" i="6"/>
  <c r="N109" i="6"/>
  <c r="Y108" i="6"/>
  <c r="V108" i="6"/>
  <c r="S108" i="6"/>
  <c r="Q108" i="6"/>
  <c r="R108" i="6" s="1"/>
  <c r="P108" i="6"/>
  <c r="O108" i="6"/>
  <c r="N108" i="6"/>
  <c r="Y107" i="6"/>
  <c r="V107" i="6"/>
  <c r="S107" i="6"/>
  <c r="R107" i="6"/>
  <c r="Q107" i="6"/>
  <c r="P107" i="6"/>
  <c r="O107" i="6"/>
  <c r="N107" i="6"/>
  <c r="Y106" i="6"/>
  <c r="V106" i="6"/>
  <c r="S106" i="6"/>
  <c r="Q106" i="6"/>
  <c r="R106" i="6" s="1"/>
  <c r="M203" i="7" s="1"/>
  <c r="P106" i="6"/>
  <c r="O106" i="6"/>
  <c r="N106" i="6"/>
  <c r="Y105" i="6"/>
  <c r="V105" i="6"/>
  <c r="S105" i="6"/>
  <c r="Q105" i="6"/>
  <c r="R105" i="6" s="1"/>
  <c r="P105" i="6"/>
  <c r="O105" i="6"/>
  <c r="N105" i="6"/>
  <c r="Y104" i="6"/>
  <c r="V104" i="6"/>
  <c r="S104" i="6"/>
  <c r="Q104" i="6"/>
  <c r="R104" i="6" s="1"/>
  <c r="M227" i="7" s="1"/>
  <c r="P104" i="6"/>
  <c r="O104" i="6"/>
  <c r="N104" i="6"/>
  <c r="Y103" i="6"/>
  <c r="V103" i="6"/>
  <c r="S103" i="6"/>
  <c r="R103" i="6"/>
  <c r="M286" i="7" s="1"/>
  <c r="Q103" i="6"/>
  <c r="P103" i="6"/>
  <c r="O103" i="6"/>
  <c r="N103" i="6"/>
  <c r="Y102" i="6"/>
  <c r="V102" i="6"/>
  <c r="S102" i="6"/>
  <c r="Q102" i="6"/>
  <c r="R102" i="6" s="1"/>
  <c r="P102" i="6"/>
  <c r="O102" i="6"/>
  <c r="N102" i="6"/>
  <c r="Y101" i="6"/>
  <c r="V101" i="6"/>
  <c r="S101" i="6"/>
  <c r="Q101" i="6"/>
  <c r="R101" i="6" s="1"/>
  <c r="P101" i="6"/>
  <c r="O101" i="6"/>
  <c r="N101" i="6"/>
  <c r="Y100" i="6"/>
  <c r="V100" i="6"/>
  <c r="S100" i="6"/>
  <c r="Q100" i="6"/>
  <c r="R100" i="6" s="1"/>
  <c r="P100" i="6"/>
  <c r="O100" i="6"/>
  <c r="N100" i="6"/>
  <c r="Y99" i="6"/>
  <c r="V99" i="6"/>
  <c r="S99" i="6"/>
  <c r="R99" i="6"/>
  <c r="Q99" i="6"/>
  <c r="P99" i="6"/>
  <c r="O99" i="6"/>
  <c r="N99" i="6"/>
  <c r="Y98" i="6"/>
  <c r="V98" i="6"/>
  <c r="S98" i="6"/>
  <c r="Q98" i="6"/>
  <c r="R98" i="6" s="1"/>
  <c r="P98" i="6"/>
  <c r="O98" i="6"/>
  <c r="N98" i="6"/>
  <c r="Y97" i="6"/>
  <c r="V97" i="6"/>
  <c r="S97" i="6"/>
  <c r="R97" i="6"/>
  <c r="Q97" i="6"/>
  <c r="P97" i="6"/>
  <c r="O97" i="6"/>
  <c r="N97" i="6"/>
  <c r="Y96" i="6"/>
  <c r="V96" i="6"/>
  <c r="S96" i="6"/>
  <c r="Q96" i="6"/>
  <c r="R96" i="6" s="1"/>
  <c r="P96" i="6"/>
  <c r="O96" i="6"/>
  <c r="N96" i="6"/>
  <c r="Y95" i="6"/>
  <c r="V95" i="6"/>
  <c r="S95" i="6"/>
  <c r="Q95" i="6"/>
  <c r="R95" i="6" s="1"/>
  <c r="P95" i="6"/>
  <c r="O95" i="6"/>
  <c r="N95" i="6"/>
  <c r="Y94" i="6"/>
  <c r="V94" i="6"/>
  <c r="S94" i="6"/>
  <c r="Q94" i="6"/>
  <c r="R94" i="6" s="1"/>
  <c r="P94" i="6"/>
  <c r="O94" i="6"/>
  <c r="N94" i="6"/>
  <c r="Y93" i="6"/>
  <c r="V93" i="6"/>
  <c r="S93" i="6"/>
  <c r="Q93" i="6"/>
  <c r="R93" i="6" s="1"/>
  <c r="P93" i="6"/>
  <c r="O93" i="6"/>
  <c r="N93" i="6"/>
  <c r="Y92" i="6"/>
  <c r="V92" i="6"/>
  <c r="S92" i="6"/>
  <c r="Q92" i="6"/>
  <c r="R92" i="6" s="1"/>
  <c r="P92" i="6"/>
  <c r="O92" i="6"/>
  <c r="N92" i="6"/>
  <c r="Y91" i="6"/>
  <c r="V91" i="6"/>
  <c r="S91" i="6"/>
  <c r="R91" i="6"/>
  <c r="Q91" i="6"/>
  <c r="P91" i="6"/>
  <c r="O91" i="6"/>
  <c r="N91" i="6"/>
  <c r="Y90" i="6"/>
  <c r="V90" i="6"/>
  <c r="S90" i="6"/>
  <c r="Q90" i="6"/>
  <c r="R90" i="6" s="1"/>
  <c r="M330" i="7" s="1"/>
  <c r="P90" i="6"/>
  <c r="O90" i="6"/>
  <c r="N90" i="6"/>
  <c r="Y89" i="6"/>
  <c r="V89" i="6"/>
  <c r="S89" i="6"/>
  <c r="Q89" i="6"/>
  <c r="R89" i="6" s="1"/>
  <c r="P89" i="6"/>
  <c r="O89" i="6"/>
  <c r="N89" i="6"/>
  <c r="Y88" i="6"/>
  <c r="V88" i="6"/>
  <c r="S88" i="6"/>
  <c r="Q88" i="6"/>
  <c r="R88" i="6" s="1"/>
  <c r="M128" i="7" s="1"/>
  <c r="P88" i="6"/>
  <c r="O88" i="6"/>
  <c r="N88" i="6"/>
  <c r="Y87" i="6"/>
  <c r="V87" i="6"/>
  <c r="S87" i="6"/>
  <c r="R87" i="6"/>
  <c r="Q87" i="6"/>
  <c r="P87" i="6"/>
  <c r="O87" i="6"/>
  <c r="N87" i="6"/>
  <c r="Y86" i="6"/>
  <c r="V86" i="6"/>
  <c r="S86" i="6"/>
  <c r="Q86" i="6"/>
  <c r="R86" i="6" s="1"/>
  <c r="P86" i="6"/>
  <c r="O86" i="6"/>
  <c r="N86" i="6"/>
  <c r="Y85" i="6"/>
  <c r="V85" i="6"/>
  <c r="S85" i="6"/>
  <c r="Q85" i="6"/>
  <c r="R85" i="6" s="1"/>
  <c r="P85" i="6"/>
  <c r="O85" i="6"/>
  <c r="N85" i="6"/>
  <c r="Y84" i="6"/>
  <c r="V84" i="6"/>
  <c r="S84" i="6"/>
  <c r="Q84" i="6"/>
  <c r="R84" i="6" s="1"/>
  <c r="P84" i="6"/>
  <c r="O84" i="6"/>
  <c r="N84" i="6"/>
  <c r="Y83" i="6"/>
  <c r="V83" i="6"/>
  <c r="S83" i="6"/>
  <c r="R83" i="6"/>
  <c r="Q83" i="6"/>
  <c r="P83" i="6"/>
  <c r="O83" i="6"/>
  <c r="N83" i="6"/>
  <c r="Y82" i="6"/>
  <c r="V82" i="6"/>
  <c r="S82" i="6"/>
  <c r="Q82" i="6"/>
  <c r="R82" i="6" s="1"/>
  <c r="M202" i="7" s="1"/>
  <c r="P82" i="6"/>
  <c r="O82" i="6"/>
  <c r="N82" i="6"/>
  <c r="Y81" i="6"/>
  <c r="V81" i="6"/>
  <c r="S81" i="6"/>
  <c r="R81" i="6"/>
  <c r="M282" i="7" s="1"/>
  <c r="Q81" i="6"/>
  <c r="P81" i="6"/>
  <c r="O81" i="6"/>
  <c r="N81" i="6"/>
  <c r="Y80" i="6"/>
  <c r="V80" i="6"/>
  <c r="S80" i="6"/>
  <c r="Q80" i="6"/>
  <c r="R80" i="6" s="1"/>
  <c r="M196" i="7" s="1"/>
  <c r="P80" i="6"/>
  <c r="O80" i="6"/>
  <c r="N80" i="6"/>
  <c r="Y79" i="6"/>
  <c r="V79" i="6"/>
  <c r="S79" i="6"/>
  <c r="Q79" i="6"/>
  <c r="R79" i="6" s="1"/>
  <c r="P79" i="6"/>
  <c r="O79" i="6"/>
  <c r="N79" i="6"/>
  <c r="Y78" i="6"/>
  <c r="V78" i="6"/>
  <c r="S78" i="6"/>
  <c r="Q78" i="6"/>
  <c r="R78" i="6" s="1"/>
  <c r="P78" i="6"/>
  <c r="O78" i="6"/>
  <c r="N78" i="6"/>
  <c r="Y77" i="6"/>
  <c r="V77" i="6"/>
  <c r="S77" i="6"/>
  <c r="Q77" i="6"/>
  <c r="R77" i="6" s="1"/>
  <c r="P77" i="6"/>
  <c r="O77" i="6"/>
  <c r="N77" i="6"/>
  <c r="Y76" i="6"/>
  <c r="V76" i="6"/>
  <c r="S76" i="6"/>
  <c r="Q76" i="6"/>
  <c r="R76" i="6" s="1"/>
  <c r="P76" i="6"/>
  <c r="O76" i="6"/>
  <c r="N76" i="6"/>
  <c r="Y75" i="6"/>
  <c r="V75" i="6"/>
  <c r="S75" i="6"/>
  <c r="R75" i="6"/>
  <c r="M351" i="7" s="1"/>
  <c r="Q75" i="6"/>
  <c r="P75" i="6"/>
  <c r="O75" i="6"/>
  <c r="N75" i="6"/>
  <c r="Y74" i="6"/>
  <c r="V74" i="6"/>
  <c r="S74" i="6"/>
  <c r="Q74" i="6"/>
  <c r="R74" i="6" s="1"/>
  <c r="M98" i="7" s="1"/>
  <c r="P74" i="6"/>
  <c r="O74" i="6"/>
  <c r="N74" i="6"/>
  <c r="Y73" i="6"/>
  <c r="V73" i="6"/>
  <c r="S73" i="6"/>
  <c r="Q73" i="6"/>
  <c r="R73" i="6" s="1"/>
  <c r="P73" i="6"/>
  <c r="O73" i="6"/>
  <c r="N73" i="6"/>
  <c r="Y72" i="6"/>
  <c r="V72" i="6"/>
  <c r="S72" i="6"/>
  <c r="Q72" i="6"/>
  <c r="R72" i="6" s="1"/>
  <c r="P72" i="6"/>
  <c r="O72" i="6"/>
  <c r="N72" i="6"/>
  <c r="Y71" i="6"/>
  <c r="V71" i="6"/>
  <c r="S71" i="6"/>
  <c r="R71" i="6"/>
  <c r="M321" i="7" s="1"/>
  <c r="Q71" i="6"/>
  <c r="P71" i="6"/>
  <c r="O71" i="6"/>
  <c r="N71" i="6"/>
  <c r="Y70" i="6"/>
  <c r="V70" i="6"/>
  <c r="S70" i="6"/>
  <c r="Q70" i="6"/>
  <c r="R70" i="6" s="1"/>
  <c r="P70" i="6"/>
  <c r="O70" i="6"/>
  <c r="N70" i="6"/>
  <c r="Y69" i="6"/>
  <c r="V69" i="6"/>
  <c r="S69" i="6"/>
  <c r="Q69" i="6"/>
  <c r="R69" i="6" s="1"/>
  <c r="P69" i="6"/>
  <c r="O69" i="6"/>
  <c r="N69" i="6"/>
  <c r="Y68" i="6"/>
  <c r="V68" i="6"/>
  <c r="S68" i="6"/>
  <c r="Q68" i="6"/>
  <c r="R68" i="6" s="1"/>
  <c r="M191" i="7" s="1"/>
  <c r="P68" i="6"/>
  <c r="O68" i="6"/>
  <c r="N68" i="6"/>
  <c r="Y67" i="6"/>
  <c r="V67" i="6"/>
  <c r="S67" i="6"/>
  <c r="R67" i="6"/>
  <c r="Q67" i="6"/>
  <c r="P67" i="6"/>
  <c r="O67" i="6"/>
  <c r="N67" i="6"/>
  <c r="Y66" i="6"/>
  <c r="V66" i="6"/>
  <c r="S66" i="6"/>
  <c r="Q66" i="6"/>
  <c r="R66" i="6" s="1"/>
  <c r="M114" i="7" s="1"/>
  <c r="P66" i="6"/>
  <c r="O66" i="6"/>
  <c r="N66" i="6"/>
  <c r="Y65" i="6"/>
  <c r="V65" i="6"/>
  <c r="S65" i="6"/>
  <c r="R65" i="6"/>
  <c r="Q65" i="6"/>
  <c r="P65" i="6"/>
  <c r="O65" i="6"/>
  <c r="N65" i="6"/>
  <c r="Y64" i="6"/>
  <c r="V64" i="6"/>
  <c r="S64" i="6"/>
  <c r="Q64" i="6"/>
  <c r="R64" i="6" s="1"/>
  <c r="P64" i="6"/>
  <c r="O64" i="6"/>
  <c r="N64" i="6"/>
  <c r="Y63" i="6"/>
  <c r="V63" i="6"/>
  <c r="S63" i="6"/>
  <c r="Q63" i="6"/>
  <c r="R63" i="6" s="1"/>
  <c r="P63" i="6"/>
  <c r="O63" i="6"/>
  <c r="N63" i="6"/>
  <c r="Y62" i="6"/>
  <c r="V62" i="6"/>
  <c r="S62" i="6"/>
  <c r="Q62" i="6"/>
  <c r="R62" i="6" s="1"/>
  <c r="M173" i="7" s="1"/>
  <c r="P62" i="6"/>
  <c r="O62" i="6"/>
  <c r="N62" i="6"/>
  <c r="Y61" i="6"/>
  <c r="V61" i="6"/>
  <c r="S61" i="6"/>
  <c r="R61" i="6"/>
  <c r="Q61" i="6"/>
  <c r="P61" i="6"/>
  <c r="O61" i="6"/>
  <c r="N61" i="6"/>
  <c r="Y60" i="6"/>
  <c r="V60" i="6"/>
  <c r="S60" i="6"/>
  <c r="Q60" i="6"/>
  <c r="R60" i="6" s="1"/>
  <c r="P60" i="6"/>
  <c r="O60" i="6"/>
  <c r="N60" i="6"/>
  <c r="Y59" i="6"/>
  <c r="V59" i="6"/>
  <c r="S59" i="6"/>
  <c r="Q59" i="6"/>
  <c r="R59" i="6" s="1"/>
  <c r="P59" i="6"/>
  <c r="O59" i="6"/>
  <c r="N59" i="6"/>
  <c r="Y58" i="6"/>
  <c r="V58" i="6"/>
  <c r="S58" i="6"/>
  <c r="Q58" i="6"/>
  <c r="R58" i="6" s="1"/>
  <c r="M347" i="7" s="1"/>
  <c r="P58" i="6"/>
  <c r="O58" i="6"/>
  <c r="N58" i="6"/>
  <c r="Y57" i="6"/>
  <c r="V57" i="6"/>
  <c r="S57" i="6"/>
  <c r="Q57" i="6"/>
  <c r="R57" i="6" s="1"/>
  <c r="P57" i="6"/>
  <c r="O57" i="6"/>
  <c r="N57" i="6"/>
  <c r="Y56" i="6"/>
  <c r="V56" i="6"/>
  <c r="S56" i="6"/>
  <c r="Q56" i="6"/>
  <c r="R56" i="6" s="1"/>
  <c r="M104" i="7" s="1"/>
  <c r="P56" i="6"/>
  <c r="O56" i="6"/>
  <c r="N56" i="6"/>
  <c r="Y55" i="6"/>
  <c r="V55" i="6"/>
  <c r="S55" i="6"/>
  <c r="Q55" i="6"/>
  <c r="R55" i="6" s="1"/>
  <c r="P55" i="6"/>
  <c r="O55" i="6"/>
  <c r="N55" i="6"/>
  <c r="Y54" i="6"/>
  <c r="V54" i="6"/>
  <c r="S54" i="6"/>
  <c r="Q54" i="6"/>
  <c r="R54" i="6" s="1"/>
  <c r="P54" i="6"/>
  <c r="O54" i="6"/>
  <c r="N54" i="6"/>
  <c r="Y53" i="6"/>
  <c r="V53" i="6"/>
  <c r="S53" i="6"/>
  <c r="Q53" i="6"/>
  <c r="R53" i="6" s="1"/>
  <c r="M257" i="7" s="1"/>
  <c r="P53" i="6"/>
  <c r="O53" i="6"/>
  <c r="N53" i="6"/>
  <c r="Y52" i="6"/>
  <c r="V52" i="6"/>
  <c r="S52" i="6"/>
  <c r="Q52" i="6"/>
  <c r="R52" i="6" s="1"/>
  <c r="M207" i="7" s="1"/>
  <c r="P52" i="6"/>
  <c r="O52" i="6"/>
  <c r="N52" i="6"/>
  <c r="Y51" i="6"/>
  <c r="V51" i="6"/>
  <c r="S51" i="6"/>
  <c r="Q51" i="6"/>
  <c r="R51" i="6" s="1"/>
  <c r="P51" i="6"/>
  <c r="O51" i="6"/>
  <c r="N51" i="6"/>
  <c r="Y50" i="6"/>
  <c r="V50" i="6"/>
  <c r="S50" i="6"/>
  <c r="Q50" i="6"/>
  <c r="R50" i="6" s="1"/>
  <c r="M165" i="7" s="1"/>
  <c r="P50" i="6"/>
  <c r="O50" i="6"/>
  <c r="N50" i="6"/>
  <c r="Y49" i="6"/>
  <c r="V49" i="6"/>
  <c r="S49" i="6"/>
  <c r="Q49" i="6"/>
  <c r="R49" i="6" s="1"/>
  <c r="P49" i="6"/>
  <c r="O49" i="6"/>
  <c r="N49" i="6"/>
  <c r="Y48" i="6"/>
  <c r="V48" i="6"/>
  <c r="S48" i="6"/>
  <c r="R48" i="6"/>
  <c r="Q48" i="6"/>
  <c r="P48" i="6"/>
  <c r="O48" i="6"/>
  <c r="N48" i="6"/>
  <c r="Y47" i="6"/>
  <c r="V47" i="6"/>
  <c r="S47" i="6"/>
  <c r="Q47" i="6"/>
  <c r="R47" i="6" s="1"/>
  <c r="P47" i="6"/>
  <c r="O47" i="6"/>
  <c r="N47" i="6"/>
  <c r="Y46" i="6"/>
  <c r="V46" i="6"/>
  <c r="S46" i="6"/>
  <c r="Q46" i="6"/>
  <c r="R46" i="6" s="1"/>
  <c r="P46" i="6"/>
  <c r="O46" i="6"/>
  <c r="N46" i="6"/>
  <c r="Y45" i="6"/>
  <c r="V45" i="6"/>
  <c r="S45" i="6"/>
  <c r="Q45" i="6"/>
  <c r="R45" i="6" s="1"/>
  <c r="M266" i="7" s="1"/>
  <c r="P45" i="6"/>
  <c r="O45" i="6"/>
  <c r="N45" i="6"/>
  <c r="Y44" i="6"/>
  <c r="V44" i="6"/>
  <c r="S44" i="6"/>
  <c r="Q44" i="6"/>
  <c r="R44" i="6" s="1"/>
  <c r="P44" i="6"/>
  <c r="O44" i="6"/>
  <c r="N44" i="6"/>
  <c r="Y43" i="6"/>
  <c r="V43" i="6"/>
  <c r="S43" i="6"/>
  <c r="Q43" i="6"/>
  <c r="R43" i="6" s="1"/>
  <c r="P43" i="6"/>
  <c r="O43" i="6"/>
  <c r="N43" i="6"/>
  <c r="Y42" i="6"/>
  <c r="V42" i="6"/>
  <c r="S42" i="6"/>
  <c r="Q42" i="6"/>
  <c r="R42" i="6" s="1"/>
  <c r="P42" i="6"/>
  <c r="O42" i="6"/>
  <c r="N42" i="6"/>
  <c r="Y41" i="6"/>
  <c r="V41" i="6"/>
  <c r="S41" i="6"/>
  <c r="Q41" i="6"/>
  <c r="R41" i="6" s="1"/>
  <c r="M176" i="7" s="1"/>
  <c r="P41" i="6"/>
  <c r="O41" i="6"/>
  <c r="N41" i="6"/>
  <c r="Y40" i="6"/>
  <c r="V40" i="6"/>
  <c r="S40" i="6"/>
  <c r="R40" i="6"/>
  <c r="M87" i="7" s="1"/>
  <c r="Q40" i="6"/>
  <c r="P40" i="6"/>
  <c r="O40" i="6"/>
  <c r="N40" i="6"/>
  <c r="Y39" i="6"/>
  <c r="V39" i="6"/>
  <c r="S39" i="6"/>
  <c r="Q39" i="6"/>
  <c r="R39" i="6" s="1"/>
  <c r="P39" i="6"/>
  <c r="O39" i="6"/>
  <c r="N39" i="6"/>
  <c r="Y38" i="6"/>
  <c r="V38" i="6"/>
  <c r="S38" i="6"/>
  <c r="R38" i="6"/>
  <c r="Q38" i="6"/>
  <c r="P38" i="6"/>
  <c r="O38" i="6"/>
  <c r="N38" i="6"/>
  <c r="Y37" i="6"/>
  <c r="V37" i="6"/>
  <c r="S37" i="6"/>
  <c r="Q37" i="6"/>
  <c r="R37" i="6" s="1"/>
  <c r="M47" i="7" s="1"/>
  <c r="P37" i="6"/>
  <c r="O37" i="6"/>
  <c r="N37" i="6"/>
  <c r="Y36" i="6"/>
  <c r="V36" i="6"/>
  <c r="S36" i="6"/>
  <c r="R36" i="6"/>
  <c r="Q36" i="6"/>
  <c r="P36" i="6"/>
  <c r="O36" i="6"/>
  <c r="N36" i="6"/>
  <c r="Y35" i="6"/>
  <c r="V35" i="6"/>
  <c r="S35" i="6"/>
  <c r="Q35" i="6"/>
  <c r="R35" i="6" s="1"/>
  <c r="P35" i="6"/>
  <c r="O35" i="6"/>
  <c r="N35" i="6"/>
  <c r="Y34" i="6"/>
  <c r="V34" i="6"/>
  <c r="S34" i="6"/>
  <c r="Q34" i="6"/>
  <c r="R34" i="6" s="1"/>
  <c r="P34" i="6"/>
  <c r="O34" i="6"/>
  <c r="N34" i="6"/>
  <c r="Y33" i="6"/>
  <c r="V33" i="6"/>
  <c r="S33" i="6"/>
  <c r="Q33" i="6"/>
  <c r="R33" i="6" s="1"/>
  <c r="M268" i="7" s="1"/>
  <c r="P33" i="6"/>
  <c r="O33" i="6"/>
  <c r="N33" i="6"/>
  <c r="Y32" i="6"/>
  <c r="V32" i="6"/>
  <c r="S32" i="6"/>
  <c r="R32" i="6"/>
  <c r="Q32" i="6"/>
  <c r="P32" i="6"/>
  <c r="O32" i="6"/>
  <c r="N32" i="6"/>
  <c r="Y31" i="6"/>
  <c r="V31" i="6"/>
  <c r="S31" i="6"/>
  <c r="Q31" i="6"/>
  <c r="R31" i="6" s="1"/>
  <c r="M222" i="7" s="1"/>
  <c r="P31" i="6"/>
  <c r="O31" i="6"/>
  <c r="N31" i="6"/>
  <c r="Y30" i="6"/>
  <c r="V30" i="6"/>
  <c r="S30" i="6"/>
  <c r="R30" i="6"/>
  <c r="Q30" i="6"/>
  <c r="P30" i="6"/>
  <c r="O30" i="6"/>
  <c r="N30" i="6"/>
  <c r="Y29" i="6"/>
  <c r="V29" i="6"/>
  <c r="S29" i="6"/>
  <c r="Q29" i="6"/>
  <c r="R29" i="6" s="1"/>
  <c r="P29" i="6"/>
  <c r="O29" i="6"/>
  <c r="N29" i="6"/>
  <c r="Y28" i="6"/>
  <c r="V28" i="6"/>
  <c r="S28" i="6"/>
  <c r="Q28" i="6"/>
  <c r="R28" i="6" s="1"/>
  <c r="P28" i="6"/>
  <c r="O28" i="6"/>
  <c r="N28" i="6"/>
  <c r="Y27" i="6"/>
  <c r="V27" i="6"/>
  <c r="S27" i="6"/>
  <c r="Q27" i="6"/>
  <c r="R27" i="6" s="1"/>
  <c r="M80" i="7" s="1"/>
  <c r="P27" i="6"/>
  <c r="O27" i="6"/>
  <c r="N27" i="6"/>
  <c r="Y26" i="6"/>
  <c r="V26" i="6"/>
  <c r="S26" i="6"/>
  <c r="Q26" i="6"/>
  <c r="R26" i="6" s="1"/>
  <c r="M284" i="7" s="1"/>
  <c r="P26" i="6"/>
  <c r="O26" i="6"/>
  <c r="N26" i="6"/>
  <c r="Y25" i="6"/>
  <c r="V25" i="6"/>
  <c r="S25" i="6"/>
  <c r="Q25" i="6"/>
  <c r="R25" i="6" s="1"/>
  <c r="P25" i="6"/>
  <c r="O25" i="6"/>
  <c r="N25" i="6"/>
  <c r="Y24" i="6"/>
  <c r="V24" i="6"/>
  <c r="S24" i="6"/>
  <c r="R24" i="6"/>
  <c r="Q24" i="6"/>
  <c r="P24" i="6"/>
  <c r="O24" i="6"/>
  <c r="N24" i="6"/>
  <c r="Y23" i="6"/>
  <c r="V23" i="6"/>
  <c r="S23" i="6"/>
  <c r="Q23" i="6"/>
  <c r="R23" i="6" s="1"/>
  <c r="P23" i="6"/>
  <c r="O23" i="6"/>
  <c r="N23" i="6"/>
  <c r="Y22" i="6"/>
  <c r="V22" i="6"/>
  <c r="S22" i="6"/>
  <c r="R22" i="6"/>
  <c r="M134" i="7" s="1"/>
  <c r="Q22" i="6"/>
  <c r="P22" i="6"/>
  <c r="O22" i="6"/>
  <c r="N22" i="6"/>
  <c r="Y21" i="6"/>
  <c r="V21" i="6"/>
  <c r="S21" i="6"/>
  <c r="Q21" i="6"/>
  <c r="R21" i="6" s="1"/>
  <c r="P21" i="6"/>
  <c r="O21" i="6"/>
  <c r="N21" i="6"/>
  <c r="Y20" i="6"/>
  <c r="V20" i="6"/>
  <c r="S20" i="6"/>
  <c r="Q20" i="6"/>
  <c r="R20" i="6" s="1"/>
  <c r="P20" i="6"/>
  <c r="O20" i="6"/>
  <c r="N20" i="6"/>
  <c r="Y19" i="6"/>
  <c r="V19" i="6"/>
  <c r="S19" i="6"/>
  <c r="Q19" i="6"/>
  <c r="R19" i="6" s="1"/>
  <c r="P19" i="6"/>
  <c r="O19" i="6"/>
  <c r="N19" i="6"/>
  <c r="Y18" i="6"/>
  <c r="V18" i="6"/>
  <c r="S18" i="6"/>
  <c r="Q18" i="6"/>
  <c r="R18" i="6" s="1"/>
  <c r="M66" i="7" s="1"/>
  <c r="P18" i="6"/>
  <c r="O18" i="6"/>
  <c r="N18" i="6"/>
  <c r="Y17" i="6"/>
  <c r="V17" i="6"/>
  <c r="S17" i="6"/>
  <c r="Q17" i="6"/>
  <c r="R17" i="6" s="1"/>
  <c r="P17" i="6"/>
  <c r="O17" i="6"/>
  <c r="N17" i="6"/>
  <c r="Y16" i="6"/>
  <c r="V16" i="6"/>
  <c r="S16" i="6"/>
  <c r="R16" i="6"/>
  <c r="Q16" i="6"/>
  <c r="P16" i="6"/>
  <c r="O16" i="6"/>
  <c r="N16" i="6"/>
  <c r="Y15" i="6"/>
  <c r="V15" i="6"/>
  <c r="S15" i="6"/>
  <c r="Q15" i="6"/>
  <c r="R15" i="6" s="1"/>
  <c r="M214" i="7" s="1"/>
  <c r="P15" i="6"/>
  <c r="O15" i="6"/>
  <c r="N15" i="6"/>
  <c r="Y14" i="6"/>
  <c r="V14" i="6"/>
  <c r="S14" i="6"/>
  <c r="R14" i="6"/>
  <c r="M213" i="7" s="1"/>
  <c r="Q14" i="6"/>
  <c r="P14" i="6"/>
  <c r="O14" i="6"/>
  <c r="N14" i="6"/>
  <c r="Y13" i="6"/>
  <c r="V13" i="6"/>
  <c r="S13" i="6"/>
  <c r="Q13" i="6"/>
  <c r="R13" i="6" s="1"/>
  <c r="P13" i="6"/>
  <c r="O13" i="6"/>
  <c r="N13" i="6"/>
  <c r="Y12" i="6"/>
  <c r="V12" i="6"/>
  <c r="S12" i="6"/>
  <c r="Q12" i="6"/>
  <c r="R12" i="6" s="1"/>
  <c r="P12" i="6"/>
  <c r="O12" i="6"/>
  <c r="N12" i="6"/>
  <c r="Y11" i="6"/>
  <c r="V11" i="6"/>
  <c r="S11" i="6"/>
  <c r="Q11" i="6"/>
  <c r="R11" i="6" s="1"/>
  <c r="P11" i="6"/>
  <c r="O11" i="6"/>
  <c r="N11" i="6"/>
  <c r="Y10" i="6"/>
  <c r="V10" i="6"/>
  <c r="S10" i="6"/>
  <c r="Q10" i="6"/>
  <c r="R10" i="6" s="1"/>
  <c r="M229" i="7" s="1"/>
  <c r="P10" i="6"/>
  <c r="W10" i="6" s="1"/>
  <c r="O10" i="6"/>
  <c r="N10" i="6"/>
  <c r="Y9" i="6"/>
  <c r="V9" i="6"/>
  <c r="S9" i="6"/>
  <c r="Q9" i="6"/>
  <c r="R9" i="6" s="1"/>
  <c r="P9" i="6"/>
  <c r="O9" i="6"/>
  <c r="N9" i="6"/>
  <c r="Y8" i="6"/>
  <c r="V8" i="6"/>
  <c r="S8" i="6"/>
  <c r="R8" i="6"/>
  <c r="Q8" i="6"/>
  <c r="P8" i="6"/>
  <c r="O8" i="6"/>
  <c r="N8" i="6"/>
  <c r="Y7" i="6"/>
  <c r="V7" i="6"/>
  <c r="S7" i="6"/>
  <c r="Q7" i="6"/>
  <c r="R7" i="6" s="1"/>
  <c r="P7" i="6"/>
  <c r="O7" i="6"/>
  <c r="N7" i="6"/>
  <c r="Y6" i="6"/>
  <c r="V6" i="6"/>
  <c r="S6" i="6"/>
  <c r="R6" i="6"/>
  <c r="M149" i="7" s="1"/>
  <c r="Q6" i="6"/>
  <c r="P6" i="6"/>
  <c r="O6" i="6"/>
  <c r="N6" i="6"/>
  <c r="Y5" i="6"/>
  <c r="V5" i="6"/>
  <c r="S5" i="6"/>
  <c r="Q5" i="6"/>
  <c r="R5" i="6" s="1"/>
  <c r="M277" i="7" s="1"/>
  <c r="P5" i="6"/>
  <c r="O5" i="6"/>
  <c r="N5" i="6"/>
  <c r="Y4" i="6"/>
  <c r="V4" i="6"/>
  <c r="S4" i="6"/>
  <c r="Q4" i="6"/>
  <c r="R4" i="6" s="1"/>
  <c r="M341" i="7" s="1"/>
  <c r="P4" i="6"/>
  <c r="O4" i="6"/>
  <c r="N4" i="6"/>
  <c r="Y3" i="6"/>
  <c r="V3" i="6"/>
  <c r="S3" i="6"/>
  <c r="Q3" i="6"/>
  <c r="R3" i="6" s="1"/>
  <c r="P3" i="6"/>
  <c r="W3" i="6" s="1"/>
  <c r="O3" i="6"/>
  <c r="N3" i="6"/>
  <c r="Y2" i="6"/>
  <c r="V2" i="6"/>
  <c r="S2" i="6"/>
  <c r="R2" i="6"/>
  <c r="Q2" i="6"/>
  <c r="P2" i="6"/>
  <c r="O2" i="6"/>
  <c r="N2" i="6"/>
  <c r="Z63" i="6" s="1"/>
  <c r="B41" i="5"/>
  <c r="C41" i="5" s="1"/>
  <c r="D41" i="5" s="1"/>
  <c r="B40" i="5"/>
  <c r="B39" i="5"/>
  <c r="C39" i="5" s="1"/>
  <c r="C38" i="5"/>
  <c r="D38" i="5" s="1"/>
  <c r="B38" i="5"/>
  <c r="B37" i="5"/>
  <c r="C37" i="5" s="1"/>
  <c r="D37" i="5" s="1"/>
  <c r="C36" i="5"/>
  <c r="B36" i="5"/>
  <c r="B35" i="5"/>
  <c r="C35" i="5" s="1"/>
  <c r="B34" i="5"/>
  <c r="C34" i="5" s="1"/>
  <c r="D34" i="5" s="1"/>
  <c r="B33" i="5"/>
  <c r="C33" i="5" s="1"/>
  <c r="D33" i="5" s="1"/>
  <c r="B28" i="5"/>
  <c r="B26" i="5"/>
  <c r="B25" i="5"/>
  <c r="B27" i="5" s="1"/>
  <c r="B21" i="5"/>
  <c r="B20" i="5"/>
  <c r="E17" i="5"/>
  <c r="D17" i="5"/>
  <c r="B17" i="5"/>
  <c r="E16" i="5"/>
  <c r="B16" i="5"/>
  <c r="E15" i="5"/>
  <c r="B15" i="5"/>
  <c r="E14" i="5"/>
  <c r="B14" i="5"/>
  <c r="E13" i="5"/>
  <c r="B13" i="5"/>
  <c r="C9" i="5"/>
  <c r="C8" i="5"/>
  <c r="C7" i="5"/>
  <c r="B17" i="4"/>
  <c r="D13" i="4"/>
  <c r="C13" i="4"/>
  <c r="B12" i="4"/>
  <c r="D12" i="4" s="1"/>
  <c r="D11" i="4"/>
  <c r="C11" i="4"/>
  <c r="D7" i="4"/>
  <c r="C7" i="4"/>
  <c r="D6" i="4"/>
  <c r="C6" i="4"/>
  <c r="D5" i="4"/>
  <c r="D17" i="4" s="1"/>
  <c r="C5" i="4"/>
  <c r="C17" i="4" s="1"/>
  <c r="C30" i="3"/>
  <c r="G29" i="3"/>
  <c r="E29" i="3"/>
  <c r="D29" i="3"/>
  <c r="F29" i="3" s="1"/>
  <c r="C29" i="3"/>
  <c r="B29" i="3"/>
  <c r="G28" i="3"/>
  <c r="E28" i="3"/>
  <c r="F28" i="3" s="1"/>
  <c r="D28" i="3"/>
  <c r="C28" i="3"/>
  <c r="B28" i="3"/>
  <c r="G27" i="3"/>
  <c r="E27" i="3"/>
  <c r="D27" i="3"/>
  <c r="C27" i="3"/>
  <c r="B27" i="3"/>
  <c r="G26" i="3"/>
  <c r="E26" i="3"/>
  <c r="D26" i="3"/>
  <c r="D30" i="3" s="1"/>
  <c r="C26" i="3"/>
  <c r="B26" i="3"/>
  <c r="D52" i="2"/>
  <c r="E52" i="2" s="1"/>
  <c r="F52" i="2" s="1"/>
  <c r="C52" i="2"/>
  <c r="D51" i="2"/>
  <c r="C51" i="2"/>
  <c r="E49" i="2"/>
  <c r="D49" i="2"/>
  <c r="C49" i="2"/>
  <c r="D48" i="2"/>
  <c r="C48" i="2"/>
  <c r="D46" i="2"/>
  <c r="C46" i="2"/>
  <c r="D45" i="2"/>
  <c r="C45" i="2"/>
  <c r="E45" i="2" s="1"/>
  <c r="F45" i="2" s="1"/>
  <c r="D44" i="2"/>
  <c r="C44" i="2"/>
  <c r="D43" i="2"/>
  <c r="C43" i="2"/>
  <c r="E43" i="2" s="1"/>
  <c r="F43" i="2" s="1"/>
  <c r="D42" i="2"/>
  <c r="C42" i="2"/>
  <c r="D41" i="2"/>
  <c r="C41" i="2"/>
  <c r="E41" i="2" s="1"/>
  <c r="F41" i="2" s="1"/>
  <c r="D40" i="2"/>
  <c r="C40" i="2"/>
  <c r="D38" i="2"/>
  <c r="C38" i="2"/>
  <c r="E38" i="2" s="1"/>
  <c r="F38" i="2" s="1"/>
  <c r="D37" i="2"/>
  <c r="C37" i="2"/>
  <c r="D36" i="2"/>
  <c r="C36" i="2"/>
  <c r="E36" i="2" s="1"/>
  <c r="F36" i="2" s="1"/>
  <c r="D35" i="2"/>
  <c r="C35" i="2"/>
  <c r="D34" i="2"/>
  <c r="C34" i="2"/>
  <c r="D31" i="2"/>
  <c r="D29" i="2"/>
  <c r="D27" i="2"/>
  <c r="C27" i="2"/>
  <c r="D26" i="2"/>
  <c r="C26" i="2"/>
  <c r="E26" i="2" s="1"/>
  <c r="D25" i="2"/>
  <c r="C25" i="2"/>
  <c r="D24" i="2"/>
  <c r="C24" i="2"/>
  <c r="E24" i="2" s="1"/>
  <c r="D23" i="2"/>
  <c r="C23" i="2"/>
  <c r="D22" i="2"/>
  <c r="C22" i="2"/>
  <c r="E22" i="2" s="1"/>
  <c r="D21" i="2"/>
  <c r="C21" i="2"/>
  <c r="D20" i="2"/>
  <c r="C20" i="2"/>
  <c r="E20" i="2" s="1"/>
  <c r="D18" i="2"/>
  <c r="C18" i="2"/>
  <c r="D17" i="2"/>
  <c r="C17" i="2"/>
  <c r="E17" i="2" s="1"/>
  <c r="D16" i="2"/>
  <c r="C16" i="2"/>
  <c r="D15" i="2"/>
  <c r="C15" i="2"/>
  <c r="E15" i="2" s="1"/>
  <c r="D13" i="2"/>
  <c r="C13" i="2"/>
  <c r="D12" i="2"/>
  <c r="D11" i="2"/>
  <c r="C11" i="2"/>
  <c r="E11" i="2" s="1"/>
  <c r="F11" i="2" s="1"/>
  <c r="D10" i="2"/>
  <c r="D8" i="2"/>
  <c r="D7" i="2"/>
  <c r="C7" i="2"/>
  <c r="E7" i="2" s="1"/>
  <c r="F7" i="2" s="1"/>
  <c r="D6" i="2"/>
  <c r="D5" i="2"/>
  <c r="B3" i="2"/>
  <c r="F49" i="2" l="1"/>
  <c r="J30" i="2"/>
  <c r="Z6" i="6"/>
  <c r="X9" i="6"/>
  <c r="Z14" i="6"/>
  <c r="X17" i="6"/>
  <c r="W18" i="6"/>
  <c r="Z22" i="6"/>
  <c r="X25" i="6"/>
  <c r="W26" i="6"/>
  <c r="Z30" i="6"/>
  <c r="X33" i="6"/>
  <c r="W34" i="6"/>
  <c r="Z37" i="6"/>
  <c r="X39" i="6"/>
  <c r="W40" i="6"/>
  <c r="X51" i="6"/>
  <c r="W52" i="6"/>
  <c r="X61" i="6"/>
  <c r="X62" i="6"/>
  <c r="Z65" i="6"/>
  <c r="Z71" i="6"/>
  <c r="F17" i="2"/>
  <c r="F24" i="2"/>
  <c r="B22" i="4"/>
  <c r="C14" i="5"/>
  <c r="D14" i="5" s="1"/>
  <c r="B18" i="5"/>
  <c r="X59" i="6"/>
  <c r="Z5" i="6"/>
  <c r="X7" i="6"/>
  <c r="W8" i="6"/>
  <c r="Z13" i="6"/>
  <c r="X15" i="6"/>
  <c r="W16" i="6"/>
  <c r="Z21" i="6"/>
  <c r="X23" i="6"/>
  <c r="W24" i="6"/>
  <c r="Z29" i="6"/>
  <c r="X31" i="6"/>
  <c r="W32" i="6"/>
  <c r="X43" i="6"/>
  <c r="W44" i="6"/>
  <c r="Z49" i="6"/>
  <c r="Z54" i="6"/>
  <c r="Z59" i="6"/>
  <c r="F15" i="2"/>
  <c r="F22" i="2"/>
  <c r="F26" i="2"/>
  <c r="E30" i="3"/>
  <c r="F30" i="3" s="1"/>
  <c r="C30" i="2"/>
  <c r="E35" i="2"/>
  <c r="F35" i="2" s="1"/>
  <c r="E37" i="2"/>
  <c r="F37" i="2" s="1"/>
  <c r="E42" i="2"/>
  <c r="F42" i="2" s="1"/>
  <c r="E44" i="2"/>
  <c r="F44" i="2" s="1"/>
  <c r="E46" i="2"/>
  <c r="F46" i="2" s="1"/>
  <c r="B30" i="3"/>
  <c r="F26" i="3"/>
  <c r="F27" i="3"/>
  <c r="C12" i="4"/>
  <c r="C40" i="5"/>
  <c r="D40" i="5" s="1"/>
  <c r="X3" i="6"/>
  <c r="X10" i="6"/>
  <c r="W6" i="6"/>
  <c r="Z10" i="6"/>
  <c r="X13" i="6"/>
  <c r="W14" i="6"/>
  <c r="Z18" i="6"/>
  <c r="X21" i="6"/>
  <c r="W22" i="6"/>
  <c r="Z26" i="6"/>
  <c r="X29" i="6"/>
  <c r="W30" i="6"/>
  <c r="Z34" i="6"/>
  <c r="X35" i="6"/>
  <c r="W36" i="6"/>
  <c r="Z41" i="6"/>
  <c r="Z46" i="6"/>
  <c r="X49" i="6"/>
  <c r="W50" i="6"/>
  <c r="Z53" i="6"/>
  <c r="X55" i="6"/>
  <c r="W56" i="6"/>
  <c r="Z75" i="6"/>
  <c r="Z81" i="6"/>
  <c r="E13" i="2"/>
  <c r="F13" i="2" s="1"/>
  <c r="E16" i="2"/>
  <c r="F16" i="2" s="1"/>
  <c r="E18" i="2"/>
  <c r="F18" i="2" s="1"/>
  <c r="E21" i="2"/>
  <c r="F21" i="2" s="1"/>
  <c r="E23" i="2"/>
  <c r="F23" i="2" s="1"/>
  <c r="E25" i="2"/>
  <c r="F25" i="2" s="1"/>
  <c r="E27" i="2"/>
  <c r="F27" i="2" s="1"/>
  <c r="G30" i="3"/>
  <c r="C16" i="5"/>
  <c r="E18" i="5"/>
  <c r="D36" i="5"/>
  <c r="X2" i="6"/>
  <c r="W4" i="6"/>
  <c r="Z9" i="6"/>
  <c r="X11" i="6"/>
  <c r="W12" i="6"/>
  <c r="Z17" i="6"/>
  <c r="X19" i="6"/>
  <c r="W20" i="6"/>
  <c r="Z25" i="6"/>
  <c r="X27" i="6"/>
  <c r="W28" i="6"/>
  <c r="Z33" i="6"/>
  <c r="Z38" i="6"/>
  <c r="X41" i="6"/>
  <c r="W42" i="6"/>
  <c r="Z45" i="6"/>
  <c r="X47" i="6"/>
  <c r="W48" i="6"/>
  <c r="X58" i="6"/>
  <c r="Z61" i="6"/>
  <c r="Z67" i="6"/>
  <c r="Z73" i="6"/>
  <c r="Z79" i="6"/>
  <c r="X37" i="6"/>
  <c r="W38" i="6"/>
  <c r="Z42" i="6"/>
  <c r="X45" i="6"/>
  <c r="W46" i="6"/>
  <c r="Z50" i="6"/>
  <c r="X53" i="6"/>
  <c r="W54" i="6"/>
  <c r="Z57" i="6"/>
  <c r="W60" i="6"/>
  <c r="Z69" i="6"/>
  <c r="Z77" i="6"/>
  <c r="I9" i="2"/>
  <c r="F20" i="2"/>
  <c r="C22" i="4"/>
  <c r="C18" i="4"/>
  <c r="D22" i="4"/>
  <c r="M21" i="7"/>
  <c r="M4" i="7"/>
  <c r="M218" i="7"/>
  <c r="M290" i="7"/>
  <c r="D16" i="5"/>
  <c r="B45" i="5"/>
  <c r="B47" i="5" s="1"/>
  <c r="B36" i="1" s="1"/>
  <c r="B29" i="5"/>
  <c r="B34" i="1" s="1"/>
  <c r="M187" i="7"/>
  <c r="J29" i="2"/>
  <c r="M30" i="2"/>
  <c r="I30" i="2"/>
  <c r="K30" i="2"/>
  <c r="L29" i="2"/>
  <c r="AA10" i="6"/>
  <c r="M250" i="7"/>
  <c r="M75" i="7"/>
  <c r="M83" i="7"/>
  <c r="M119" i="7"/>
  <c r="D35" i="5"/>
  <c r="D39" i="5"/>
  <c r="W600" i="6"/>
  <c r="W596" i="6"/>
  <c r="W592" i="6"/>
  <c r="W588" i="6"/>
  <c r="W598" i="6"/>
  <c r="W573" i="6"/>
  <c r="W569" i="6"/>
  <c r="W565" i="6"/>
  <c r="W561" i="6"/>
  <c r="W557" i="6"/>
  <c r="W553" i="6"/>
  <c r="W590" i="6"/>
  <c r="W571" i="6"/>
  <c r="W567" i="6"/>
  <c r="W563" i="6"/>
  <c r="W559" i="6"/>
  <c r="W594" i="6"/>
  <c r="W586" i="6"/>
  <c r="W584" i="6"/>
  <c r="W582" i="6"/>
  <c r="W580" i="6"/>
  <c r="W578" i="6"/>
  <c r="W575" i="6"/>
  <c r="W574" i="6"/>
  <c r="W547" i="6"/>
  <c r="W545" i="6"/>
  <c r="W543" i="6"/>
  <c r="W541" i="6"/>
  <c r="W539" i="6"/>
  <c r="W537" i="6"/>
  <c r="W535" i="6"/>
  <c r="W528" i="6"/>
  <c r="W527" i="6"/>
  <c r="W520" i="6"/>
  <c r="W519" i="6"/>
  <c r="W512" i="6"/>
  <c r="W511" i="6"/>
  <c r="W504" i="6"/>
  <c r="W503" i="6"/>
  <c r="W496" i="6"/>
  <c r="W495" i="6"/>
  <c r="W488" i="6"/>
  <c r="W487" i="6"/>
  <c r="W480" i="6"/>
  <c r="W476" i="6"/>
  <c r="W472" i="6"/>
  <c r="W468" i="6"/>
  <c r="W464" i="6"/>
  <c r="W460" i="6"/>
  <c r="W456" i="6"/>
  <c r="W551" i="6"/>
  <c r="W531" i="6"/>
  <c r="W523" i="6"/>
  <c r="W515" i="6"/>
  <c r="W507" i="6"/>
  <c r="W499" i="6"/>
  <c r="W491" i="6"/>
  <c r="W555" i="6"/>
  <c r="W481" i="6"/>
  <c r="W465" i="6"/>
  <c r="W452" i="6"/>
  <c r="W444" i="6"/>
  <c r="W436" i="6"/>
  <c r="W425" i="6"/>
  <c r="W421" i="6"/>
  <c r="W417" i="6"/>
  <c r="W413" i="6"/>
  <c r="W409" i="6"/>
  <c r="W477" i="6"/>
  <c r="W461" i="6"/>
  <c r="W473" i="6"/>
  <c r="W457" i="6"/>
  <c r="W449" i="6"/>
  <c r="W448" i="6"/>
  <c r="W441" i="6"/>
  <c r="W440" i="6"/>
  <c r="W433" i="6"/>
  <c r="W432" i="6"/>
  <c r="W431" i="6"/>
  <c r="W427" i="6"/>
  <c r="W423" i="6"/>
  <c r="W419" i="6"/>
  <c r="W415" i="6"/>
  <c r="W411" i="6"/>
  <c r="W469" i="6"/>
  <c r="W430" i="6"/>
  <c r="W402" i="6"/>
  <c r="W398" i="6"/>
  <c r="W407" i="6"/>
  <c r="W395" i="6"/>
  <c r="W366" i="6"/>
  <c r="W399" i="6"/>
  <c r="W387" i="6"/>
  <c r="W377" i="6"/>
  <c r="W373" i="6"/>
  <c r="W369" i="6"/>
  <c r="W365" i="6"/>
  <c r="W361" i="6"/>
  <c r="W357" i="6"/>
  <c r="W353" i="6"/>
  <c r="W349" i="6"/>
  <c r="W345" i="6"/>
  <c r="W333" i="6"/>
  <c r="W329" i="6"/>
  <c r="W325" i="6"/>
  <c r="W321" i="6"/>
  <c r="W317" i="6"/>
  <c r="W313" i="6"/>
  <c r="W301" i="6"/>
  <c r="W297" i="6"/>
  <c r="W293" i="6"/>
  <c r="W289" i="6"/>
  <c r="W281" i="6"/>
  <c r="W403" i="6"/>
  <c r="W356" i="6"/>
  <c r="W352" i="6"/>
  <c r="W348" i="6"/>
  <c r="W344" i="6"/>
  <c r="W340" i="6"/>
  <c r="W336" i="6"/>
  <c r="W332" i="6"/>
  <c r="W328" i="6"/>
  <c r="W324" i="6"/>
  <c r="W320" i="6"/>
  <c r="W316" i="6"/>
  <c r="W312" i="6"/>
  <c r="W308" i="6"/>
  <c r="W304" i="6"/>
  <c r="W300" i="6"/>
  <c r="W296" i="6"/>
  <c r="W292" i="6"/>
  <c r="W288" i="6"/>
  <c r="W284" i="6"/>
  <c r="W280" i="6"/>
  <c r="W276" i="6"/>
  <c r="W272" i="6"/>
  <c r="W268" i="6"/>
  <c r="W264" i="6"/>
  <c r="W392" i="6"/>
  <c r="W391" i="6"/>
  <c r="W384" i="6"/>
  <c r="W383" i="6"/>
  <c r="W379" i="6"/>
  <c r="W375" i="6"/>
  <c r="W371" i="6"/>
  <c r="W327" i="6"/>
  <c r="W323" i="6"/>
  <c r="W319" i="6"/>
  <c r="W303" i="6"/>
  <c r="W299" i="6"/>
  <c r="W295" i="6"/>
  <c r="W291" i="6"/>
  <c r="W277" i="6"/>
  <c r="W260" i="6"/>
  <c r="W256" i="6"/>
  <c r="W252" i="6"/>
  <c r="W248" i="6"/>
  <c r="W244" i="6"/>
  <c r="W240" i="6"/>
  <c r="W236" i="6"/>
  <c r="W195" i="6"/>
  <c r="W191" i="6"/>
  <c r="W187" i="6"/>
  <c r="W183" i="6"/>
  <c r="W179" i="6"/>
  <c r="W175" i="6"/>
  <c r="W143" i="6"/>
  <c r="W265" i="6"/>
  <c r="W232" i="6"/>
  <c r="W224" i="6"/>
  <c r="W216" i="6"/>
  <c r="W208" i="6"/>
  <c r="W200" i="6"/>
  <c r="W170" i="6"/>
  <c r="W166" i="6"/>
  <c r="W162" i="6"/>
  <c r="W158" i="6"/>
  <c r="W154" i="6"/>
  <c r="W150" i="6"/>
  <c r="W146" i="6"/>
  <c r="W142" i="6"/>
  <c r="W126" i="6"/>
  <c r="W122" i="6"/>
  <c r="W118" i="6"/>
  <c r="W114" i="6"/>
  <c r="W110" i="6"/>
  <c r="W106" i="6"/>
  <c r="W102" i="6"/>
  <c r="W98" i="6"/>
  <c r="W94" i="6"/>
  <c r="W90" i="6"/>
  <c r="W269" i="6"/>
  <c r="W193" i="6"/>
  <c r="W189" i="6"/>
  <c r="W185" i="6"/>
  <c r="W181" i="6"/>
  <c r="W177" i="6"/>
  <c r="W173" i="6"/>
  <c r="W169" i="6"/>
  <c r="W165" i="6"/>
  <c r="W161" i="6"/>
  <c r="W157" i="6"/>
  <c r="W137" i="6"/>
  <c r="W133" i="6"/>
  <c r="W273" i="6"/>
  <c r="W228" i="6"/>
  <c r="W220" i="6"/>
  <c r="W212" i="6"/>
  <c r="W204" i="6"/>
  <c r="W152" i="6"/>
  <c r="W148" i="6"/>
  <c r="W132" i="6"/>
  <c r="W128" i="6"/>
  <c r="W124" i="6"/>
  <c r="W120" i="6"/>
  <c r="W116" i="6"/>
  <c r="W112" i="6"/>
  <c r="W108" i="6"/>
  <c r="W104" i="6"/>
  <c r="W100" i="6"/>
  <c r="W96" i="6"/>
  <c r="W92" i="6"/>
  <c r="W88" i="6"/>
  <c r="W84" i="6"/>
  <c r="Z2" i="6"/>
  <c r="X4" i="6"/>
  <c r="W5" i="6"/>
  <c r="X8" i="6"/>
  <c r="W9" i="6"/>
  <c r="AA9" i="6" s="1"/>
  <c r="X12" i="6"/>
  <c r="W13" i="6"/>
  <c r="AA13" i="6" s="1"/>
  <c r="X16" i="6"/>
  <c r="W17" i="6"/>
  <c r="AA17" i="6" s="1"/>
  <c r="X20" i="6"/>
  <c r="W21" i="6"/>
  <c r="AA21" i="6" s="1"/>
  <c r="X24" i="6"/>
  <c r="W25" i="6"/>
  <c r="AA25" i="6" s="1"/>
  <c r="X28" i="6"/>
  <c r="W29" i="6"/>
  <c r="AA29" i="6" s="1"/>
  <c r="X32" i="6"/>
  <c r="W33" i="6"/>
  <c r="AA33" i="6" s="1"/>
  <c r="X36" i="6"/>
  <c r="W37" i="6"/>
  <c r="AA37" i="6" s="1"/>
  <c r="X40" i="6"/>
  <c r="W41" i="6"/>
  <c r="AA41" i="6" s="1"/>
  <c r="X44" i="6"/>
  <c r="W45" i="6"/>
  <c r="AA45" i="6" s="1"/>
  <c r="X48" i="6"/>
  <c r="W49" i="6"/>
  <c r="AA49" i="6" s="1"/>
  <c r="X52" i="6"/>
  <c r="W53" i="6"/>
  <c r="AA53" i="6" s="1"/>
  <c r="Z56" i="6"/>
  <c r="W57" i="6"/>
  <c r="W58" i="6"/>
  <c r="W59" i="6"/>
  <c r="AA59" i="6" s="1"/>
  <c r="X64" i="6"/>
  <c r="X66" i="6"/>
  <c r="X68" i="6"/>
  <c r="M328" i="7"/>
  <c r="M122" i="7"/>
  <c r="X70" i="6"/>
  <c r="X72" i="6"/>
  <c r="X74" i="6"/>
  <c r="X76" i="6"/>
  <c r="X78" i="6"/>
  <c r="X80" i="6"/>
  <c r="X82" i="6"/>
  <c r="Z83" i="6"/>
  <c r="Z85" i="6"/>
  <c r="W86" i="6"/>
  <c r="X88" i="6"/>
  <c r="W89" i="6"/>
  <c r="Z93" i="6"/>
  <c r="Z94" i="6"/>
  <c r="X96" i="6"/>
  <c r="W97" i="6"/>
  <c r="M319" i="7"/>
  <c r="M307" i="7"/>
  <c r="Z101" i="6"/>
  <c r="Z102" i="6"/>
  <c r="X104" i="6"/>
  <c r="W105" i="6"/>
  <c r="X112" i="6"/>
  <c r="W113" i="6"/>
  <c r="X120" i="6"/>
  <c r="W121" i="6"/>
  <c r="X128" i="6"/>
  <c r="W129" i="6"/>
  <c r="M115" i="7"/>
  <c r="M6" i="7"/>
  <c r="Z132" i="6"/>
  <c r="Z133" i="6"/>
  <c r="X134" i="6"/>
  <c r="W135" i="6"/>
  <c r="X139" i="6"/>
  <c r="W140" i="6"/>
  <c r="M252" i="7"/>
  <c r="M95" i="7"/>
  <c r="M63" i="7"/>
  <c r="M147" i="7"/>
  <c r="Z144" i="6"/>
  <c r="X146" i="6"/>
  <c r="W147" i="6"/>
  <c r="Z151" i="6"/>
  <c r="X154" i="6"/>
  <c r="W155" i="6"/>
  <c r="M293" i="7"/>
  <c r="M175" i="7"/>
  <c r="X160" i="6"/>
  <c r="W163" i="6"/>
  <c r="M164" i="7"/>
  <c r="M116" i="7"/>
  <c r="M16" i="7"/>
  <c r="X168" i="6"/>
  <c r="W171" i="6"/>
  <c r="X177" i="6"/>
  <c r="W178" i="6"/>
  <c r="X185" i="6"/>
  <c r="W186" i="6"/>
  <c r="Z190" i="6"/>
  <c r="X193" i="6"/>
  <c r="W194" i="6"/>
  <c r="X203" i="6"/>
  <c r="W209" i="6"/>
  <c r="W210" i="6"/>
  <c r="W217" i="6"/>
  <c r="W218" i="6"/>
  <c r="Z223" i="6"/>
  <c r="Z225" i="6"/>
  <c r="X227" i="6"/>
  <c r="W229" i="6"/>
  <c r="Z231" i="6"/>
  <c r="Z233" i="6"/>
  <c r="X235" i="6"/>
  <c r="X243" i="6"/>
  <c r="X251" i="6"/>
  <c r="X259" i="6"/>
  <c r="W261" i="6"/>
  <c r="E34" i="2"/>
  <c r="F34" i="2" s="1"/>
  <c r="E40" i="2"/>
  <c r="F40" i="2" s="1"/>
  <c r="E48" i="2"/>
  <c r="F48" i="2" s="1"/>
  <c r="E51" i="2"/>
  <c r="F51" i="2" s="1"/>
  <c r="C29" i="2"/>
  <c r="I29" i="2"/>
  <c r="M29" i="2"/>
  <c r="J33" i="2" s="1"/>
  <c r="L30" i="2"/>
  <c r="B18" i="4"/>
  <c r="W2" i="6"/>
  <c r="AA2" i="6" s="1"/>
  <c r="Z3" i="6"/>
  <c r="AA3" i="6" s="1"/>
  <c r="X5" i="6"/>
  <c r="Z7" i="6"/>
  <c r="Z11" i="6"/>
  <c r="Z15" i="6"/>
  <c r="Z19" i="6"/>
  <c r="Z23" i="6"/>
  <c r="Z27" i="6"/>
  <c r="Z31" i="6"/>
  <c r="Z35" i="6"/>
  <c r="Z39" i="6"/>
  <c r="Z43" i="6"/>
  <c r="Z47" i="6"/>
  <c r="Z51" i="6"/>
  <c r="Z55" i="6"/>
  <c r="X56" i="6"/>
  <c r="AA56" i="6" s="1"/>
  <c r="X57" i="6"/>
  <c r="Z58" i="6"/>
  <c r="W64" i="6"/>
  <c r="W66" i="6"/>
  <c r="W68" i="6"/>
  <c r="W70" i="6"/>
  <c r="W72" i="6"/>
  <c r="W74" i="6"/>
  <c r="W76" i="6"/>
  <c r="W78" i="6"/>
  <c r="W80" i="6"/>
  <c r="W82" i="6"/>
  <c r="W87" i="6"/>
  <c r="X94" i="6"/>
  <c r="W95" i="6"/>
  <c r="M174" i="7"/>
  <c r="M158" i="7"/>
  <c r="M61" i="7"/>
  <c r="X102" i="6"/>
  <c r="W103" i="6"/>
  <c r="Z108" i="6"/>
  <c r="X110" i="6"/>
  <c r="W111" i="6"/>
  <c r="Z115" i="6"/>
  <c r="Z116" i="6"/>
  <c r="X118" i="6"/>
  <c r="W119" i="6"/>
  <c r="M188" i="7"/>
  <c r="M48" i="7"/>
  <c r="Z123" i="6"/>
  <c r="Z124" i="6"/>
  <c r="X126" i="6"/>
  <c r="W127" i="6"/>
  <c r="M339" i="7"/>
  <c r="M262" i="7"/>
  <c r="X131" i="6"/>
  <c r="W134" i="6"/>
  <c r="Z136" i="6"/>
  <c r="Z137" i="6"/>
  <c r="X138" i="6"/>
  <c r="W139" i="6"/>
  <c r="Z142" i="6"/>
  <c r="Z143" i="6"/>
  <c r="X144" i="6"/>
  <c r="W145" i="6"/>
  <c r="Z150" i="6"/>
  <c r="X152" i="6"/>
  <c r="W153" i="6"/>
  <c r="Z157" i="6"/>
  <c r="Z158" i="6"/>
  <c r="X159" i="6"/>
  <c r="W160" i="6"/>
  <c r="Z165" i="6"/>
  <c r="Z166" i="6"/>
  <c r="X167" i="6"/>
  <c r="W168" i="6"/>
  <c r="Z172" i="6"/>
  <c r="Z173" i="6"/>
  <c r="X175" i="6"/>
  <c r="W176" i="6"/>
  <c r="Z180" i="6"/>
  <c r="Z181" i="6"/>
  <c r="X183" i="6"/>
  <c r="W184" i="6"/>
  <c r="Z189" i="6"/>
  <c r="X191" i="6"/>
  <c r="W192" i="6"/>
  <c r="Z197" i="6"/>
  <c r="X199" i="6"/>
  <c r="W205" i="6"/>
  <c r="W206" i="6"/>
  <c r="W214" i="6"/>
  <c r="X223" i="6"/>
  <c r="X232" i="6"/>
  <c r="W237" i="6"/>
  <c r="W245" i="6"/>
  <c r="W253" i="6"/>
  <c r="C13" i="5"/>
  <c r="D13" i="5" s="1"/>
  <c r="C15" i="5"/>
  <c r="D15" i="5" s="1"/>
  <c r="Z601" i="6"/>
  <c r="Z588" i="6"/>
  <c r="Z584" i="6"/>
  <c r="Z580" i="6"/>
  <c r="Z576" i="6"/>
  <c r="Z595" i="6"/>
  <c r="Z599" i="6"/>
  <c r="Z545" i="6"/>
  <c r="Z541" i="6"/>
  <c r="Z537" i="6"/>
  <c r="Z572" i="6"/>
  <c r="Z568" i="6"/>
  <c r="Z564" i="6"/>
  <c r="Z560" i="6"/>
  <c r="Z556" i="6"/>
  <c r="Z591" i="6"/>
  <c r="Z587" i="6"/>
  <c r="Z585" i="6"/>
  <c r="Z583" i="6"/>
  <c r="Z581" i="6"/>
  <c r="Z579" i="6"/>
  <c r="Z577" i="6"/>
  <c r="Z571" i="6"/>
  <c r="Z567" i="6"/>
  <c r="Z563" i="6"/>
  <c r="Z559" i="6"/>
  <c r="Z555" i="6"/>
  <c r="Z551" i="6"/>
  <c r="Z546" i="6"/>
  <c r="Z544" i="6"/>
  <c r="Z542" i="6"/>
  <c r="Z540" i="6"/>
  <c r="Z538" i="6"/>
  <c r="Z536" i="6"/>
  <c r="Z533" i="6"/>
  <c r="Z525" i="6"/>
  <c r="Z517" i="6"/>
  <c r="Z509" i="6"/>
  <c r="Z501" i="6"/>
  <c r="Z493" i="6"/>
  <c r="Z534" i="6"/>
  <c r="Z526" i="6"/>
  <c r="Z518" i="6"/>
  <c r="Z510" i="6"/>
  <c r="Z502" i="6"/>
  <c r="Z494" i="6"/>
  <c r="Z486" i="6"/>
  <c r="Z548" i="6"/>
  <c r="Z529" i="6"/>
  <c r="Z521" i="6"/>
  <c r="Z513" i="6"/>
  <c r="Z505" i="6"/>
  <c r="Z497" i="6"/>
  <c r="Z489" i="6"/>
  <c r="Z552" i="6"/>
  <c r="Z485" i="6"/>
  <c r="Z484" i="6"/>
  <c r="Z478" i="6"/>
  <c r="Z471" i="6"/>
  <c r="Z462" i="6"/>
  <c r="Z455" i="6"/>
  <c r="Z450" i="6"/>
  <c r="Z442" i="6"/>
  <c r="Z434" i="6"/>
  <c r="Z530" i="6"/>
  <c r="Z524" i="6"/>
  <c r="Z514" i="6"/>
  <c r="Z508" i="6"/>
  <c r="Z498" i="6"/>
  <c r="Z492" i="6"/>
  <c r="Z474" i="6"/>
  <c r="Z467" i="6"/>
  <c r="Z458" i="6"/>
  <c r="Z425" i="6"/>
  <c r="Z421" i="6"/>
  <c r="Z417" i="6"/>
  <c r="Z413" i="6"/>
  <c r="Z409" i="6"/>
  <c r="Z405" i="6"/>
  <c r="Z401" i="6"/>
  <c r="Z397" i="6"/>
  <c r="Z393" i="6"/>
  <c r="Z479" i="6"/>
  <c r="Z470" i="6"/>
  <c r="Z463" i="6"/>
  <c r="Z454" i="6"/>
  <c r="Z446" i="6"/>
  <c r="Z438" i="6"/>
  <c r="Z428" i="6"/>
  <c r="Z424" i="6"/>
  <c r="Z420" i="6"/>
  <c r="Z416" i="6"/>
  <c r="Z412" i="6"/>
  <c r="Z408" i="6"/>
  <c r="Z532" i="6"/>
  <c r="Z522" i="6"/>
  <c r="Z516" i="6"/>
  <c r="Z506" i="6"/>
  <c r="Z500" i="6"/>
  <c r="Z490" i="6"/>
  <c r="Z482" i="6"/>
  <c r="Z475" i="6"/>
  <c r="Z466" i="6"/>
  <c r="Z459" i="6"/>
  <c r="Z449" i="6"/>
  <c r="Z447" i="6"/>
  <c r="Z441" i="6"/>
  <c r="Z439" i="6"/>
  <c r="Z433" i="6"/>
  <c r="Z431" i="6"/>
  <c r="Z404" i="6"/>
  <c r="Z390" i="6"/>
  <c r="Z363" i="6"/>
  <c r="Z359" i="6"/>
  <c r="Z355" i="6"/>
  <c r="Z351" i="6"/>
  <c r="Z347" i="6"/>
  <c r="Z343" i="6"/>
  <c r="Z315" i="6"/>
  <c r="Z311" i="6"/>
  <c r="Z385" i="6"/>
  <c r="Z366" i="6"/>
  <c r="Z362" i="6"/>
  <c r="Z358" i="6"/>
  <c r="Z354" i="6"/>
  <c r="Z350" i="6"/>
  <c r="Z346" i="6"/>
  <c r="Z342" i="6"/>
  <c r="Z338" i="6"/>
  <c r="Z334" i="6"/>
  <c r="Z330" i="6"/>
  <c r="Z326" i="6"/>
  <c r="Z322" i="6"/>
  <c r="Z318" i="6"/>
  <c r="Z314" i="6"/>
  <c r="Z310" i="6"/>
  <c r="Z306" i="6"/>
  <c r="Z302" i="6"/>
  <c r="Z298" i="6"/>
  <c r="Z294" i="6"/>
  <c r="Z290" i="6"/>
  <c r="Z286" i="6"/>
  <c r="Z282" i="6"/>
  <c r="Z396" i="6"/>
  <c r="Z388" i="6"/>
  <c r="Z377" i="6"/>
  <c r="Z373" i="6"/>
  <c r="Z369" i="6"/>
  <c r="Z337" i="6"/>
  <c r="Z333" i="6"/>
  <c r="Z329" i="6"/>
  <c r="Z325" i="6"/>
  <c r="Z321" i="6"/>
  <c r="Z317" i="6"/>
  <c r="Z305" i="6"/>
  <c r="Z301" i="6"/>
  <c r="Z297" i="6"/>
  <c r="Z293" i="6"/>
  <c r="Z289" i="6"/>
  <c r="Z285" i="6"/>
  <c r="Z281" i="6"/>
  <c r="Z277" i="6"/>
  <c r="Z273" i="6"/>
  <c r="Z269" i="6"/>
  <c r="Z265" i="6"/>
  <c r="Z400" i="6"/>
  <c r="Z389" i="6"/>
  <c r="Z381" i="6"/>
  <c r="Z380" i="6"/>
  <c r="Z376" i="6"/>
  <c r="Z372" i="6"/>
  <c r="Z270" i="6"/>
  <c r="Z229" i="6"/>
  <c r="Z227" i="6"/>
  <c r="Z221" i="6"/>
  <c r="Z219" i="6"/>
  <c r="Z213" i="6"/>
  <c r="Z211" i="6"/>
  <c r="Z203" i="6"/>
  <c r="Z188" i="6"/>
  <c r="Z164" i="6"/>
  <c r="Z160" i="6"/>
  <c r="Z156" i="6"/>
  <c r="Z152" i="6"/>
  <c r="Z148" i="6"/>
  <c r="Z140" i="6"/>
  <c r="Z100" i="6"/>
  <c r="Z96" i="6"/>
  <c r="Z92" i="6"/>
  <c r="Z88" i="6"/>
  <c r="Z84" i="6"/>
  <c r="Z80" i="6"/>
  <c r="Z76" i="6"/>
  <c r="Z72" i="6"/>
  <c r="Z68" i="6"/>
  <c r="Z64" i="6"/>
  <c r="Z274" i="6"/>
  <c r="Z230" i="6"/>
  <c r="Z222" i="6"/>
  <c r="Z214" i="6"/>
  <c r="Z206" i="6"/>
  <c r="Z198" i="6"/>
  <c r="Z191" i="6"/>
  <c r="Z187" i="6"/>
  <c r="Z183" i="6"/>
  <c r="Z179" i="6"/>
  <c r="Z175" i="6"/>
  <c r="Z171" i="6"/>
  <c r="Z167" i="6"/>
  <c r="Z163" i="6"/>
  <c r="Z159" i="6"/>
  <c r="Z155" i="6"/>
  <c r="Z135" i="6"/>
  <c r="Z131" i="6"/>
  <c r="Z107" i="6"/>
  <c r="Z103" i="6"/>
  <c r="Z99" i="6"/>
  <c r="Z95" i="6"/>
  <c r="Z91" i="6"/>
  <c r="Z87" i="6"/>
  <c r="Z278" i="6"/>
  <c r="Z262" i="6"/>
  <c r="Z258" i="6"/>
  <c r="Z254" i="6"/>
  <c r="Z250" i="6"/>
  <c r="Z246" i="6"/>
  <c r="Z242" i="6"/>
  <c r="Z238" i="6"/>
  <c r="Z207" i="6"/>
  <c r="Z201" i="6"/>
  <c r="Z199" i="6"/>
  <c r="Z194" i="6"/>
  <c r="Z186" i="6"/>
  <c r="Z182" i="6"/>
  <c r="Z178" i="6"/>
  <c r="Z174" i="6"/>
  <c r="Z170" i="6"/>
  <c r="Z138" i="6"/>
  <c r="Z134" i="6"/>
  <c r="Z130" i="6"/>
  <c r="Z126" i="6"/>
  <c r="Z122" i="6"/>
  <c r="Z118" i="6"/>
  <c r="Z114" i="6"/>
  <c r="Z110" i="6"/>
  <c r="Z106" i="6"/>
  <c r="Z266" i="6"/>
  <c r="Z261" i="6"/>
  <c r="Z257" i="6"/>
  <c r="Z253" i="6"/>
  <c r="Z249" i="6"/>
  <c r="Z245" i="6"/>
  <c r="Z241" i="6"/>
  <c r="Z237" i="6"/>
  <c r="Z234" i="6"/>
  <c r="Z226" i="6"/>
  <c r="Z218" i="6"/>
  <c r="Z210" i="6"/>
  <c r="Z202" i="6"/>
  <c r="Z153" i="6"/>
  <c r="Z149" i="6"/>
  <c r="Z145" i="6"/>
  <c r="Z141" i="6"/>
  <c r="Z125" i="6"/>
  <c r="Z121" i="6"/>
  <c r="Z117" i="6"/>
  <c r="Z113" i="6"/>
  <c r="Z109" i="6"/>
  <c r="Z8" i="6"/>
  <c r="Z12" i="6"/>
  <c r="X14" i="6"/>
  <c r="AA14" i="6" s="1"/>
  <c r="W15" i="6"/>
  <c r="AA15" i="6" s="1"/>
  <c r="X18" i="6"/>
  <c r="AA18" i="6" s="1"/>
  <c r="W19" i="6"/>
  <c r="AA19" i="6" s="1"/>
  <c r="Z20" i="6"/>
  <c r="X22" i="6"/>
  <c r="AA22" i="6" s="1"/>
  <c r="W23" i="6"/>
  <c r="AA23" i="6" s="1"/>
  <c r="Z24" i="6"/>
  <c r="X26" i="6"/>
  <c r="AA26" i="6" s="1"/>
  <c r="W27" i="6"/>
  <c r="AA27" i="6" s="1"/>
  <c r="Z28" i="6"/>
  <c r="X30" i="6"/>
  <c r="AA30" i="6" s="1"/>
  <c r="W31" i="6"/>
  <c r="AA31" i="6" s="1"/>
  <c r="Z32" i="6"/>
  <c r="M316" i="7"/>
  <c r="M137" i="7"/>
  <c r="X34" i="6"/>
  <c r="AA34" i="6" s="1"/>
  <c r="W35" i="6"/>
  <c r="AA35" i="6" s="1"/>
  <c r="Z36" i="6"/>
  <c r="X38" i="6"/>
  <c r="AA38" i="6" s="1"/>
  <c r="W39" i="6"/>
  <c r="AA39" i="6" s="1"/>
  <c r="Z40" i="6"/>
  <c r="X42" i="6"/>
  <c r="AA42" i="6" s="1"/>
  <c r="W43" i="6"/>
  <c r="AA43" i="6" s="1"/>
  <c r="Z44" i="6"/>
  <c r="X46" i="6"/>
  <c r="AA46" i="6" s="1"/>
  <c r="W47" i="6"/>
  <c r="AA47" i="6" s="1"/>
  <c r="Z48" i="6"/>
  <c r="X50" i="6"/>
  <c r="AA50" i="6" s="1"/>
  <c r="W51" i="6"/>
  <c r="AA51" i="6" s="1"/>
  <c r="Z52" i="6"/>
  <c r="X54" i="6"/>
  <c r="AA54" i="6" s="1"/>
  <c r="W55" i="6"/>
  <c r="AA55" i="6" s="1"/>
  <c r="Z60" i="6"/>
  <c r="W61" i="6"/>
  <c r="AA61" i="6" s="1"/>
  <c r="W62" i="6"/>
  <c r="W63" i="6"/>
  <c r="W65" i="6"/>
  <c r="W67" i="6"/>
  <c r="W69" i="6"/>
  <c r="W71" i="6"/>
  <c r="W73" i="6"/>
  <c r="W75" i="6"/>
  <c r="W77" i="6"/>
  <c r="W79" i="6"/>
  <c r="W81" i="6"/>
  <c r="W83" i="6"/>
  <c r="X84" i="6"/>
  <c r="W85" i="6"/>
  <c r="Z86" i="6"/>
  <c r="Z89" i="6"/>
  <c r="Z90" i="6"/>
  <c r="X92" i="6"/>
  <c r="W93" i="6"/>
  <c r="Z97" i="6"/>
  <c r="Z98" i="6"/>
  <c r="X100" i="6"/>
  <c r="W101" i="6"/>
  <c r="Z105" i="6"/>
  <c r="X108" i="6"/>
  <c r="W109" i="6"/>
  <c r="X116" i="6"/>
  <c r="W117" i="6"/>
  <c r="X124" i="6"/>
  <c r="W125" i="6"/>
  <c r="Z129" i="6"/>
  <c r="X130" i="6"/>
  <c r="W131" i="6"/>
  <c r="AA131" i="6" s="1"/>
  <c r="W138" i="6"/>
  <c r="AA138" i="6" s="1"/>
  <c r="X141" i="6"/>
  <c r="W144" i="6"/>
  <c r="AA144" i="6" s="1"/>
  <c r="Z147" i="6"/>
  <c r="X150" i="6"/>
  <c r="W151" i="6"/>
  <c r="X156" i="6"/>
  <c r="W159" i="6"/>
  <c r="AA159" i="6" s="1"/>
  <c r="M59" i="7"/>
  <c r="M40" i="7"/>
  <c r="X164" i="6"/>
  <c r="W167" i="6"/>
  <c r="AA167" i="6" s="1"/>
  <c r="X172" i="6"/>
  <c r="X173" i="6"/>
  <c r="W174" i="6"/>
  <c r="X181" i="6"/>
  <c r="W182" i="6"/>
  <c r="X189" i="6"/>
  <c r="W190" i="6"/>
  <c r="Z195" i="6"/>
  <c r="W201" i="6"/>
  <c r="W202" i="6"/>
  <c r="Z209" i="6"/>
  <c r="X211" i="6"/>
  <c r="W213" i="6"/>
  <c r="Z215" i="6"/>
  <c r="Z217" i="6"/>
  <c r="X219" i="6"/>
  <c r="W225" i="6"/>
  <c r="W226" i="6"/>
  <c r="W233" i="6"/>
  <c r="W234" i="6"/>
  <c r="X239" i="6"/>
  <c r="X247" i="6"/>
  <c r="X255" i="6"/>
  <c r="M242" i="7"/>
  <c r="M300" i="7"/>
  <c r="Z4" i="6"/>
  <c r="X6" i="6"/>
  <c r="AA6" i="6" s="1"/>
  <c r="W7" i="6"/>
  <c r="AA7" i="6" s="1"/>
  <c r="W11" i="6"/>
  <c r="AA11" i="6" s="1"/>
  <c r="Z16" i="6"/>
  <c r="C5" i="2"/>
  <c r="C6" i="2"/>
  <c r="E6" i="2" s="1"/>
  <c r="F6" i="2" s="1"/>
  <c r="C8" i="2"/>
  <c r="E8" i="2" s="1"/>
  <c r="F8" i="2" s="1"/>
  <c r="I8" i="2"/>
  <c r="C10" i="2"/>
  <c r="C12" i="2"/>
  <c r="E12" i="2" s="1"/>
  <c r="F12" i="2" s="1"/>
  <c r="K29" i="2"/>
  <c r="D30" i="2"/>
  <c r="E30" i="2" s="1"/>
  <c r="F30" i="2" s="1"/>
  <c r="C31" i="2"/>
  <c r="E31" i="2" s="1"/>
  <c r="F31" i="2" s="1"/>
  <c r="D18" i="4"/>
  <c r="X599" i="6"/>
  <c r="X595" i="6"/>
  <c r="X591" i="6"/>
  <c r="X601" i="6"/>
  <c r="X593" i="6"/>
  <c r="X568" i="6"/>
  <c r="X564" i="6"/>
  <c r="X560" i="6"/>
  <c r="X556" i="6"/>
  <c r="X552" i="6"/>
  <c r="X548" i="6"/>
  <c r="X597" i="6"/>
  <c r="X587" i="6"/>
  <c r="X585" i="6"/>
  <c r="X583" i="6"/>
  <c r="X581" i="6"/>
  <c r="X579" i="6"/>
  <c r="X577" i="6"/>
  <c r="X575" i="6"/>
  <c r="X574" i="6"/>
  <c r="X570" i="6"/>
  <c r="X566" i="6"/>
  <c r="X562" i="6"/>
  <c r="X558" i="6"/>
  <c r="X589" i="6"/>
  <c r="X554" i="6"/>
  <c r="X532" i="6"/>
  <c r="X524" i="6"/>
  <c r="X516" i="6"/>
  <c r="X508" i="6"/>
  <c r="X500" i="6"/>
  <c r="X492" i="6"/>
  <c r="X484" i="6"/>
  <c r="X546" i="6"/>
  <c r="X544" i="6"/>
  <c r="X542" i="6"/>
  <c r="X540" i="6"/>
  <c r="X538" i="6"/>
  <c r="X536" i="6"/>
  <c r="X550" i="6"/>
  <c r="X527" i="6"/>
  <c r="X511" i="6"/>
  <c r="X495" i="6"/>
  <c r="X477" i="6"/>
  <c r="X461" i="6"/>
  <c r="X424" i="6"/>
  <c r="X420" i="6"/>
  <c r="X416" i="6"/>
  <c r="X412" i="6"/>
  <c r="X408" i="6"/>
  <c r="X404" i="6"/>
  <c r="X526" i="6"/>
  <c r="X520" i="6"/>
  <c r="X510" i="6"/>
  <c r="X504" i="6"/>
  <c r="X494" i="6"/>
  <c r="X488" i="6"/>
  <c r="X473" i="6"/>
  <c r="X457" i="6"/>
  <c r="X449" i="6"/>
  <c r="X448" i="6"/>
  <c r="X441" i="6"/>
  <c r="X440" i="6"/>
  <c r="X433" i="6"/>
  <c r="X432" i="6"/>
  <c r="X431" i="6"/>
  <c r="X427" i="6"/>
  <c r="X403" i="6"/>
  <c r="X399" i="6"/>
  <c r="X395" i="6"/>
  <c r="X519" i="6"/>
  <c r="X503" i="6"/>
  <c r="X487" i="6"/>
  <c r="X480" i="6"/>
  <c r="X469" i="6"/>
  <c r="X464" i="6"/>
  <c r="X430" i="6"/>
  <c r="X426" i="6"/>
  <c r="X422" i="6"/>
  <c r="X418" i="6"/>
  <c r="X414" i="6"/>
  <c r="X410" i="6"/>
  <c r="X534" i="6"/>
  <c r="X528" i="6"/>
  <c r="X518" i="6"/>
  <c r="X512" i="6"/>
  <c r="X502" i="6"/>
  <c r="X496" i="6"/>
  <c r="X486" i="6"/>
  <c r="X481" i="6"/>
  <c r="X476" i="6"/>
  <c r="X465" i="6"/>
  <c r="X460" i="6"/>
  <c r="X453" i="6"/>
  <c r="X451" i="6"/>
  <c r="X445" i="6"/>
  <c r="X443" i="6"/>
  <c r="X437" i="6"/>
  <c r="X435" i="6"/>
  <c r="X388" i="6"/>
  <c r="X365" i="6"/>
  <c r="X361" i="6"/>
  <c r="X357" i="6"/>
  <c r="X353" i="6"/>
  <c r="X349" i="6"/>
  <c r="X345" i="6"/>
  <c r="X341" i="6"/>
  <c r="X337" i="6"/>
  <c r="X333" i="6"/>
  <c r="X329" i="6"/>
  <c r="X313" i="6"/>
  <c r="X309" i="6"/>
  <c r="X305" i="6"/>
  <c r="X285" i="6"/>
  <c r="X281" i="6"/>
  <c r="X277" i="6"/>
  <c r="X273" i="6"/>
  <c r="X269" i="6"/>
  <c r="X265" i="6"/>
  <c r="X261" i="6"/>
  <c r="X257" i="6"/>
  <c r="X253" i="6"/>
  <c r="X249" i="6"/>
  <c r="X245" i="6"/>
  <c r="X241" i="6"/>
  <c r="X237" i="6"/>
  <c r="X406" i="6"/>
  <c r="X394" i="6"/>
  <c r="X380" i="6"/>
  <c r="X376" i="6"/>
  <c r="X372" i="6"/>
  <c r="X368" i="6"/>
  <c r="X360" i="6"/>
  <c r="X356" i="6"/>
  <c r="X352" i="6"/>
  <c r="X348" i="6"/>
  <c r="X344" i="6"/>
  <c r="X340" i="6"/>
  <c r="X336" i="6"/>
  <c r="X332" i="6"/>
  <c r="X328" i="6"/>
  <c r="X324" i="6"/>
  <c r="X320" i="6"/>
  <c r="X316" i="6"/>
  <c r="X312" i="6"/>
  <c r="X308" i="6"/>
  <c r="X304" i="6"/>
  <c r="X300" i="6"/>
  <c r="X296" i="6"/>
  <c r="X292" i="6"/>
  <c r="X288" i="6"/>
  <c r="X284" i="6"/>
  <c r="X398" i="6"/>
  <c r="X392" i="6"/>
  <c r="X391" i="6"/>
  <c r="X390" i="6"/>
  <c r="X384" i="6"/>
  <c r="X383" i="6"/>
  <c r="X382" i="6"/>
  <c r="X379" i="6"/>
  <c r="X339" i="6"/>
  <c r="X307" i="6"/>
  <c r="X283" i="6"/>
  <c r="X402" i="6"/>
  <c r="X378" i="6"/>
  <c r="X374" i="6"/>
  <c r="X370" i="6"/>
  <c r="X366" i="6"/>
  <c r="X362" i="6"/>
  <c r="X272" i="6"/>
  <c r="X233" i="6"/>
  <c r="AA233" i="6" s="1"/>
  <c r="X231" i="6"/>
  <c r="X225" i="6"/>
  <c r="AA225" i="6" s="1"/>
  <c r="X224" i="6"/>
  <c r="X217" i="6"/>
  <c r="X216" i="6"/>
  <c r="X215" i="6"/>
  <c r="X209" i="6"/>
  <c r="X208" i="6"/>
  <c r="X201" i="6"/>
  <c r="X200" i="6"/>
  <c r="X194" i="6"/>
  <c r="X190" i="6"/>
  <c r="X186" i="6"/>
  <c r="X182" i="6"/>
  <c r="X178" i="6"/>
  <c r="AA178" i="6" s="1"/>
  <c r="X174" i="6"/>
  <c r="AA174" i="6" s="1"/>
  <c r="X170" i="6"/>
  <c r="X166" i="6"/>
  <c r="X162" i="6"/>
  <c r="X158" i="6"/>
  <c r="X142" i="6"/>
  <c r="X276" i="6"/>
  <c r="X169" i="6"/>
  <c r="X165" i="6"/>
  <c r="X161" i="6"/>
  <c r="X157" i="6"/>
  <c r="X153" i="6"/>
  <c r="X149" i="6"/>
  <c r="X145" i="6"/>
  <c r="X137" i="6"/>
  <c r="X133" i="6"/>
  <c r="X129" i="6"/>
  <c r="X125" i="6"/>
  <c r="X121" i="6"/>
  <c r="X117" i="6"/>
  <c r="X113" i="6"/>
  <c r="AA113" i="6" s="1"/>
  <c r="X109" i="6"/>
  <c r="AA109" i="6" s="1"/>
  <c r="X105" i="6"/>
  <c r="X101" i="6"/>
  <c r="AA101" i="6" s="1"/>
  <c r="X97" i="6"/>
  <c r="AA97" i="6" s="1"/>
  <c r="X93" i="6"/>
  <c r="X89" i="6"/>
  <c r="X280" i="6"/>
  <c r="X264" i="6"/>
  <c r="X229" i="6"/>
  <c r="X228" i="6"/>
  <c r="X221" i="6"/>
  <c r="X220" i="6"/>
  <c r="X213" i="6"/>
  <c r="X212" i="6"/>
  <c r="X205" i="6"/>
  <c r="AA205" i="6" s="1"/>
  <c r="X204" i="6"/>
  <c r="X197" i="6"/>
  <c r="X196" i="6"/>
  <c r="X192" i="6"/>
  <c r="X188" i="6"/>
  <c r="X184" i="6"/>
  <c r="X180" i="6"/>
  <c r="X176" i="6"/>
  <c r="AA176" i="6" s="1"/>
  <c r="X136" i="6"/>
  <c r="X132" i="6"/>
  <c r="X268" i="6"/>
  <c r="X260" i="6"/>
  <c r="X256" i="6"/>
  <c r="X252" i="6"/>
  <c r="X248" i="6"/>
  <c r="X244" i="6"/>
  <c r="X240" i="6"/>
  <c r="X236" i="6"/>
  <c r="X151" i="6"/>
  <c r="X147" i="6"/>
  <c r="X143" i="6"/>
  <c r="X127" i="6"/>
  <c r="AA127" i="6" s="1"/>
  <c r="X123" i="6"/>
  <c r="X119" i="6"/>
  <c r="X115" i="6"/>
  <c r="X111" i="6"/>
  <c r="X107" i="6"/>
  <c r="X103" i="6"/>
  <c r="AA103" i="6" s="1"/>
  <c r="X99" i="6"/>
  <c r="X95" i="6"/>
  <c r="AA95" i="6" s="1"/>
  <c r="X91" i="6"/>
  <c r="X87" i="6"/>
  <c r="X83" i="6"/>
  <c r="X60" i="6"/>
  <c r="AA60" i="6" s="1"/>
  <c r="Z62" i="6"/>
  <c r="X63" i="6"/>
  <c r="X65" i="6"/>
  <c r="AA65" i="6" s="1"/>
  <c r="Z66" i="6"/>
  <c r="X67" i="6"/>
  <c r="AA67" i="6" s="1"/>
  <c r="X69" i="6"/>
  <c r="AA69" i="6" s="1"/>
  <c r="Z70" i="6"/>
  <c r="X71" i="6"/>
  <c r="AA71" i="6" s="1"/>
  <c r="X73" i="6"/>
  <c r="AA73" i="6" s="1"/>
  <c r="Z74" i="6"/>
  <c r="X75" i="6"/>
  <c r="AA75" i="6" s="1"/>
  <c r="X77" i="6"/>
  <c r="AA77" i="6" s="1"/>
  <c r="Z78" i="6"/>
  <c r="X79" i="6"/>
  <c r="X81" i="6"/>
  <c r="AA81" i="6" s="1"/>
  <c r="Z82" i="6"/>
  <c r="X85" i="6"/>
  <c r="X86" i="6"/>
  <c r="X90" i="6"/>
  <c r="W91" i="6"/>
  <c r="AA91" i="6" s="1"/>
  <c r="X98" i="6"/>
  <c r="W99" i="6"/>
  <c r="AA99" i="6" s="1"/>
  <c r="Z104" i="6"/>
  <c r="X106" i="6"/>
  <c r="W107" i="6"/>
  <c r="AA107" i="6" s="1"/>
  <c r="M343" i="7"/>
  <c r="M248" i="7"/>
  <c r="Z111" i="6"/>
  <c r="Z112" i="6"/>
  <c r="X114" i="6"/>
  <c r="W115" i="6"/>
  <c r="Z119" i="6"/>
  <c r="Z120" i="6"/>
  <c r="X122" i="6"/>
  <c r="W123" i="6"/>
  <c r="AA123" i="6"/>
  <c r="Z127" i="6"/>
  <c r="Z128" i="6"/>
  <c r="AA129" i="6"/>
  <c r="W130" i="6"/>
  <c r="AA130" i="6" s="1"/>
  <c r="X135" i="6"/>
  <c r="AA135" i="6"/>
  <c r="W136" i="6"/>
  <c r="AA136" i="6"/>
  <c r="Z139" i="6"/>
  <c r="X140" i="6"/>
  <c r="AA140" i="6" s="1"/>
  <c r="W141" i="6"/>
  <c r="AA141" i="6" s="1"/>
  <c r="Z146" i="6"/>
  <c r="X148" i="6"/>
  <c r="W149" i="6"/>
  <c r="AA149" i="6" s="1"/>
  <c r="Z154" i="6"/>
  <c r="X155" i="6"/>
  <c r="AA155" i="6" s="1"/>
  <c r="W156" i="6"/>
  <c r="AA156" i="6" s="1"/>
  <c r="M220" i="7"/>
  <c r="M302" i="7"/>
  <c r="Z161" i="6"/>
  <c r="Z162" i="6"/>
  <c r="X163" i="6"/>
  <c r="AA163" i="6" s="1"/>
  <c r="W164" i="6"/>
  <c r="AA164" i="6" s="1"/>
  <c r="Z168" i="6"/>
  <c r="Z169" i="6"/>
  <c r="X171" i="6"/>
  <c r="AA171" i="6" s="1"/>
  <c r="W172" i="6"/>
  <c r="AA172" i="6" s="1"/>
  <c r="Z176" i="6"/>
  <c r="Z177" i="6"/>
  <c r="X179" i="6"/>
  <c r="W180" i="6"/>
  <c r="AA180" i="6" s="1"/>
  <c r="Z184" i="6"/>
  <c r="Z185" i="6"/>
  <c r="X187" i="6"/>
  <c r="W188" i="6"/>
  <c r="AA188" i="6"/>
  <c r="Z192" i="6"/>
  <c r="Z193" i="6"/>
  <c r="X195" i="6"/>
  <c r="W196" i="6"/>
  <c r="W197" i="6"/>
  <c r="AA197" i="6"/>
  <c r="W198" i="6"/>
  <c r="Z205" i="6"/>
  <c r="X207" i="6"/>
  <c r="W221" i="6"/>
  <c r="AA221" i="6" s="1"/>
  <c r="W222" i="6"/>
  <c r="AA229" i="6"/>
  <c r="W230" i="6"/>
  <c r="W241" i="6"/>
  <c r="AA241" i="6" s="1"/>
  <c r="W249" i="6"/>
  <c r="AA249" i="6" s="1"/>
  <c r="W257" i="6"/>
  <c r="AA257" i="6" s="1"/>
  <c r="AA261" i="6"/>
  <c r="M225" i="7"/>
  <c r="M65" i="7"/>
  <c r="M315" i="7"/>
  <c r="M247" i="7"/>
  <c r="M236" i="7"/>
  <c r="M73" i="7"/>
  <c r="W203" i="6"/>
  <c r="AA203" i="6" s="1"/>
  <c r="W211" i="6"/>
  <c r="AA211" i="6" s="1"/>
  <c r="W219" i="6"/>
  <c r="AA219" i="6" s="1"/>
  <c r="W227" i="6"/>
  <c r="AA227" i="6" s="1"/>
  <c r="W235" i="6"/>
  <c r="Z236" i="6"/>
  <c r="W238" i="6"/>
  <c r="AA238" i="6" s="1"/>
  <c r="W239" i="6"/>
  <c r="Z240" i="6"/>
  <c r="M261" i="7"/>
  <c r="M92" i="7"/>
  <c r="W242" i="6"/>
  <c r="W243" i="6"/>
  <c r="Z244" i="6"/>
  <c r="W246" i="6"/>
  <c r="W247" i="6"/>
  <c r="Z248" i="6"/>
  <c r="M198" i="7"/>
  <c r="M54" i="7"/>
  <c r="W250" i="6"/>
  <c r="W251" i="6"/>
  <c r="Z252" i="6"/>
  <c r="W254" i="6"/>
  <c r="AA254" i="6" s="1"/>
  <c r="W255" i="6"/>
  <c r="Z256" i="6"/>
  <c r="W258" i="6"/>
  <c r="W259" i="6"/>
  <c r="AA259" i="6" s="1"/>
  <c r="Z260" i="6"/>
  <c r="W262" i="6"/>
  <c r="W263" i="6"/>
  <c r="Z271" i="6"/>
  <c r="Z272" i="6"/>
  <c r="M253" i="7"/>
  <c r="M200" i="7"/>
  <c r="X274" i="6"/>
  <c r="X275" i="6"/>
  <c r="W278" i="6"/>
  <c r="W279" i="6"/>
  <c r="X282" i="6"/>
  <c r="W283" i="6"/>
  <c r="X287" i="6"/>
  <c r="X289" i="6"/>
  <c r="W290" i="6"/>
  <c r="M287" i="7"/>
  <c r="M167" i="7"/>
  <c r="Z299" i="6"/>
  <c r="Z300" i="6"/>
  <c r="X302" i="6"/>
  <c r="X303" i="6"/>
  <c r="W305" i="6"/>
  <c r="Z307" i="6"/>
  <c r="Z308" i="6"/>
  <c r="W310" i="6"/>
  <c r="X315" i="6"/>
  <c r="X317" i="6"/>
  <c r="W318" i="6"/>
  <c r="Z327" i="6"/>
  <c r="Z328" i="6"/>
  <c r="X330" i="6"/>
  <c r="W331" i="6"/>
  <c r="Z335" i="6"/>
  <c r="Z336" i="6"/>
  <c r="W338" i="6"/>
  <c r="Z341" i="6"/>
  <c r="X342" i="6"/>
  <c r="W343" i="6"/>
  <c r="AA343" i="6" s="1"/>
  <c r="Z348" i="6"/>
  <c r="Z349" i="6"/>
  <c r="X350" i="6"/>
  <c r="W351" i="6"/>
  <c r="Z356" i="6"/>
  <c r="Z357" i="6"/>
  <c r="X358" i="6"/>
  <c r="W359" i="6"/>
  <c r="AA359" i="6" s="1"/>
  <c r="W360" i="6"/>
  <c r="X364" i="6"/>
  <c r="W367" i="6"/>
  <c r="Z370" i="6"/>
  <c r="Z371" i="6"/>
  <c r="X373" i="6"/>
  <c r="W374" i="6"/>
  <c r="Z378" i="6"/>
  <c r="Z379" i="6"/>
  <c r="W381" i="6"/>
  <c r="M313" i="7"/>
  <c r="M2" i="7"/>
  <c r="Z384" i="6"/>
  <c r="W388" i="6"/>
  <c r="AA388" i="6" s="1"/>
  <c r="W389" i="6"/>
  <c r="Z392" i="6"/>
  <c r="M126" i="7"/>
  <c r="M77" i="7"/>
  <c r="M349" i="7"/>
  <c r="M333" i="7"/>
  <c r="M86" i="7"/>
  <c r="M8" i="7"/>
  <c r="M156" i="7"/>
  <c r="Z196" i="6"/>
  <c r="M205" i="7"/>
  <c r="M180" i="7"/>
  <c r="X202" i="6"/>
  <c r="Z204" i="6"/>
  <c r="X210" i="6"/>
  <c r="AA210" i="6" s="1"/>
  <c r="Z212" i="6"/>
  <c r="X218" i="6"/>
  <c r="AA218" i="6" s="1"/>
  <c r="Z220" i="6"/>
  <c r="M208" i="7"/>
  <c r="M130" i="7"/>
  <c r="X226" i="6"/>
  <c r="Z228" i="6"/>
  <c r="X234" i="6"/>
  <c r="Z267" i="6"/>
  <c r="Z268" i="6"/>
  <c r="X270" i="6"/>
  <c r="X271" i="6"/>
  <c r="W274" i="6"/>
  <c r="AA274" i="6" s="1"/>
  <c r="W275" i="6"/>
  <c r="W282" i="6"/>
  <c r="AA282" i="6" s="1"/>
  <c r="M318" i="7"/>
  <c r="M270" i="7"/>
  <c r="X286" i="6"/>
  <c r="W287" i="6"/>
  <c r="Z295" i="6"/>
  <c r="Z296" i="6"/>
  <c r="X298" i="6"/>
  <c r="X299" i="6"/>
  <c r="X301" i="6"/>
  <c r="W302" i="6"/>
  <c r="AA302" i="6" s="1"/>
  <c r="W309" i="6"/>
  <c r="Z312" i="6"/>
  <c r="Z313" i="6"/>
  <c r="X314" i="6"/>
  <c r="W315" i="6"/>
  <c r="AA315" i="6"/>
  <c r="Z323" i="6"/>
  <c r="Z324" i="6"/>
  <c r="X326" i="6"/>
  <c r="X327" i="6"/>
  <c r="W330" i="6"/>
  <c r="AA330" i="6" s="1"/>
  <c r="X335" i="6"/>
  <c r="W337" i="6"/>
  <c r="AA337" i="6" s="1"/>
  <c r="Z339" i="6"/>
  <c r="Z340" i="6"/>
  <c r="W342" i="6"/>
  <c r="AA342" i="6" s="1"/>
  <c r="X347" i="6"/>
  <c r="W350" i="6"/>
  <c r="AA350" i="6" s="1"/>
  <c r="X355" i="6"/>
  <c r="W358" i="6"/>
  <c r="AA358" i="6" s="1"/>
  <c r="X363" i="6"/>
  <c r="W364" i="6"/>
  <c r="Z368" i="6"/>
  <c r="X371" i="6"/>
  <c r="W372" i="6"/>
  <c r="AA372" i="6"/>
  <c r="W380" i="6"/>
  <c r="AA380" i="6" s="1"/>
  <c r="Z382" i="6"/>
  <c r="W385" i="6"/>
  <c r="W393" i="6"/>
  <c r="M345" i="7"/>
  <c r="M125" i="7"/>
  <c r="M239" i="7"/>
  <c r="M7" i="7"/>
  <c r="W199" i="6"/>
  <c r="AA199" i="6" s="1"/>
  <c r="W207" i="6"/>
  <c r="AA207" i="6" s="1"/>
  <c r="W215" i="6"/>
  <c r="AA215" i="6" s="1"/>
  <c r="W223" i="6"/>
  <c r="AA223" i="6"/>
  <c r="W231" i="6"/>
  <c r="AA231" i="6" s="1"/>
  <c r="Z235" i="6"/>
  <c r="Z239" i="6"/>
  <c r="Z243" i="6"/>
  <c r="AA243" i="6" s="1"/>
  <c r="Z247" i="6"/>
  <c r="AA247" i="6" s="1"/>
  <c r="Z251" i="6"/>
  <c r="Z255" i="6"/>
  <c r="M264" i="7"/>
  <c r="M171" i="7"/>
  <c r="M71" i="7"/>
  <c r="Z259" i="6"/>
  <c r="Z263" i="6"/>
  <c r="Z264" i="6"/>
  <c r="X266" i="6"/>
  <c r="X267" i="6"/>
  <c r="W270" i="6"/>
  <c r="W271" i="6"/>
  <c r="AA271" i="6"/>
  <c r="Z279" i="6"/>
  <c r="Z280" i="6"/>
  <c r="M320" i="7"/>
  <c r="M289" i="7"/>
  <c r="Z283" i="6"/>
  <c r="Z284" i="6"/>
  <c r="W286" i="6"/>
  <c r="AA286" i="6" s="1"/>
  <c r="Z291" i="6"/>
  <c r="Z292" i="6"/>
  <c r="X294" i="6"/>
  <c r="X295" i="6"/>
  <c r="X297" i="6"/>
  <c r="W298" i="6"/>
  <c r="AA298" i="6" s="1"/>
  <c r="M278" i="7"/>
  <c r="M23" i="7"/>
  <c r="X306" i="6"/>
  <c r="W307" i="6"/>
  <c r="AA307" i="6"/>
  <c r="X311" i="6"/>
  <c r="W314" i="6"/>
  <c r="AA314" i="6" s="1"/>
  <c r="M230" i="7"/>
  <c r="M102" i="7"/>
  <c r="Z319" i="6"/>
  <c r="Z320" i="6"/>
  <c r="X322" i="6"/>
  <c r="X323" i="6"/>
  <c r="X325" i="6"/>
  <c r="W326" i="6"/>
  <c r="AA326" i="6" s="1"/>
  <c r="M179" i="7"/>
  <c r="M31" i="7"/>
  <c r="Z331" i="6"/>
  <c r="Z332" i="6"/>
  <c r="X334" i="6"/>
  <c r="W335" i="6"/>
  <c r="AA335" i="6"/>
  <c r="W341" i="6"/>
  <c r="Z344" i="6"/>
  <c r="Z345" i="6"/>
  <c r="X346" i="6"/>
  <c r="W347" i="6"/>
  <c r="AA347" i="6" s="1"/>
  <c r="Z352" i="6"/>
  <c r="Z353" i="6"/>
  <c r="X354" i="6"/>
  <c r="W355" i="6"/>
  <c r="AA355" i="6"/>
  <c r="Z360" i="6"/>
  <c r="AA360" i="6" s="1"/>
  <c r="Z361" i="6"/>
  <c r="W363" i="6"/>
  <c r="AA363" i="6" s="1"/>
  <c r="Z367" i="6"/>
  <c r="X369" i="6"/>
  <c r="W370" i="6"/>
  <c r="AA370" i="6" s="1"/>
  <c r="Z374" i="6"/>
  <c r="AA374" i="6" s="1"/>
  <c r="Z375" i="6"/>
  <c r="X377" i="6"/>
  <c r="W378" i="6"/>
  <c r="Z386" i="6"/>
  <c r="M107" i="7"/>
  <c r="M85" i="7"/>
  <c r="M26" i="7"/>
  <c r="X198" i="6"/>
  <c r="Z200" i="6"/>
  <c r="X206" i="6"/>
  <c r="Z208" i="6"/>
  <c r="X214" i="6"/>
  <c r="Z216" i="6"/>
  <c r="X222" i="6"/>
  <c r="Z224" i="6"/>
  <c r="X230" i="6"/>
  <c r="Z232" i="6"/>
  <c r="M263" i="7"/>
  <c r="M141" i="7"/>
  <c r="X238" i="6"/>
  <c r="X242" i="6"/>
  <c r="AA242" i="6" s="1"/>
  <c r="X246" i="6"/>
  <c r="AA246" i="6"/>
  <c r="X250" i="6"/>
  <c r="AA250" i="6" s="1"/>
  <c r="X254" i="6"/>
  <c r="X258" i="6"/>
  <c r="AA258" i="6" s="1"/>
  <c r="X262" i="6"/>
  <c r="AA262" i="6"/>
  <c r="X263" i="6"/>
  <c r="M314" i="7"/>
  <c r="M159" i="7"/>
  <c r="W266" i="6"/>
  <c r="AA266" i="6" s="1"/>
  <c r="W267" i="6"/>
  <c r="Z275" i="6"/>
  <c r="AA275" i="6" s="1"/>
  <c r="Z276" i="6"/>
  <c r="X278" i="6"/>
  <c r="AA278" i="6" s="1"/>
  <c r="X279" i="6"/>
  <c r="W285" i="6"/>
  <c r="AA285" i="6" s="1"/>
  <c r="Z287" i="6"/>
  <c r="Z288" i="6"/>
  <c r="X290" i="6"/>
  <c r="AA290" i="6" s="1"/>
  <c r="X291" i="6"/>
  <c r="X293" i="6"/>
  <c r="W294" i="6"/>
  <c r="AA294" i="6" s="1"/>
  <c r="M296" i="7"/>
  <c r="M36" i="7"/>
  <c r="Z303" i="6"/>
  <c r="Z304" i="6"/>
  <c r="AA305" i="6"/>
  <c r="W306" i="6"/>
  <c r="Z309" i="6"/>
  <c r="X310" i="6"/>
  <c r="AA310" i="6"/>
  <c r="W311" i="6"/>
  <c r="AA311" i="6" s="1"/>
  <c r="Z316" i="6"/>
  <c r="X318" i="6"/>
  <c r="AA318" i="6" s="1"/>
  <c r="X319" i="6"/>
  <c r="X321" i="6"/>
  <c r="W322" i="6"/>
  <c r="AA322" i="6" s="1"/>
  <c r="X331" i="6"/>
  <c r="W334" i="6"/>
  <c r="X338" i="6"/>
  <c r="AA338" i="6" s="1"/>
  <c r="W339" i="6"/>
  <c r="AA339" i="6" s="1"/>
  <c r="X343" i="6"/>
  <c r="W346" i="6"/>
  <c r="AA346" i="6" s="1"/>
  <c r="X351" i="6"/>
  <c r="W354" i="6"/>
  <c r="AA354" i="6" s="1"/>
  <c r="M204" i="7"/>
  <c r="M15" i="7"/>
  <c r="X359" i="6"/>
  <c r="W362" i="6"/>
  <c r="AA362" i="6" s="1"/>
  <c r="Z364" i="6"/>
  <c r="Z365" i="6"/>
  <c r="X367" i="6"/>
  <c r="W368" i="6"/>
  <c r="AA368" i="6" s="1"/>
  <c r="X375" i="6"/>
  <c r="W376" i="6"/>
  <c r="AA376" i="6"/>
  <c r="X386" i="6"/>
  <c r="X387" i="6"/>
  <c r="M323" i="7"/>
  <c r="M234" i="7"/>
  <c r="M146" i="7"/>
  <c r="M120" i="7"/>
  <c r="X381" i="6"/>
  <c r="AA381" i="6" s="1"/>
  <c r="W382" i="6"/>
  <c r="AA382" i="6" s="1"/>
  <c r="M186" i="7"/>
  <c r="M183" i="7"/>
  <c r="W390" i="6"/>
  <c r="AA390" i="6" s="1"/>
  <c r="W396" i="6"/>
  <c r="W397" i="6"/>
  <c r="Z399" i="6"/>
  <c r="M99" i="7"/>
  <c r="M25" i="7"/>
  <c r="W408" i="6"/>
  <c r="AA408" i="6" s="1"/>
  <c r="X415" i="6"/>
  <c r="W416" i="6"/>
  <c r="AA416" i="6"/>
  <c r="X423" i="6"/>
  <c r="W424" i="6"/>
  <c r="AA424" i="6" s="1"/>
  <c r="X429" i="6"/>
  <c r="X436" i="6"/>
  <c r="X444" i="6"/>
  <c r="M240" i="7"/>
  <c r="M51" i="7"/>
  <c r="X452" i="6"/>
  <c r="W466" i="6"/>
  <c r="M219" i="7"/>
  <c r="M49" i="7"/>
  <c r="M34" i="7"/>
  <c r="M29" i="7"/>
  <c r="Z383" i="6"/>
  <c r="X389" i="6"/>
  <c r="AA389" i="6" s="1"/>
  <c r="Z391" i="6"/>
  <c r="W394" i="6"/>
  <c r="Z395" i="6"/>
  <c r="Z402" i="6"/>
  <c r="X405" i="6"/>
  <c r="AA405" i="6"/>
  <c r="W406" i="6"/>
  <c r="Z407" i="6"/>
  <c r="Z410" i="6"/>
  <c r="Z411" i="6"/>
  <c r="X413" i="6"/>
  <c r="W414" i="6"/>
  <c r="Z418" i="6"/>
  <c r="Z419" i="6"/>
  <c r="X421" i="6"/>
  <c r="W422" i="6"/>
  <c r="AA422" i="6" s="1"/>
  <c r="Z426" i="6"/>
  <c r="Z427" i="6"/>
  <c r="X428" i="6"/>
  <c r="W429" i="6"/>
  <c r="W437" i="6"/>
  <c r="W438" i="6"/>
  <c r="W445" i="6"/>
  <c r="AA445" i="6" s="1"/>
  <c r="W446" i="6"/>
  <c r="W453" i="6"/>
  <c r="AA453" i="6" s="1"/>
  <c r="W454" i="6"/>
  <c r="W462" i="6"/>
  <c r="AA462" i="6" s="1"/>
  <c r="X472" i="6"/>
  <c r="W474" i="6"/>
  <c r="M212" i="7"/>
  <c r="M96" i="7"/>
  <c r="W386" i="6"/>
  <c r="AA386" i="6"/>
  <c r="Z398" i="6"/>
  <c r="X400" i="6"/>
  <c r="X401" i="6"/>
  <c r="W404" i="6"/>
  <c r="AA404" i="6" s="1"/>
  <c r="W405" i="6"/>
  <c r="X407" i="6"/>
  <c r="X411" i="6"/>
  <c r="W412" i="6"/>
  <c r="AA412" i="6" s="1"/>
  <c r="X419" i="6"/>
  <c r="W420" i="6"/>
  <c r="AA420" i="6" s="1"/>
  <c r="W428" i="6"/>
  <c r="AA428" i="6" s="1"/>
  <c r="W434" i="6"/>
  <c r="AA434" i="6" s="1"/>
  <c r="W442" i="6"/>
  <c r="W450" i="6"/>
  <c r="X468" i="6"/>
  <c r="W482" i="6"/>
  <c r="X385" i="6"/>
  <c r="Z387" i="6"/>
  <c r="M162" i="7"/>
  <c r="M79" i="7"/>
  <c r="X393" i="6"/>
  <c r="Z394" i="6"/>
  <c r="AA394" i="6" s="1"/>
  <c r="X396" i="6"/>
  <c r="AA396" i="6"/>
  <c r="X397" i="6"/>
  <c r="AA397" i="6" s="1"/>
  <c r="W400" i="6"/>
  <c r="AA400" i="6" s="1"/>
  <c r="W401" i="6"/>
  <c r="AA401" i="6"/>
  <c r="Z403" i="6"/>
  <c r="M281" i="7"/>
  <c r="M273" i="7"/>
  <c r="M30" i="7"/>
  <c r="M139" i="7"/>
  <c r="Z406" i="6"/>
  <c r="X409" i="6"/>
  <c r="W410" i="6"/>
  <c r="AA410" i="6" s="1"/>
  <c r="Z414" i="6"/>
  <c r="AA414" i="6" s="1"/>
  <c r="Z415" i="6"/>
  <c r="X417" i="6"/>
  <c r="W418" i="6"/>
  <c r="AA418" i="6"/>
  <c r="Z422" i="6"/>
  <c r="Z423" i="6"/>
  <c r="X425" i="6"/>
  <c r="W426" i="6"/>
  <c r="AA426" i="6" s="1"/>
  <c r="Z429" i="6"/>
  <c r="Z430" i="6"/>
  <c r="Z435" i="6"/>
  <c r="Z437" i="6"/>
  <c r="X439" i="6"/>
  <c r="Z443" i="6"/>
  <c r="Z445" i="6"/>
  <c r="X447" i="6"/>
  <c r="Z451" i="6"/>
  <c r="Z453" i="6"/>
  <c r="X456" i="6"/>
  <c r="W458" i="6"/>
  <c r="AA458" i="6" s="1"/>
  <c r="W470" i="6"/>
  <c r="W478" i="6"/>
  <c r="AA478" i="6" s="1"/>
  <c r="AA431" i="6"/>
  <c r="X434" i="6"/>
  <c r="Z436" i="6"/>
  <c r="X442" i="6"/>
  <c r="AA442" i="6" s="1"/>
  <c r="Z444" i="6"/>
  <c r="M308" i="7"/>
  <c r="M168" i="7"/>
  <c r="M109" i="7"/>
  <c r="X450" i="6"/>
  <c r="Z452" i="6"/>
  <c r="X455" i="6"/>
  <c r="Z456" i="6"/>
  <c r="X462" i="6"/>
  <c r="Z465" i="6"/>
  <c r="W467" i="6"/>
  <c r="X471" i="6"/>
  <c r="Z472" i="6"/>
  <c r="X478" i="6"/>
  <c r="Z481" i="6"/>
  <c r="W483" i="6"/>
  <c r="W492" i="6"/>
  <c r="AA492" i="6" s="1"/>
  <c r="X493" i="6"/>
  <c r="Z495" i="6"/>
  <c r="X499" i="6"/>
  <c r="W508" i="6"/>
  <c r="AA508" i="6" s="1"/>
  <c r="X509" i="6"/>
  <c r="Z511" i="6"/>
  <c r="X515" i="6"/>
  <c r="W524" i="6"/>
  <c r="AA524" i="6"/>
  <c r="X525" i="6"/>
  <c r="Z527" i="6"/>
  <c r="X531" i="6"/>
  <c r="W439" i="6"/>
  <c r="AA439" i="6" s="1"/>
  <c r="W447" i="6"/>
  <c r="AA447" i="6"/>
  <c r="W455" i="6"/>
  <c r="AA455" i="6" s="1"/>
  <c r="X459" i="6"/>
  <c r="Z460" i="6"/>
  <c r="X466" i="6"/>
  <c r="AA466" i="6" s="1"/>
  <c r="Z469" i="6"/>
  <c r="W471" i="6"/>
  <c r="AA471" i="6" s="1"/>
  <c r="X475" i="6"/>
  <c r="Z476" i="6"/>
  <c r="X482" i="6"/>
  <c r="W484" i="6"/>
  <c r="AA484" i="6" s="1"/>
  <c r="X485" i="6"/>
  <c r="X490" i="6"/>
  <c r="W493" i="6"/>
  <c r="AA493" i="6" s="1"/>
  <c r="Z496" i="6"/>
  <c r="M245" i="7"/>
  <c r="M38" i="7"/>
  <c r="M22" i="7"/>
  <c r="W497" i="6"/>
  <c r="X506" i="6"/>
  <c r="W509" i="6"/>
  <c r="Z512" i="6"/>
  <c r="W513" i="6"/>
  <c r="X522" i="6"/>
  <c r="W525" i="6"/>
  <c r="Z528" i="6"/>
  <c r="W529" i="6"/>
  <c r="Z432" i="6"/>
  <c r="X438" i="6"/>
  <c r="Z440" i="6"/>
  <c r="X446" i="6"/>
  <c r="Z448" i="6"/>
  <c r="X454" i="6"/>
  <c r="Z457" i="6"/>
  <c r="W459" i="6"/>
  <c r="M342" i="7"/>
  <c r="M194" i="7"/>
  <c r="X463" i="6"/>
  <c r="Z464" i="6"/>
  <c r="X470" i="6"/>
  <c r="Z473" i="6"/>
  <c r="W475" i="6"/>
  <c r="X479" i="6"/>
  <c r="Z480" i="6"/>
  <c r="W485" i="6"/>
  <c r="Z487" i="6"/>
  <c r="M276" i="7"/>
  <c r="M42" i="7"/>
  <c r="X491" i="6"/>
  <c r="W500" i="6"/>
  <c r="AA500" i="6" s="1"/>
  <c r="X501" i="6"/>
  <c r="Z503" i="6"/>
  <c r="X507" i="6"/>
  <c r="M221" i="7"/>
  <c r="M43" i="7"/>
  <c r="W516" i="6"/>
  <c r="AA516" i="6"/>
  <c r="X517" i="6"/>
  <c r="Z519" i="6"/>
  <c r="X523" i="6"/>
  <c r="W532" i="6"/>
  <c r="AA532" i="6" s="1"/>
  <c r="X533" i="6"/>
  <c r="Z535" i="6"/>
  <c r="W435" i="6"/>
  <c r="AA435" i="6" s="1"/>
  <c r="W443" i="6"/>
  <c r="AA443" i="6" s="1"/>
  <c r="W451" i="6"/>
  <c r="AA451" i="6" s="1"/>
  <c r="X458" i="6"/>
  <c r="Z461" i="6"/>
  <c r="W463" i="6"/>
  <c r="X467" i="6"/>
  <c r="AA467" i="6" s="1"/>
  <c r="Z468" i="6"/>
  <c r="X474" i="6"/>
  <c r="AA474" i="6" s="1"/>
  <c r="Z477" i="6"/>
  <c r="W479" i="6"/>
  <c r="AA479" i="6" s="1"/>
  <c r="X483" i="6"/>
  <c r="W486" i="6"/>
  <c r="AA486" i="6" s="1"/>
  <c r="Z488" i="6"/>
  <c r="W489" i="6"/>
  <c r="X498" i="6"/>
  <c r="W501" i="6"/>
  <c r="Z504" i="6"/>
  <c r="W505" i="6"/>
  <c r="X514" i="6"/>
  <c r="W517" i="6"/>
  <c r="AA517" i="6" s="1"/>
  <c r="Z520" i="6"/>
  <c r="W521" i="6"/>
  <c r="X530" i="6"/>
  <c r="W533" i="6"/>
  <c r="AA533" i="6" s="1"/>
  <c r="W536" i="6"/>
  <c r="AA536" i="6" s="1"/>
  <c r="W538" i="6"/>
  <c r="AA538" i="6" s="1"/>
  <c r="M322" i="7"/>
  <c r="M84" i="7"/>
  <c r="W540" i="6"/>
  <c r="AA540" i="6" s="1"/>
  <c r="W542" i="6"/>
  <c r="AA542" i="6" s="1"/>
  <c r="M301" i="7"/>
  <c r="M144" i="7"/>
  <c r="W544" i="6"/>
  <c r="AA544" i="6" s="1"/>
  <c r="M72" i="7"/>
  <c r="M133" i="7"/>
  <c r="W546" i="6"/>
  <c r="AA546" i="6" s="1"/>
  <c r="W548" i="6"/>
  <c r="W549" i="6"/>
  <c r="X551" i="6"/>
  <c r="Z554" i="6"/>
  <c r="X557" i="6"/>
  <c r="W558" i="6"/>
  <c r="Z562" i="6"/>
  <c r="X565" i="6"/>
  <c r="W566" i="6"/>
  <c r="Z570" i="6"/>
  <c r="X572" i="6"/>
  <c r="X573" i="6"/>
  <c r="W490" i="6"/>
  <c r="AA490" i="6" s="1"/>
  <c r="W498" i="6"/>
  <c r="M211" i="7"/>
  <c r="M334" i="7"/>
  <c r="W506" i="6"/>
  <c r="W514" i="6"/>
  <c r="W522" i="6"/>
  <c r="AA522" i="6" s="1"/>
  <c r="W530" i="6"/>
  <c r="X535" i="6"/>
  <c r="Z539" i="6"/>
  <c r="Z543" i="6"/>
  <c r="Z547" i="6"/>
  <c r="Z550" i="6"/>
  <c r="Z553" i="6"/>
  <c r="W556" i="6"/>
  <c r="AA556" i="6" s="1"/>
  <c r="Z561" i="6"/>
  <c r="X563" i="6"/>
  <c r="W564" i="6"/>
  <c r="AA564" i="6" s="1"/>
  <c r="Z569" i="6"/>
  <c r="X571" i="6"/>
  <c r="W572" i="6"/>
  <c r="W576" i="6"/>
  <c r="M163" i="7"/>
  <c r="M76" i="7"/>
  <c r="Z483" i="6"/>
  <c r="X489" i="6"/>
  <c r="Z491" i="6"/>
  <c r="X497" i="6"/>
  <c r="Z499" i="6"/>
  <c r="X505" i="6"/>
  <c r="Z507" i="6"/>
  <c r="X513" i="6"/>
  <c r="Z515" i="6"/>
  <c r="X521" i="6"/>
  <c r="Z523" i="6"/>
  <c r="X529" i="6"/>
  <c r="Z531" i="6"/>
  <c r="X537" i="6"/>
  <c r="X539" i="6"/>
  <c r="X541" i="6"/>
  <c r="X543" i="6"/>
  <c r="X545" i="6"/>
  <c r="X547" i="6"/>
  <c r="Z549" i="6"/>
  <c r="W552" i="6"/>
  <c r="AA552" i="6" s="1"/>
  <c r="X553" i="6"/>
  <c r="W554" i="6"/>
  <c r="AA554" i="6" s="1"/>
  <c r="Z558" i="6"/>
  <c r="AA558" i="6" s="1"/>
  <c r="X561" i="6"/>
  <c r="W562" i="6"/>
  <c r="AA562" i="6" s="1"/>
  <c r="Z566" i="6"/>
  <c r="AA566" i="6" s="1"/>
  <c r="X569" i="6"/>
  <c r="W570" i="6"/>
  <c r="AA570" i="6" s="1"/>
  <c r="W494" i="6"/>
  <c r="AA494" i="6" s="1"/>
  <c r="W502" i="6"/>
  <c r="AA502" i="6" s="1"/>
  <c r="W510" i="6"/>
  <c r="AA510" i="6" s="1"/>
  <c r="W518" i="6"/>
  <c r="AA518" i="6" s="1"/>
  <c r="W526" i="6"/>
  <c r="AA526" i="6"/>
  <c r="W534" i="6"/>
  <c r="AA534" i="6" s="1"/>
  <c r="AA548" i="6"/>
  <c r="X549" i="6"/>
  <c r="AA549" i="6" s="1"/>
  <c r="W550" i="6"/>
  <c r="AA550" i="6" s="1"/>
  <c r="X555" i="6"/>
  <c r="Z557" i="6"/>
  <c r="X559" i="6"/>
  <c r="W560" i="6"/>
  <c r="AA560" i="6" s="1"/>
  <c r="M154" i="7"/>
  <c r="M112" i="7"/>
  <c r="Z565" i="6"/>
  <c r="X567" i="6"/>
  <c r="W568" i="6"/>
  <c r="AA568" i="6" s="1"/>
  <c r="Z573" i="6"/>
  <c r="Z575" i="6"/>
  <c r="X590" i="6"/>
  <c r="Z593" i="6"/>
  <c r="Z596" i="6"/>
  <c r="W599" i="6"/>
  <c r="AA599" i="6" s="1"/>
  <c r="X600" i="6"/>
  <c r="W601" i="6"/>
  <c r="AA601" i="6"/>
  <c r="M232" i="7"/>
  <c r="M304" i="7"/>
  <c r="M151" i="7"/>
  <c r="Z574" i="6"/>
  <c r="AA574" i="6" s="1"/>
  <c r="M226" i="7"/>
  <c r="M12" i="7"/>
  <c r="W577" i="6"/>
  <c r="AA577" i="6"/>
  <c r="W579" i="6"/>
  <c r="AA579" i="6"/>
  <c r="W581" i="6"/>
  <c r="AA581" i="6"/>
  <c r="W583" i="6"/>
  <c r="AA583" i="6"/>
  <c r="W585" i="6"/>
  <c r="AA585" i="6"/>
  <c r="M260" i="7"/>
  <c r="M297" i="7"/>
  <c r="M3" i="7"/>
  <c r="W587" i="6"/>
  <c r="AA587" i="6" s="1"/>
  <c r="Z589" i="6"/>
  <c r="Z592" i="6"/>
  <c r="W595" i="6"/>
  <c r="AA595" i="6" s="1"/>
  <c r="X596" i="6"/>
  <c r="W597" i="6"/>
  <c r="Z598" i="6"/>
  <c r="Z578" i="6"/>
  <c r="Z582" i="6"/>
  <c r="Z586" i="6"/>
  <c r="W591" i="6"/>
  <c r="AA591" i="6"/>
  <c r="X592" i="6"/>
  <c r="W593" i="6"/>
  <c r="AA593" i="6" s="1"/>
  <c r="Z594" i="6"/>
  <c r="X598" i="6"/>
  <c r="M138" i="7"/>
  <c r="M152" i="7"/>
  <c r="X576" i="6"/>
  <c r="X578" i="6"/>
  <c r="X580" i="6"/>
  <c r="X582" i="6"/>
  <c r="X584" i="6"/>
  <c r="X586" i="6"/>
  <c r="X588" i="6"/>
  <c r="W589" i="6"/>
  <c r="AA589" i="6" s="1"/>
  <c r="Z590" i="6"/>
  <c r="X594" i="6"/>
  <c r="Z597" i="6"/>
  <c r="AA597" i="6" s="1"/>
  <c r="Z600" i="6"/>
  <c r="AA572" i="6" l="1"/>
  <c r="AA270" i="6"/>
  <c r="AA331" i="6"/>
  <c r="AA251" i="6"/>
  <c r="AA235" i="6"/>
  <c r="AA111" i="6"/>
  <c r="AA234" i="6"/>
  <c r="D18" i="5"/>
  <c r="B33" i="1" s="1"/>
  <c r="AA217" i="6"/>
  <c r="AA194" i="6"/>
  <c r="AA121" i="6"/>
  <c r="AA105" i="6"/>
  <c r="AA52" i="6"/>
  <c r="AA44" i="6"/>
  <c r="AA36" i="6"/>
  <c r="AA28" i="6"/>
  <c r="AA20" i="6"/>
  <c r="AA12" i="6"/>
  <c r="AA4" i="6"/>
  <c r="AA506" i="6"/>
  <c r="AA475" i="6"/>
  <c r="AA482" i="6"/>
  <c r="AA429" i="6"/>
  <c r="AA530" i="6"/>
  <c r="AA521" i="6"/>
  <c r="AA505" i="6"/>
  <c r="AA489" i="6"/>
  <c r="AA485" i="6"/>
  <c r="AA509" i="6"/>
  <c r="AA470" i="6"/>
  <c r="AA454" i="6"/>
  <c r="AA438" i="6"/>
  <c r="AA406" i="6"/>
  <c r="AA367" i="6"/>
  <c r="AA351" i="6"/>
  <c r="AA279" i="6"/>
  <c r="AA267" i="6"/>
  <c r="AA378" i="6"/>
  <c r="AA341" i="6"/>
  <c r="AA283" i="6"/>
  <c r="AA255" i="6"/>
  <c r="AA239" i="6"/>
  <c r="AA222" i="6"/>
  <c r="AA198" i="6"/>
  <c r="AA190" i="6"/>
  <c r="AA117" i="6"/>
  <c r="AA83" i="6"/>
  <c r="AA253" i="6"/>
  <c r="AA145" i="6"/>
  <c r="AA139" i="6"/>
  <c r="AA134" i="6"/>
  <c r="AA87" i="6"/>
  <c r="AA57" i="6"/>
  <c r="AA226" i="6"/>
  <c r="AA202" i="6"/>
  <c r="AA151" i="6"/>
  <c r="AA93" i="6"/>
  <c r="AA245" i="6"/>
  <c r="AA214" i="6"/>
  <c r="AA184" i="6"/>
  <c r="AA168" i="6"/>
  <c r="AA160" i="6"/>
  <c r="AA153" i="6"/>
  <c r="AA209" i="6"/>
  <c r="AA89" i="6"/>
  <c r="AA48" i="6"/>
  <c r="AA40" i="6"/>
  <c r="AA32" i="6"/>
  <c r="AA24" i="6"/>
  <c r="AA16" i="6"/>
  <c r="AA8" i="6"/>
  <c r="AA437" i="6"/>
  <c r="AA514" i="6"/>
  <c r="AA498" i="6"/>
  <c r="AA463" i="6"/>
  <c r="AA459" i="6"/>
  <c r="AA529" i="6"/>
  <c r="AA513" i="6"/>
  <c r="AA497" i="6"/>
  <c r="AA450" i="6"/>
  <c r="AA446" i="6"/>
  <c r="AA364" i="6"/>
  <c r="AA334" i="6"/>
  <c r="AA306" i="6"/>
  <c r="AA287" i="6"/>
  <c r="AA385" i="6"/>
  <c r="AA309" i="6"/>
  <c r="AA263" i="6"/>
  <c r="AA230" i="6"/>
  <c r="AA115" i="6"/>
  <c r="AA213" i="6"/>
  <c r="AA201" i="6"/>
  <c r="AA182" i="6"/>
  <c r="AA125" i="6"/>
  <c r="AA85" i="6"/>
  <c r="AA79" i="6"/>
  <c r="AA63" i="6"/>
  <c r="AA237" i="6"/>
  <c r="AA206" i="6"/>
  <c r="AA192" i="6"/>
  <c r="AA119" i="6"/>
  <c r="AA186" i="6"/>
  <c r="AA147" i="6"/>
  <c r="B30" i="5"/>
  <c r="AA196" i="6"/>
  <c r="AA76" i="6"/>
  <c r="AA68" i="6"/>
  <c r="AA96" i="6"/>
  <c r="AA112" i="6"/>
  <c r="AA128" i="6"/>
  <c r="AA204" i="6"/>
  <c r="AA273" i="6"/>
  <c r="AA161" i="6"/>
  <c r="AA177" i="6"/>
  <c r="AA193" i="6"/>
  <c r="AA98" i="6"/>
  <c r="AA114" i="6"/>
  <c r="AA142" i="6"/>
  <c r="AA158" i="6"/>
  <c r="AA200" i="6"/>
  <c r="AA232" i="6"/>
  <c r="AA179" i="6"/>
  <c r="AA195" i="6"/>
  <c r="AA248" i="6"/>
  <c r="AA277" i="6"/>
  <c r="AA303" i="6"/>
  <c r="AA371" i="6"/>
  <c r="AA384" i="6"/>
  <c r="AA268" i="6"/>
  <c r="AA284" i="6"/>
  <c r="AA300" i="6"/>
  <c r="AA316" i="6"/>
  <c r="AA332" i="6"/>
  <c r="AA348" i="6"/>
  <c r="AA281" i="6"/>
  <c r="AA301" i="6"/>
  <c r="AA325" i="6"/>
  <c r="AA349" i="6"/>
  <c r="AA365" i="6"/>
  <c r="AA387" i="6"/>
  <c r="AA407" i="6"/>
  <c r="AA469" i="6"/>
  <c r="AA423" i="6"/>
  <c r="AA433" i="6"/>
  <c r="AA449" i="6"/>
  <c r="AA477" i="6"/>
  <c r="AA421" i="6"/>
  <c r="AA452" i="6"/>
  <c r="AA491" i="6"/>
  <c r="AA523" i="6"/>
  <c r="AA460" i="6"/>
  <c r="AA476" i="6"/>
  <c r="AA495" i="6"/>
  <c r="AA511" i="6"/>
  <c r="AA527" i="6"/>
  <c r="AA539" i="6"/>
  <c r="AA547" i="6"/>
  <c r="AA580" i="6"/>
  <c r="AA594" i="6"/>
  <c r="AA571" i="6"/>
  <c r="AA561" i="6"/>
  <c r="AA598" i="6"/>
  <c r="AA600" i="6"/>
  <c r="I12" i="2"/>
  <c r="AA62" i="6"/>
  <c r="AA82" i="6"/>
  <c r="AA74" i="6"/>
  <c r="AA66" i="6"/>
  <c r="AA84" i="6"/>
  <c r="AA100" i="6"/>
  <c r="AA116" i="6"/>
  <c r="AA132" i="6"/>
  <c r="AA212" i="6"/>
  <c r="AA133" i="6"/>
  <c r="AA165" i="6"/>
  <c r="AA181" i="6"/>
  <c r="AA269" i="6"/>
  <c r="AA102" i="6"/>
  <c r="AA118" i="6"/>
  <c r="AA146" i="6"/>
  <c r="AA162" i="6"/>
  <c r="AA208" i="6"/>
  <c r="AA265" i="6"/>
  <c r="AA183" i="6"/>
  <c r="AA236" i="6"/>
  <c r="AA252" i="6"/>
  <c r="AA291" i="6"/>
  <c r="AA319" i="6"/>
  <c r="AA375" i="6"/>
  <c r="AA391" i="6"/>
  <c r="AA272" i="6"/>
  <c r="AA288" i="6"/>
  <c r="AA304" i="6"/>
  <c r="AA320" i="6"/>
  <c r="AA336" i="6"/>
  <c r="AA352" i="6"/>
  <c r="AA289" i="6"/>
  <c r="AA313" i="6"/>
  <c r="AA329" i="6"/>
  <c r="AA353" i="6"/>
  <c r="AA369" i="6"/>
  <c r="AA399" i="6"/>
  <c r="AA398" i="6"/>
  <c r="AA411" i="6"/>
  <c r="AA427" i="6"/>
  <c r="AA440" i="6"/>
  <c r="AA457" i="6"/>
  <c r="AA409" i="6"/>
  <c r="AA425" i="6"/>
  <c r="AA465" i="6"/>
  <c r="AA499" i="6"/>
  <c r="AA531" i="6"/>
  <c r="AA464" i="6"/>
  <c r="AA480" i="6"/>
  <c r="AA496" i="6"/>
  <c r="AA512" i="6"/>
  <c r="AA528" i="6"/>
  <c r="AA541" i="6"/>
  <c r="AA582" i="6"/>
  <c r="AA559" i="6"/>
  <c r="AA590" i="6"/>
  <c r="AA565" i="6"/>
  <c r="AA588" i="6"/>
  <c r="J31" i="2"/>
  <c r="J32" i="2"/>
  <c r="I14" i="2"/>
  <c r="AA576" i="6"/>
  <c r="AA501" i="6"/>
  <c r="AA525" i="6"/>
  <c r="AA393" i="6"/>
  <c r="AA80" i="6"/>
  <c r="AA72" i="6"/>
  <c r="AA64" i="6"/>
  <c r="AA86" i="6"/>
  <c r="AA58" i="6"/>
  <c r="AA5" i="6"/>
  <c r="AA88" i="6"/>
  <c r="AA104" i="6"/>
  <c r="AA120" i="6"/>
  <c r="AA148" i="6"/>
  <c r="AA220" i="6"/>
  <c r="AA137" i="6"/>
  <c r="AA169" i="6"/>
  <c r="AA185" i="6"/>
  <c r="AA90" i="6"/>
  <c r="AA106" i="6"/>
  <c r="AA122" i="6"/>
  <c r="AA150" i="6"/>
  <c r="AA166" i="6"/>
  <c r="AA216" i="6"/>
  <c r="AA143" i="6"/>
  <c r="AA187" i="6"/>
  <c r="AA240" i="6"/>
  <c r="AA256" i="6"/>
  <c r="AA295" i="6"/>
  <c r="AA323" i="6"/>
  <c r="AA379" i="6"/>
  <c r="AA392" i="6"/>
  <c r="AA276" i="6"/>
  <c r="AA292" i="6"/>
  <c r="AA308" i="6"/>
  <c r="AA324" i="6"/>
  <c r="AA340" i="6"/>
  <c r="AA356" i="6"/>
  <c r="AA293" i="6"/>
  <c r="AA317" i="6"/>
  <c r="AA333" i="6"/>
  <c r="AA357" i="6"/>
  <c r="AA373" i="6"/>
  <c r="AA366" i="6"/>
  <c r="AA402" i="6"/>
  <c r="AA415" i="6"/>
  <c r="AA441" i="6"/>
  <c r="AA473" i="6"/>
  <c r="AA413" i="6"/>
  <c r="AA436" i="6"/>
  <c r="AA481" i="6"/>
  <c r="AA507" i="6"/>
  <c r="AA551" i="6"/>
  <c r="AA468" i="6"/>
  <c r="AA487" i="6"/>
  <c r="AA503" i="6"/>
  <c r="AA519" i="6"/>
  <c r="AA535" i="6"/>
  <c r="AA543" i="6"/>
  <c r="AA575" i="6"/>
  <c r="AA584" i="6"/>
  <c r="AA563" i="6"/>
  <c r="AA553" i="6"/>
  <c r="AA569" i="6"/>
  <c r="AA592" i="6"/>
  <c r="I13" i="2"/>
  <c r="AA483" i="6"/>
  <c r="E10" i="2"/>
  <c r="F10" i="2" s="1"/>
  <c r="E5" i="2"/>
  <c r="F5" i="2" s="1"/>
  <c r="AA78" i="6"/>
  <c r="AA70" i="6"/>
  <c r="E29" i="2"/>
  <c r="F29" i="2" s="1"/>
  <c r="AA92" i="6"/>
  <c r="AA108" i="6"/>
  <c r="AA124" i="6"/>
  <c r="AA152" i="6"/>
  <c r="AA228" i="6"/>
  <c r="AA157" i="6"/>
  <c r="AA173" i="6"/>
  <c r="AA189" i="6"/>
  <c r="AA94" i="6"/>
  <c r="AA110" i="6"/>
  <c r="AA126" i="6"/>
  <c r="AA154" i="6"/>
  <c r="AA170" i="6"/>
  <c r="AA224" i="6"/>
  <c r="AA175" i="6"/>
  <c r="AA191" i="6"/>
  <c r="AA244" i="6"/>
  <c r="AA260" i="6"/>
  <c r="AA299" i="6"/>
  <c r="AA327" i="6"/>
  <c r="AA383" i="6"/>
  <c r="AA264" i="6"/>
  <c r="AA280" i="6"/>
  <c r="AA296" i="6"/>
  <c r="AA312" i="6"/>
  <c r="AA328" i="6"/>
  <c r="AA344" i="6"/>
  <c r="AA403" i="6"/>
  <c r="AA297" i="6"/>
  <c r="AA321" i="6"/>
  <c r="AA345" i="6"/>
  <c r="AA361" i="6"/>
  <c r="AA377" i="6"/>
  <c r="AA395" i="6"/>
  <c r="AA430" i="6"/>
  <c r="AA419" i="6"/>
  <c r="AA432" i="6"/>
  <c r="AA448" i="6"/>
  <c r="AA461" i="6"/>
  <c r="AA417" i="6"/>
  <c r="AA444" i="6"/>
  <c r="AA555" i="6"/>
  <c r="AA515" i="6"/>
  <c r="AA456" i="6"/>
  <c r="AA472" i="6"/>
  <c r="AA488" i="6"/>
  <c r="AA504" i="6"/>
  <c r="AA520" i="6"/>
  <c r="AA537" i="6"/>
  <c r="AA545" i="6"/>
  <c r="AA578" i="6"/>
  <c r="AA586" i="6"/>
  <c r="AA567" i="6"/>
  <c r="AA557" i="6"/>
  <c r="AA573" i="6"/>
  <c r="AA596" i="6"/>
  <c r="I11" i="2"/>
  <c r="B22" i="5" l="1"/>
  <c r="B35" i="1" s="1"/>
  <c r="I10" i="2"/>
  <c r="B16" i="3"/>
  <c r="I6" i="2"/>
  <c r="J12" i="2" s="1"/>
  <c r="B15" i="3"/>
  <c r="AB448" i="6" s="1"/>
  <c r="N111" i="7" s="1"/>
  <c r="I7" i="2"/>
  <c r="J7" i="2" s="1"/>
  <c r="AB276" i="6" l="1"/>
  <c r="N327" i="7" s="1"/>
  <c r="AB592" i="6"/>
  <c r="AB344" i="6"/>
  <c r="AB563" i="6"/>
  <c r="AB417" i="6"/>
  <c r="AB452" i="6"/>
  <c r="AB457" i="6"/>
  <c r="AB441" i="6"/>
  <c r="AB297" i="6"/>
  <c r="AB268" i="6"/>
  <c r="N185" i="7" s="1"/>
  <c r="AB353" i="6"/>
  <c r="AB569" i="6"/>
  <c r="N237" i="7" s="1"/>
  <c r="AB365" i="6"/>
  <c r="N272" i="7" s="1"/>
  <c r="AB252" i="6"/>
  <c r="AB86" i="6"/>
  <c r="AB191" i="6"/>
  <c r="AB571" i="6"/>
  <c r="AB483" i="6"/>
  <c r="N274" i="7" s="1"/>
  <c r="AB332" i="6"/>
  <c r="N78" i="7" s="1"/>
  <c r="AB575" i="6"/>
  <c r="N88" i="7" s="1"/>
  <c r="AB464" i="6"/>
  <c r="AB175" i="6"/>
  <c r="AB327" i="6"/>
  <c r="AB248" i="6"/>
  <c r="AB539" i="6"/>
  <c r="AB265" i="6"/>
  <c r="AB496" i="6"/>
  <c r="AB166" i="6"/>
  <c r="AB487" i="6"/>
  <c r="AB94" i="6"/>
  <c r="AB432" i="6"/>
  <c r="N13" i="7" s="1"/>
  <c r="AB68" i="6"/>
  <c r="N191" i="7" s="1"/>
  <c r="AB325" i="6"/>
  <c r="AB181" i="6"/>
  <c r="N24" i="7" s="1"/>
  <c r="AB409" i="6"/>
  <c r="AB72" i="6"/>
  <c r="AB317" i="6"/>
  <c r="AB108" i="6"/>
  <c r="AB395" i="6"/>
  <c r="AB204" i="6"/>
  <c r="AB371" i="6"/>
  <c r="AB423" i="6"/>
  <c r="AB594" i="6"/>
  <c r="AB133" i="6"/>
  <c r="AB391" i="6"/>
  <c r="N195" i="7" s="1"/>
  <c r="AB440" i="6"/>
  <c r="AB565" i="6"/>
  <c r="N199" i="7" s="1"/>
  <c r="AB5" i="6"/>
  <c r="N277" i="7" s="1"/>
  <c r="AB187" i="6"/>
  <c r="AB357" i="6"/>
  <c r="AB535" i="6"/>
  <c r="AB403" i="6"/>
  <c r="AB76" i="6"/>
  <c r="AB301" i="6"/>
  <c r="AB398" i="6"/>
  <c r="N37" i="7" s="1"/>
  <c r="AB88" i="6"/>
  <c r="N128" i="7" s="1"/>
  <c r="AB373" i="6"/>
  <c r="AB70" i="6"/>
  <c r="AB377" i="6"/>
  <c r="AB112" i="6"/>
  <c r="N184" i="7" s="1"/>
  <c r="AB407" i="6"/>
  <c r="AB146" i="6"/>
  <c r="N50" i="7" s="1"/>
  <c r="AB531" i="6"/>
  <c r="AB324" i="6"/>
  <c r="AB157" i="6"/>
  <c r="AB595" i="6"/>
  <c r="N325" i="7" s="1"/>
  <c r="AB508" i="6"/>
  <c r="N53" i="7" s="1"/>
  <c r="AB279" i="6"/>
  <c r="AB330" i="6"/>
  <c r="AB113" i="6"/>
  <c r="N35" i="7" s="1"/>
  <c r="AB83" i="6"/>
  <c r="AB3" i="6"/>
  <c r="N187" i="7" s="1"/>
  <c r="AB451" i="6"/>
  <c r="N335" i="7" s="1"/>
  <c r="AB599" i="6"/>
  <c r="AB498" i="6"/>
  <c r="N233" i="7" s="1"/>
  <c r="AB486" i="6"/>
  <c r="AB513" i="6"/>
  <c r="AB450" i="6"/>
  <c r="AB334" i="6"/>
  <c r="AB250" i="6"/>
  <c r="N27" i="7" s="1"/>
  <c r="AB231" i="6"/>
  <c r="N241" i="7" s="1"/>
  <c r="AB218" i="6"/>
  <c r="N299" i="7" s="1"/>
  <c r="AB115" i="6"/>
  <c r="AB213" i="6"/>
  <c r="AB125" i="6"/>
  <c r="N243" i="7" s="1"/>
  <c r="AB46" i="6"/>
  <c r="AB192" i="6"/>
  <c r="N160" i="7" s="1"/>
  <c r="AB549" i="6"/>
  <c r="AB455" i="6"/>
  <c r="AB290" i="6"/>
  <c r="AB210" i="6"/>
  <c r="N20" i="7" s="1"/>
  <c r="AB97" i="6"/>
  <c r="AB54" i="6"/>
  <c r="AB87" i="6"/>
  <c r="AB466" i="6"/>
  <c r="N231" i="7" s="1"/>
  <c r="AB587" i="6"/>
  <c r="N251" i="7" s="1"/>
  <c r="AB572" i="6"/>
  <c r="N310" i="7" s="1"/>
  <c r="AB532" i="6"/>
  <c r="AB442" i="6"/>
  <c r="AB445" i="6"/>
  <c r="N135" i="7" s="1"/>
  <c r="AB382" i="6"/>
  <c r="N57" i="7" s="1"/>
  <c r="AB285" i="6"/>
  <c r="AB270" i="6"/>
  <c r="AB302" i="6"/>
  <c r="N97" i="7" s="1"/>
  <c r="AB235" i="6"/>
  <c r="AB91" i="6"/>
  <c r="AB95" i="6"/>
  <c r="AB234" i="6"/>
  <c r="AB50" i="6"/>
  <c r="N165" i="7" s="1"/>
  <c r="AB538" i="6"/>
  <c r="AB438" i="6"/>
  <c r="N246" i="7" s="1"/>
  <c r="AB363" i="6"/>
  <c r="AB249" i="6"/>
  <c r="AB174" i="6"/>
  <c r="N60" i="7" s="1"/>
  <c r="AB30" i="6"/>
  <c r="AB518" i="6"/>
  <c r="N55" i="7" s="1"/>
  <c r="AB414" i="6"/>
  <c r="N62" i="7" s="1"/>
  <c r="AB534" i="6"/>
  <c r="AB546" i="6"/>
  <c r="N44" i="7" s="1"/>
  <c r="AB463" i="6"/>
  <c r="AB497" i="6"/>
  <c r="AB446" i="6"/>
  <c r="AB311" i="6"/>
  <c r="AB360" i="6"/>
  <c r="N265" i="7" s="1"/>
  <c r="AB385" i="6"/>
  <c r="N142" i="7" s="1"/>
  <c r="AB263" i="6"/>
  <c r="N306" i="7" s="1"/>
  <c r="AB73" i="6"/>
  <c r="AB201" i="6"/>
  <c r="N170" i="7" s="1"/>
  <c r="AB85" i="6"/>
  <c r="AB22" i="6"/>
  <c r="N134" i="7" s="1"/>
  <c r="AB119" i="6"/>
  <c r="AB542" i="6"/>
  <c r="AB454" i="6"/>
  <c r="AB378" i="6"/>
  <c r="N33" i="7" s="1"/>
  <c r="AB239" i="6"/>
  <c r="AB233" i="6"/>
  <c r="AB38" i="6"/>
  <c r="AB57" i="6"/>
  <c r="AB426" i="6"/>
  <c r="AB574" i="6"/>
  <c r="AB506" i="6"/>
  <c r="AB475" i="6"/>
  <c r="AB478" i="6"/>
  <c r="AB422" i="6"/>
  <c r="N143" i="7" s="1"/>
  <c r="AB362" i="6"/>
  <c r="N224" i="7" s="1"/>
  <c r="AB275" i="6"/>
  <c r="AB243" i="6"/>
  <c r="AB388" i="6"/>
  <c r="AB257" i="6"/>
  <c r="AB77" i="6"/>
  <c r="AB111" i="6"/>
  <c r="N317" i="7" s="1"/>
  <c r="AB167" i="6"/>
  <c r="AB34" i="6"/>
  <c r="AB121" i="6"/>
  <c r="AB36" i="6"/>
  <c r="AB4" i="6"/>
  <c r="N341" i="7" s="1"/>
  <c r="AB470" i="6"/>
  <c r="AB347" i="6"/>
  <c r="N190" i="7" s="1"/>
  <c r="AB81" i="6"/>
  <c r="N282" i="7" s="1"/>
  <c r="AB404" i="6"/>
  <c r="AB266" i="6"/>
  <c r="N324" i="7" s="1"/>
  <c r="AB350" i="6"/>
  <c r="N100" i="7" s="1"/>
  <c r="AB259" i="6"/>
  <c r="AB69" i="6"/>
  <c r="AB101" i="6"/>
  <c r="AB151" i="6"/>
  <c r="N192" i="7" s="1"/>
  <c r="AB245" i="6"/>
  <c r="AB160" i="6"/>
  <c r="AB2" i="6"/>
  <c r="AB48" i="6"/>
  <c r="AB16" i="6"/>
  <c r="AB568" i="6"/>
  <c r="AB219" i="6"/>
  <c r="AB188" i="6"/>
  <c r="N68" i="7" s="1"/>
  <c r="AB135" i="6"/>
  <c r="AB27" i="6"/>
  <c r="N80" i="7" s="1"/>
  <c r="AB49" i="6"/>
  <c r="AB17" i="6"/>
  <c r="AB558" i="6"/>
  <c r="AB500" i="6"/>
  <c r="AB492" i="6"/>
  <c r="AB405" i="6"/>
  <c r="N90" i="7" s="1"/>
  <c r="AB307" i="6"/>
  <c r="AB577" i="6"/>
  <c r="AB510" i="6"/>
  <c r="AB386" i="6"/>
  <c r="AB322" i="6"/>
  <c r="AB254" i="6"/>
  <c r="N177" i="7" s="1"/>
  <c r="AB326" i="6"/>
  <c r="AB211" i="6"/>
  <c r="N331" i="7" s="1"/>
  <c r="AB155" i="6"/>
  <c r="AB99" i="6"/>
  <c r="AB43" i="6"/>
  <c r="AB45" i="6"/>
  <c r="N266" i="7" s="1"/>
  <c r="AB13" i="6"/>
  <c r="AB589" i="6"/>
  <c r="N295" i="7" s="1"/>
  <c r="AB562" i="6"/>
  <c r="N45" i="7" s="1"/>
  <c r="AB376" i="6"/>
  <c r="N11" i="7" s="1"/>
  <c r="AB23" i="6"/>
  <c r="AB221" i="6"/>
  <c r="AB226" i="6"/>
  <c r="AB184" i="6"/>
  <c r="AB209" i="6"/>
  <c r="AB583" i="6"/>
  <c r="AB261" i="6"/>
  <c r="N292" i="7" s="1"/>
  <c r="AB51" i="6"/>
  <c r="AB33" i="6"/>
  <c r="N268" i="7" s="1"/>
  <c r="AB443" i="6"/>
  <c r="AB447" i="6"/>
  <c r="AB420" i="6"/>
  <c r="AB370" i="6"/>
  <c r="AB229" i="6"/>
  <c r="AB39" i="6"/>
  <c r="AB368" i="6"/>
  <c r="AB238" i="6"/>
  <c r="N209" i="7" s="1"/>
  <c r="AB274" i="6"/>
  <c r="AB172" i="6"/>
  <c r="AB7" i="6"/>
  <c r="AB29" i="6"/>
  <c r="AB194" i="6"/>
  <c r="AB400" i="6"/>
  <c r="AB215" i="6"/>
  <c r="AB130" i="6"/>
  <c r="AB18" i="6"/>
  <c r="N66" i="7" s="1"/>
  <c r="AB89" i="6"/>
  <c r="AB24" i="6"/>
  <c r="AB579" i="6"/>
  <c r="AB458" i="6"/>
  <c r="AB156" i="6"/>
  <c r="AB35" i="6"/>
  <c r="AB566" i="6"/>
  <c r="AB524" i="6"/>
  <c r="N259" i="7" s="1"/>
  <c r="AB355" i="6"/>
  <c r="AB31" i="6"/>
  <c r="N222" i="7" s="1"/>
  <c r="AB59" i="6"/>
  <c r="AB335" i="6"/>
  <c r="N311" i="7" s="1"/>
  <c r="AB227" i="6"/>
  <c r="AB107" i="6"/>
  <c r="AB431" i="6"/>
  <c r="AB47" i="6"/>
  <c r="AB489" i="6"/>
  <c r="N161" i="7" s="1"/>
  <c r="AB381" i="6"/>
  <c r="AB341" i="6"/>
  <c r="N17" i="7" s="1"/>
  <c r="AB198" i="6"/>
  <c r="AB190" i="6"/>
  <c r="AB145" i="6"/>
  <c r="N64" i="7" s="1"/>
  <c r="AB556" i="6"/>
  <c r="AB428" i="6"/>
  <c r="N291" i="7" s="1"/>
  <c r="AB564" i="6"/>
  <c r="N39" i="7" s="1"/>
  <c r="AB533" i="6"/>
  <c r="N91" i="7" s="1"/>
  <c r="AB459" i="6"/>
  <c r="N182" i="7" s="1"/>
  <c r="AB484" i="6"/>
  <c r="N10" i="7" s="1"/>
  <c r="AB408" i="6"/>
  <c r="AB306" i="6"/>
  <c r="AB286" i="6"/>
  <c r="N124" i="7" s="1"/>
  <c r="AB337" i="6"/>
  <c r="N215" i="7" s="1"/>
  <c r="AB230" i="6"/>
  <c r="N279" i="7" s="1"/>
  <c r="AB67" i="6"/>
  <c r="AB182" i="6"/>
  <c r="N153" i="7" s="1"/>
  <c r="AB79" i="6"/>
  <c r="AB237" i="6"/>
  <c r="AB186" i="6"/>
  <c r="N131" i="7" s="1"/>
  <c r="AB505" i="6"/>
  <c r="N93" i="7" s="1"/>
  <c r="AB406" i="6"/>
  <c r="AB298" i="6"/>
  <c r="AB180" i="6"/>
  <c r="AB6" i="6"/>
  <c r="N149" i="7" s="1"/>
  <c r="AB253" i="6"/>
  <c r="AB522" i="6"/>
  <c r="AB394" i="6"/>
  <c r="AB550" i="6"/>
  <c r="AB490" i="6"/>
  <c r="N238" i="7" s="1"/>
  <c r="AB493" i="6"/>
  <c r="AB482" i="6"/>
  <c r="AB389" i="6"/>
  <c r="N132" i="7" s="1"/>
  <c r="AB354" i="6"/>
  <c r="AB258" i="6"/>
  <c r="N19" i="7" s="1"/>
  <c r="AB358" i="6"/>
  <c r="N197" i="7" s="1"/>
  <c r="AB331" i="6"/>
  <c r="AB149" i="6"/>
  <c r="AB71" i="6"/>
  <c r="N321" i="7" s="1"/>
  <c r="AB127" i="6"/>
  <c r="AB159" i="6"/>
  <c r="AB26" i="6"/>
  <c r="N284" i="7" s="1"/>
  <c r="AB105" i="6"/>
  <c r="AB28" i="6"/>
  <c r="AB530" i="6"/>
  <c r="N32" i="7" s="1"/>
  <c r="AB390" i="6"/>
  <c r="N256" i="7" s="1"/>
  <c r="AB283" i="6"/>
  <c r="N258" i="7" s="1"/>
  <c r="AB593" i="6"/>
  <c r="AB437" i="6"/>
  <c r="N46" i="7" s="1"/>
  <c r="AB242" i="6"/>
  <c r="AB282" i="6"/>
  <c r="AB241" i="6"/>
  <c r="AB103" i="6"/>
  <c r="N286" i="7" s="1"/>
  <c r="AB178" i="6"/>
  <c r="AB93" i="6"/>
  <c r="AB214" i="6"/>
  <c r="N271" i="7" s="1"/>
  <c r="AB153" i="6"/>
  <c r="N140" i="7" s="1"/>
  <c r="AB40" i="6"/>
  <c r="N87" i="7" s="1"/>
  <c r="AB8" i="6"/>
  <c r="AB467" i="6"/>
  <c r="N101" i="7" s="1"/>
  <c r="AB203" i="6"/>
  <c r="AB171" i="6"/>
  <c r="N206" i="7" s="1"/>
  <c r="AB15" i="6"/>
  <c r="N214" i="7" s="1"/>
  <c r="AB41" i="6"/>
  <c r="N176" i="7" s="1"/>
  <c r="AB9" i="6"/>
  <c r="AB479" i="6"/>
  <c r="AB471" i="6"/>
  <c r="N82" i="7" s="1"/>
  <c r="AB410" i="6"/>
  <c r="AB416" i="6"/>
  <c r="AB315" i="6"/>
  <c r="AB55" i="6"/>
  <c r="AB601" i="6"/>
  <c r="AB494" i="6"/>
  <c r="AB424" i="6"/>
  <c r="AB310" i="6"/>
  <c r="AB246" i="6"/>
  <c r="AB271" i="6"/>
  <c r="AB372" i="6"/>
  <c r="N223" i="7" s="1"/>
  <c r="AB197" i="6"/>
  <c r="AB136" i="6"/>
  <c r="N235" i="7" s="1"/>
  <c r="AB19" i="6"/>
  <c r="AB37" i="6"/>
  <c r="N47" i="7" s="1"/>
  <c r="AB10" i="6"/>
  <c r="N229" i="7" s="1"/>
  <c r="AB591" i="6"/>
  <c r="AB554" i="6"/>
  <c r="N344" i="7" s="1"/>
  <c r="AB294" i="6"/>
  <c r="AB359" i="6"/>
  <c r="AB176" i="6"/>
  <c r="AB42" i="6"/>
  <c r="AB56" i="6"/>
  <c r="N104" i="7" s="1"/>
  <c r="AB32" i="6"/>
  <c r="AB418" i="6"/>
  <c r="AB164" i="6"/>
  <c r="AB585" i="6"/>
  <c r="AB560" i="6"/>
  <c r="N269" i="7" s="1"/>
  <c r="AB548" i="6"/>
  <c r="N56" i="7" s="1"/>
  <c r="AB401" i="6"/>
  <c r="AB305" i="6"/>
  <c r="AB223" i="6"/>
  <c r="AB123" i="6"/>
  <c r="AB502" i="6"/>
  <c r="AB129" i="6"/>
  <c r="AB44" i="6"/>
  <c r="AB12" i="6"/>
  <c r="AB509" i="6"/>
  <c r="N58" i="7" s="1"/>
  <c r="AB267" i="6"/>
  <c r="N148" i="7" s="1"/>
  <c r="AB222" i="6"/>
  <c r="AB278" i="6"/>
  <c r="AB343" i="6"/>
  <c r="AB205" i="6"/>
  <c r="N288" i="7" s="1"/>
  <c r="AB202" i="6"/>
  <c r="AB168" i="6"/>
  <c r="AB25" i="6"/>
  <c r="AB516" i="6"/>
  <c r="AB434" i="6"/>
  <c r="AB11" i="6"/>
  <c r="AB581" i="6"/>
  <c r="AB526" i="6"/>
  <c r="N201" i="7" s="1"/>
  <c r="AB396" i="6"/>
  <c r="AB338" i="6"/>
  <c r="N326" i="7" s="1"/>
  <c r="AB262" i="6"/>
  <c r="AB207" i="6"/>
  <c r="AB163" i="6"/>
  <c r="AB61" i="6"/>
  <c r="AB53" i="6"/>
  <c r="N257" i="7" s="1"/>
  <c r="AB21" i="6"/>
  <c r="AB597" i="6"/>
  <c r="AB570" i="6"/>
  <c r="AB435" i="6"/>
  <c r="N81" i="7" s="1"/>
  <c r="AB351" i="6"/>
  <c r="N255" i="7" s="1"/>
  <c r="AB380" i="6"/>
  <c r="AB75" i="6"/>
  <c r="N351" i="7" s="1"/>
  <c r="AB144" i="6"/>
  <c r="AB134" i="6"/>
  <c r="AB540" i="6"/>
  <c r="N89" i="7" s="1"/>
  <c r="AB453" i="6"/>
  <c r="AB514" i="6"/>
  <c r="AB517" i="6"/>
  <c r="N157" i="7" s="1"/>
  <c r="AB529" i="6"/>
  <c r="AB397" i="6"/>
  <c r="AB364" i="6"/>
  <c r="AB287" i="6"/>
  <c r="N129" i="7" s="1"/>
  <c r="AB247" i="6"/>
  <c r="N117" i="7" s="1"/>
  <c r="AB309" i="6"/>
  <c r="AB141" i="6"/>
  <c r="AB225" i="6"/>
  <c r="AB138" i="6"/>
  <c r="AB63" i="6"/>
  <c r="AB206" i="6"/>
  <c r="AB147" i="6"/>
  <c r="AB485" i="6"/>
  <c r="N110" i="7" s="1"/>
  <c r="AB367" i="6"/>
  <c r="AB199" i="6"/>
  <c r="N348" i="7" s="1"/>
  <c r="AB65" i="6"/>
  <c r="AB117" i="6"/>
  <c r="AB139" i="6"/>
  <c r="N217" i="7" s="1"/>
  <c r="AB536" i="6"/>
  <c r="AB412" i="6"/>
  <c r="AB552" i="6"/>
  <c r="AB474" i="6"/>
  <c r="AB439" i="6"/>
  <c r="N178" i="7" s="1"/>
  <c r="AB462" i="6"/>
  <c r="AB429" i="6"/>
  <c r="AB339" i="6"/>
  <c r="N337" i="7" s="1"/>
  <c r="AB374" i="6"/>
  <c r="AB342" i="6"/>
  <c r="N228" i="7" s="1"/>
  <c r="AB251" i="6"/>
  <c r="AB140" i="6"/>
  <c r="AB60" i="6"/>
  <c r="AB109" i="6"/>
  <c r="N285" i="7" s="1"/>
  <c r="AB131" i="6"/>
  <c r="N244" i="7" s="1"/>
  <c r="AB14" i="6"/>
  <c r="N213" i="7" s="1"/>
  <c r="AB217" i="6"/>
  <c r="AB52" i="6"/>
  <c r="N207" i="7" s="1"/>
  <c r="AB20" i="6"/>
  <c r="AB521" i="6"/>
  <c r="AB318" i="6"/>
  <c r="AB255" i="6"/>
  <c r="AB544" i="6"/>
  <c r="AB346" i="6"/>
  <c r="N9" i="7" s="1"/>
  <c r="AB314" i="6"/>
  <c r="AB100" i="6"/>
  <c r="AB541" i="6"/>
  <c r="AB356" i="6"/>
  <c r="AB384" i="6"/>
  <c r="N41" i="7" s="1"/>
  <c r="AB80" i="6"/>
  <c r="N196" i="7" s="1"/>
  <c r="AB383" i="6"/>
  <c r="AB132" i="6"/>
  <c r="N113" i="7" s="1"/>
  <c r="AB256" i="6"/>
  <c r="AB504" i="6"/>
  <c r="AB520" i="6"/>
  <c r="AB469" i="6"/>
  <c r="N166" i="7" s="1"/>
  <c r="AB84" i="6"/>
  <c r="AB369" i="6"/>
  <c r="N216" i="7" s="1"/>
  <c r="AB64" i="6"/>
  <c r="AB333" i="6"/>
  <c r="AB124" i="6"/>
  <c r="N332" i="7" s="1"/>
  <c r="AB430" i="6"/>
  <c r="N193" i="7" s="1"/>
  <c r="AB296" i="6"/>
  <c r="N309" i="7" s="1"/>
  <c r="AB316" i="6"/>
  <c r="AB588" i="6"/>
  <c r="N280" i="7" s="1"/>
  <c r="AB543" i="6"/>
  <c r="AB537" i="6"/>
  <c r="N283" i="7" s="1"/>
  <c r="AB449" i="6"/>
  <c r="AB183" i="6"/>
  <c r="AB512" i="6"/>
  <c r="N5" i="7" s="1"/>
  <c r="AB473" i="6"/>
  <c r="AB110" i="6"/>
  <c r="AB555" i="6"/>
  <c r="N312" i="7" s="1"/>
  <c r="AB193" i="6"/>
  <c r="AB300" i="6"/>
  <c r="N346" i="7" s="1"/>
  <c r="AB421" i="6"/>
  <c r="N121" i="7" s="1"/>
  <c r="AB600" i="6"/>
  <c r="N340" i="7" s="1"/>
  <c r="AB102" i="6"/>
  <c r="AB320" i="6"/>
  <c r="N18" i="7" s="1"/>
  <c r="AB465" i="6"/>
  <c r="N106" i="7" s="1"/>
  <c r="J14" i="2"/>
  <c r="AB148" i="6"/>
  <c r="AB323" i="6"/>
  <c r="AB415" i="6"/>
  <c r="J6" i="2"/>
  <c r="J9" i="2"/>
  <c r="J8" i="2"/>
  <c r="AB419" i="6"/>
  <c r="N181" i="7" s="1"/>
  <c r="AB273" i="6"/>
  <c r="AB433" i="6"/>
  <c r="N329" i="7" s="1"/>
  <c r="AB165" i="6"/>
  <c r="N74" i="7" s="1"/>
  <c r="AB499" i="6"/>
  <c r="N303" i="7" s="1"/>
  <c r="AB90" i="6"/>
  <c r="N330" i="7" s="1"/>
  <c r="AB481" i="6"/>
  <c r="N136" i="7" s="1"/>
  <c r="AB228" i="6"/>
  <c r="N210" i="7" s="1"/>
  <c r="AB444" i="6"/>
  <c r="AB114" i="6"/>
  <c r="AB491" i="6"/>
  <c r="AB319" i="6"/>
  <c r="AB104" i="6"/>
  <c r="N227" i="7" s="1"/>
  <c r="AB366" i="6"/>
  <c r="AB224" i="6"/>
  <c r="AB488" i="6"/>
  <c r="AB142" i="6"/>
  <c r="AB348" i="6"/>
  <c r="N14" i="7" s="1"/>
  <c r="AB523" i="6"/>
  <c r="AB62" i="6"/>
  <c r="N173" i="7" s="1"/>
  <c r="AB269" i="6"/>
  <c r="AB304" i="6"/>
  <c r="AB425" i="6"/>
  <c r="AB501" i="6"/>
  <c r="N108" i="7" s="1"/>
  <c r="AB169" i="6"/>
  <c r="AB413" i="6"/>
  <c r="N145" i="7" s="1"/>
  <c r="AB126" i="6"/>
  <c r="AB515" i="6"/>
  <c r="AB154" i="6"/>
  <c r="AB98" i="6"/>
  <c r="AB118" i="6"/>
  <c r="AB220" i="6"/>
  <c r="AB92" i="6"/>
  <c r="AB196" i="6"/>
  <c r="AB561" i="6"/>
  <c r="AB576" i="6"/>
  <c r="AB392" i="6"/>
  <c r="AB328" i="6"/>
  <c r="AB195" i="6"/>
  <c r="AB527" i="6"/>
  <c r="AB399" i="6"/>
  <c r="N338" i="7" s="1"/>
  <c r="AB150" i="6"/>
  <c r="N254" i="7" s="1"/>
  <c r="AB468" i="6"/>
  <c r="AB586" i="6"/>
  <c r="AB272" i="6"/>
  <c r="AB308" i="6"/>
  <c r="AB567" i="6"/>
  <c r="AB411" i="6"/>
  <c r="AB321" i="6"/>
  <c r="AB179" i="6"/>
  <c r="AB349" i="6"/>
  <c r="AB511" i="6"/>
  <c r="AB82" i="6"/>
  <c r="N202" i="7" s="1"/>
  <c r="AB162" i="6"/>
  <c r="AB289" i="6"/>
  <c r="AB393" i="6"/>
  <c r="AB122" i="6"/>
  <c r="AB340" i="6"/>
  <c r="AB551" i="6"/>
  <c r="AB345" i="6"/>
  <c r="AB78" i="6"/>
  <c r="AB128" i="6"/>
  <c r="AB303" i="6"/>
  <c r="AB580" i="6"/>
  <c r="AB236" i="6"/>
  <c r="AB528" i="6"/>
  <c r="AB143" i="6"/>
  <c r="AB519" i="6"/>
  <c r="N118" i="7" s="1"/>
  <c r="AB299" i="6"/>
  <c r="N103" i="7" s="1"/>
  <c r="AB578" i="6"/>
  <c r="N150" i="7" s="1"/>
  <c r="AB152" i="6"/>
  <c r="N28" i="7" s="1"/>
  <c r="AB596" i="6"/>
  <c r="N70" i="7" s="1"/>
  <c r="AB66" i="6"/>
  <c r="N114" i="7" s="1"/>
  <c r="AB336" i="6"/>
  <c r="N267" i="7" s="1"/>
  <c r="AB379" i="6"/>
  <c r="AB244" i="6"/>
  <c r="AB161" i="6"/>
  <c r="AB137" i="6"/>
  <c r="AB177" i="6"/>
  <c r="AB284" i="6"/>
  <c r="AB477" i="6"/>
  <c r="N249" i="7" s="1"/>
  <c r="AB598" i="6"/>
  <c r="AB212" i="6"/>
  <c r="AB375" i="6"/>
  <c r="AB427" i="6"/>
  <c r="N275" i="7" s="1"/>
  <c r="AB590" i="6"/>
  <c r="N350" i="7" s="1"/>
  <c r="AB120" i="6"/>
  <c r="AB295" i="6"/>
  <c r="AB402" i="6"/>
  <c r="AB584" i="6"/>
  <c r="AB173" i="6"/>
  <c r="AB280" i="6"/>
  <c r="AB461" i="6"/>
  <c r="N52" i="7" s="1"/>
  <c r="AB573" i="6"/>
  <c r="AB189" i="6"/>
  <c r="N294" i="7" s="1"/>
  <c r="AB361" i="6"/>
  <c r="N105" i="7" s="1"/>
  <c r="AB96" i="6"/>
  <c r="AB387" i="6"/>
  <c r="AB116" i="6"/>
  <c r="AB329" i="6"/>
  <c r="N123" i="7" s="1"/>
  <c r="AB58" i="6"/>
  <c r="N347" i="7" s="1"/>
  <c r="AB293" i="6"/>
  <c r="N69" i="7" s="1"/>
  <c r="J13" i="2"/>
  <c r="AB312" i="6"/>
  <c r="N305" i="7" s="1"/>
  <c r="J11" i="2"/>
  <c r="AB232" i="6"/>
  <c r="AB495" i="6"/>
  <c r="N336" i="7" s="1"/>
  <c r="AB288" i="6"/>
  <c r="AB559" i="6"/>
  <c r="AB216" i="6"/>
  <c r="AB503" i="6"/>
  <c r="AB260" i="6"/>
  <c r="AB545" i="6"/>
  <c r="AB158" i="6"/>
  <c r="AB281" i="6"/>
  <c r="AB460" i="6"/>
  <c r="AB74" i="6"/>
  <c r="N98" i="7" s="1"/>
  <c r="AB208" i="6"/>
  <c r="AB313" i="6"/>
  <c r="AB480" i="6"/>
  <c r="N67" i="7" s="1"/>
  <c r="AB525" i="6"/>
  <c r="AB185" i="6"/>
  <c r="N189" i="7" s="1"/>
  <c r="AB292" i="6"/>
  <c r="AB436" i="6"/>
  <c r="J10" i="2"/>
  <c r="AB456" i="6"/>
  <c r="N155" i="7" s="1"/>
  <c r="AB200" i="6"/>
  <c r="AB476" i="6"/>
  <c r="AB291" i="6"/>
  <c r="AB582" i="6"/>
  <c r="AB240" i="6"/>
  <c r="AB553" i="6"/>
  <c r="N172" i="7" s="1"/>
  <c r="AB170" i="6"/>
  <c r="N298" i="7" s="1"/>
  <c r="AB472" i="6"/>
  <c r="N127" i="7" s="1"/>
  <c r="AB277" i="6"/>
  <c r="AB547" i="6"/>
  <c r="AB352" i="6"/>
  <c r="AB106" i="6"/>
  <c r="N203" i="7" s="1"/>
  <c r="AB507" i="6"/>
  <c r="N94" i="7" s="1"/>
  <c r="AB264" i="6"/>
  <c r="AB557" i="6"/>
  <c r="N169" i="7" s="1"/>
  <c r="N133" i="7" l="1"/>
  <c r="N72" i="7"/>
  <c r="N188" i="7"/>
  <c r="N48" i="7"/>
  <c r="N253" i="7"/>
  <c r="N200" i="7"/>
  <c r="N343" i="7"/>
  <c r="N248" i="7"/>
  <c r="N297" i="7"/>
  <c r="N260" i="7"/>
  <c r="N3" i="7"/>
  <c r="N226" i="7"/>
  <c r="N12" i="7"/>
  <c r="N313" i="7"/>
  <c r="N2" i="7"/>
  <c r="N208" i="7"/>
  <c r="N130" i="7"/>
  <c r="N99" i="7"/>
  <c r="N25" i="7"/>
  <c r="N261" i="7"/>
  <c r="N92" i="7"/>
  <c r="N252" i="7"/>
  <c r="N147" i="7"/>
  <c r="N95" i="7"/>
  <c r="N63" i="7"/>
  <c r="N301" i="7"/>
  <c r="N144" i="7"/>
  <c r="N319" i="7"/>
  <c r="N307" i="7"/>
  <c r="N264" i="7"/>
  <c r="N171" i="7"/>
  <c r="N71" i="7"/>
  <c r="N342" i="7"/>
  <c r="N194" i="7"/>
  <c r="N339" i="7"/>
  <c r="N262" i="7"/>
  <c r="N345" i="7"/>
  <c r="N125" i="7"/>
  <c r="N205" i="7"/>
  <c r="N180" i="7"/>
  <c r="N21" i="7"/>
  <c r="N4" i="7"/>
  <c r="N328" i="7"/>
  <c r="N122" i="7"/>
  <c r="N281" i="7"/>
  <c r="N273" i="7"/>
  <c r="N139" i="7"/>
  <c r="N30" i="7"/>
  <c r="N162" i="7"/>
  <c r="N79" i="7"/>
  <c r="N219" i="7"/>
  <c r="N49" i="7"/>
  <c r="N164" i="7"/>
  <c r="N116" i="7"/>
  <c r="N16" i="7"/>
  <c r="N198" i="7"/>
  <c r="N54" i="7"/>
  <c r="N154" i="7"/>
  <c r="N112" i="7"/>
  <c r="N239" i="7"/>
  <c r="N7" i="7"/>
  <c r="N300" i="7"/>
  <c r="N242" i="7"/>
  <c r="N318" i="7"/>
  <c r="N270" i="7"/>
  <c r="N152" i="7"/>
  <c r="N138" i="7"/>
  <c r="N320" i="7"/>
  <c r="N289" i="7"/>
  <c r="N323" i="7"/>
  <c r="N234" i="7"/>
  <c r="N107" i="7"/>
  <c r="N85" i="7"/>
  <c r="N26" i="7"/>
  <c r="N293" i="7"/>
  <c r="N175" i="7"/>
  <c r="N263" i="7"/>
  <c r="N141" i="7"/>
  <c r="N59" i="7"/>
  <c r="N40" i="7"/>
  <c r="N174" i="7"/>
  <c r="N158" i="7"/>
  <c r="N61" i="7"/>
  <c r="N278" i="7"/>
  <c r="N23" i="7"/>
  <c r="A19" i="1"/>
  <c r="A22" i="1"/>
  <c r="A21" i="1"/>
  <c r="A20" i="1"/>
  <c r="A18" i="1"/>
  <c r="N334" i="7"/>
  <c r="N211" i="7"/>
  <c r="N250" i="7"/>
  <c r="N75" i="7"/>
  <c r="N302" i="7"/>
  <c r="N220" i="7"/>
  <c r="N115" i="7"/>
  <c r="N6" i="7"/>
  <c r="N146" i="7"/>
  <c r="N120" i="7"/>
  <c r="N304" i="7"/>
  <c r="N232" i="7"/>
  <c r="N151" i="7"/>
  <c r="N34" i="7"/>
  <c r="N29" i="7"/>
  <c r="N315" i="7"/>
  <c r="N247" i="7"/>
  <c r="N245" i="7"/>
  <c r="N38" i="7"/>
  <c r="N22" i="7"/>
  <c r="N212" i="7"/>
  <c r="N96" i="7"/>
  <c r="N308" i="7"/>
  <c r="N168" i="7"/>
  <c r="N109" i="7"/>
  <c r="N126" i="7"/>
  <c r="N77" i="7"/>
  <c r="N236" i="7"/>
  <c r="N73" i="7"/>
  <c r="N156" i="7"/>
  <c r="N86" i="7"/>
  <c r="N8" i="7"/>
  <c r="N119" i="7"/>
  <c r="N83" i="7"/>
  <c r="N186" i="7"/>
  <c r="N183" i="7"/>
  <c r="N163" i="7"/>
  <c r="N76" i="7"/>
  <c r="N225" i="7"/>
  <c r="N65" i="7"/>
  <c r="N296" i="7"/>
  <c r="N36" i="7"/>
  <c r="N204" i="7"/>
  <c r="N15" i="7"/>
  <c r="N314" i="7"/>
  <c r="N159" i="7"/>
  <c r="N240" i="7"/>
  <c r="N51" i="7"/>
  <c r="N290" i="7"/>
  <c r="N218" i="7"/>
  <c r="N349" i="7"/>
  <c r="N333" i="7"/>
  <c r="C21" i="3"/>
  <c r="D21" i="3" s="1"/>
  <c r="B20" i="3"/>
  <c r="B22" i="3" s="1"/>
  <c r="C6" i="3"/>
  <c r="B12" i="1" s="1"/>
  <c r="B21" i="3"/>
  <c r="C19" i="3"/>
  <c r="B7" i="1"/>
  <c r="C20" i="3"/>
  <c r="B19" i="3"/>
  <c r="N316" i="7"/>
  <c r="N137" i="7"/>
  <c r="N221" i="7"/>
  <c r="N43" i="7"/>
  <c r="N179" i="7"/>
  <c r="N31" i="7"/>
  <c r="N230" i="7"/>
  <c r="N102" i="7"/>
  <c r="N276" i="7"/>
  <c r="N42" i="7"/>
  <c r="N322" i="7"/>
  <c r="N84" i="7"/>
  <c r="N287" i="7"/>
  <c r="N167" i="7"/>
  <c r="H22" i="3" l="1"/>
  <c r="F20" i="3"/>
  <c r="E19" i="3"/>
  <c r="F21" i="3"/>
  <c r="E20" i="3"/>
  <c r="H19" i="3"/>
  <c r="C10" i="3" s="1"/>
  <c r="B14" i="1" s="1"/>
  <c r="E21" i="3"/>
  <c r="H20" i="3"/>
  <c r="H21" i="3"/>
  <c r="F19" i="3"/>
  <c r="D19" i="3"/>
  <c r="B9" i="4" s="1"/>
  <c r="C5" i="3"/>
  <c r="B11" i="1" s="1"/>
  <c r="C22" i="3"/>
  <c r="D22" i="3" s="1"/>
  <c r="D20" i="3"/>
  <c r="F22" i="3" l="1"/>
  <c r="D9" i="4"/>
  <c r="D19" i="4" s="1"/>
  <c r="D20" i="4" s="1"/>
  <c r="D21" i="4" s="1"/>
  <c r="D23" i="4" s="1"/>
  <c r="D24" i="4" s="1"/>
  <c r="C9" i="4"/>
  <c r="C19" i="4" s="1"/>
  <c r="C20" i="4" s="1"/>
  <c r="C21" i="4" s="1"/>
  <c r="C23" i="4" s="1"/>
  <c r="B19" i="4"/>
  <c r="B20" i="4" s="1"/>
  <c r="B21" i="4" s="1"/>
  <c r="B23" i="4" s="1"/>
  <c r="G21" i="3"/>
  <c r="G19" i="3"/>
  <c r="C7" i="3" s="1"/>
  <c r="B13" i="1" s="1"/>
  <c r="E22" i="3"/>
  <c r="G22" i="3" s="1"/>
  <c r="G20" i="3"/>
  <c r="B24" i="4" l="1"/>
  <c r="B27" i="1"/>
  <c r="B26" i="1"/>
  <c r="C24" i="4"/>
  <c r="B28" i="1" s="1"/>
  <c r="B48" i="5"/>
</calcChain>
</file>

<file path=xl/sharedStrings.xml><?xml version="1.0" encoding="utf-8"?>
<sst xmlns="http://schemas.openxmlformats.org/spreadsheetml/2006/main" count="7695" uniqueCount="1351">
  <si>
    <t>Desafio 2 — Propensão à conversão: respostas</t>
  </si>
  <si>
    <t>Abordagem descritiva (o case aceita): a propensão de cada contador é a taxa histórica de conversão de quem tem o mesmo perfil — média das taxas das categorias dele nos 5 drivers do top 5. Sem modelo e sem pesos; a lista completa está na aba Base (coluna AA).</t>
  </si>
  <si>
    <t>1. Lógica — quais variáveis e por quê</t>
  </si>
  <si>
    <t>• Testadas 9 características. Entram as 5 que mais separam quem converte de quem não converte (amplitude = maior taxa − menor taxa, categorias com 30+ contadores). Região, segmento, site e LinkedIn quase não separam.</t>
  </si>
  <si>
    <t>• Fora: score_potencial_latente (regra do case) e status_omie (não tem sinal e diverge dos contratos).</t>
  </si>
  <si>
    <t>Endereçáveis (303) na faixa Alta de propensão</t>
  </si>
  <si>
    <t>• O topo da propensão já foi quase todo convertido: entre os 303 endereçáveis, poucos estão na faixa Alta.</t>
  </si>
  <si>
    <t>2. Como avaliar se está funcionando — em duas etapas</t>
  </si>
  <si>
    <t>Etapa 1 (base): conversão por faixa — Alta · Média · Baixa (meta: Alta &gt; Média &gt; Baixa)</t>
  </si>
  <si>
    <t>Etapa 1 (base): % dos convertidos captados pelo top 30% (meta: acima de 30%)</t>
  </si>
  <si>
    <t>Etapa 1 (base): win rate real — faixa Alta × demais (meta: Alta acima)</t>
  </si>
  <si>
    <t>Etapa 1 (base): ciclo médio do Ganho — faixa Alta × demais (meta: Alta ≤ demais)</t>
  </si>
  <si>
    <t>• Etapa 2 (piloto de 90 dias com grupo de controle): win rate, nMRR por EC e ciclo do grupo piloto melhores que os do controle. Se superar, a priorização vira processo; senão, o perfil é revisto.</t>
  </si>
  <si>
    <t>3. Top 5 características (amplitude da taxa de conversão)</t>
  </si>
  <si>
    <t>• Porte, funcionários e carteira medem o mesmo conceito (tamanho). Com o ERP, descrevem o perfil do topo (ICP: 50+ clientes, 6+ funcionários e ERP de mercado).</t>
  </si>
  <si>
    <t>4. Extra — impacto em nMRR ao priorizar quem tem maior propensão</t>
  </si>
  <si>
    <t>Uplift no nMRR do canal — cenário base</t>
  </si>
  <si>
    <t>Faixa (conservador a otimista)</t>
  </si>
  <si>
    <t>nMRR incremental/mês nas franquias abaixo da meta (escala oficial, cenário base)</t>
  </si>
  <si>
    <t>• Premissas: 50% da capacidade dos ECs vai para o top 30% do score; 40% do lift do topo vira Ganho real (fator de realização, hipótese); ticket = mrr_inicial médio; desconto de churn de 20,5%.</t>
  </si>
  <si>
    <t>• Teste de estresse: com fator de realização 0, o uplift é 0. O número só se confirma com o piloto.</t>
  </si>
  <si>
    <t>5. Previsibilidade de receita: o que o pipeline atual deve gerar no próximo trimestre</t>
  </si>
  <si>
    <t>Método 1: pipeline aberto ponderado pela chance de fechar de cada estágio (Ganhos)</t>
  </si>
  <si>
    <t>Método 2: run-rate histórico do CRM (Ganhos por trimestre)</t>
  </si>
  <si>
    <t>nMRR esperado do pipeline no trimestre (R$, escala do CRM)</t>
  </si>
  <si>
    <t>Ganhos do CRM ÷ nMRR oficial do canal</t>
  </si>
  <si>
    <t>• Os dois métodos convergem: o pipeline do CRM é previsível. Mas ele explica uma fração mínima do nMRR oficial: sem fonte única de nMRR, não dá para prever a receita oficial do canal.</t>
  </si>
  <si>
    <t>Drivers de conversão — taxa de conversão por característica (600 contadores)</t>
  </si>
  <si>
    <t>Amplitude = maior taxa − menor taxa entre as categorias com 30+ contadores. Quanto maior, mais a característica separa quem converte de quem não converte.</t>
  </si>
  <si>
    <t>Taxa média geral</t>
  </si>
  <si>
    <t>Variável</t>
  </si>
  <si>
    <t>Categoria</t>
  </si>
  <si>
    <t>Contadores</t>
  </si>
  <si>
    <t>Convertidos</t>
  </si>
  <si>
    <t>Taxa</t>
  </si>
  <si>
    <t>Lift vs média</t>
  </si>
  <si>
    <t>Ranking das variáveis</t>
  </si>
  <si>
    <t>Nº de clientes da carteira</t>
  </si>
  <si>
    <t>1. &lt; 20</t>
  </si>
  <si>
    <t>Amplitude (p.p.)</t>
  </si>
  <si>
    <t>Ranking</t>
  </si>
  <si>
    <t>2. 20 a 49</t>
  </si>
  <si>
    <t>3. 50 a 149</t>
  </si>
  <si>
    <t>Nº de funcionários</t>
  </si>
  <si>
    <t>4. 150+</t>
  </si>
  <si>
    <t>Porte</t>
  </si>
  <si>
    <t>ERP atual</t>
  </si>
  <si>
    <t>1. 1 a 2</t>
  </si>
  <si>
    <t>Anos de mercado</t>
  </si>
  <si>
    <t>2. 3 a 5</t>
  </si>
  <si>
    <t>Região</t>
  </si>
  <si>
    <t>3. 6 a 15</t>
  </si>
  <si>
    <t>Segmento</t>
  </si>
  <si>
    <t>4. 16+</t>
  </si>
  <si>
    <t>Tem site</t>
  </si>
  <si>
    <t>LinkedIn</t>
  </si>
  <si>
    <t>Autônomo</t>
  </si>
  <si>
    <t>Grande Escritório</t>
  </si>
  <si>
    <t>Médio Escritório</t>
  </si>
  <si>
    <t>Pequeno Escritório</t>
  </si>
  <si>
    <t>Alterdata</t>
  </si>
  <si>
    <t>ContaAzul</t>
  </si>
  <si>
    <t>Domínio</t>
  </si>
  <si>
    <t>Nenhum</t>
  </si>
  <si>
    <t>Planilha</t>
  </si>
  <si>
    <t>Questor</t>
  </si>
  <si>
    <t>SAP</t>
  </si>
  <si>
    <t>ICP do canal — perfil ideal de contador (drivers → regra de ação)</t>
  </si>
  <si>
    <t>Totvs</t>
  </si>
  <si>
    <t>Regra: carteira com 50+ clientes  E  6+ funcionários  E  ERP de mercado (não Nenhum/Planilha/ContaAzul).</t>
  </si>
  <si>
    <t>Grupo</t>
  </si>
  <si>
    <t>% converteu_omie</t>
  </si>
  <si>
    <t>Cliente Ativo (status_omie)</t>
  </si>
  <si>
    <t>Endereçáveis (regra 1a)</t>
  </si>
  <si>
    <t>Carteira endereçável</t>
  </si>
  <si>
    <t>1. &lt; 8 anos</t>
  </si>
  <si>
    <t>ICP</t>
  </si>
  <si>
    <t>2. 8 a 15 anos</t>
  </si>
  <si>
    <t>Fora do ICP</t>
  </si>
  <si>
    <t>3. 16+ anos</t>
  </si>
  <si>
    <t>Lift do ICP vs média (taxa do ICP ÷ média)</t>
  </si>
  <si>
    <t>Lift do ICP vs fora do ICP</t>
  </si>
  <si>
    <t>Fora do top 5 (efeito pequeno)</t>
  </si>
  <si>
    <t>% da carteira endereçável no ICP</t>
  </si>
  <si>
    <t>Centro-Oeste</t>
  </si>
  <si>
    <t>Atenção: no pipeline real o win rate do ICP NÃO é maior (aba Como_Avaliar). O ICP é uma hipótese a validar com piloto + grupo de controle.</t>
  </si>
  <si>
    <t>Nordeste</t>
  </si>
  <si>
    <t>Norte</t>
  </si>
  <si>
    <t>Sudeste</t>
  </si>
  <si>
    <t>Sul</t>
  </si>
  <si>
    <t>Agronegócio</t>
  </si>
  <si>
    <t>Construção Civil</t>
  </si>
  <si>
    <t>Indústria</t>
  </si>
  <si>
    <t>Saúde</t>
  </si>
  <si>
    <t>Serviços</t>
  </si>
  <si>
    <t>Tecnologia</t>
  </si>
  <si>
    <t>Varejo/Comércio</t>
  </si>
  <si>
    <t>Não</t>
  </si>
  <si>
    <t>Sim</t>
  </si>
  <si>
    <t>Como avaliar se a abordagem está funcionando</t>
  </si>
  <si>
    <t>Em duas etapas: (1) validação na base — o score ordena quem converte e o topo fecha mais no pipeline real?; (2) piloto de 90 dias com grupo de controle — priorizar o topo gera mais Ganhos e mais nMRR por EC?</t>
  </si>
  <si>
    <t>Métrica</t>
  </si>
  <si>
    <t>O que mede</t>
  </si>
  <si>
    <t>Hoje</t>
  </si>
  <si>
    <t>Meta</t>
  </si>
  <si>
    <t>Etapa</t>
  </si>
  <si>
    <t>Conversão por faixa de propensão (Alta · Média · Baixa)</t>
  </si>
  <si>
    <t>Se o score ordena quem converte (target)</t>
  </si>
  <si>
    <t>Alta &gt; Média &gt; Baixa</t>
  </si>
  <si>
    <t>1. Base</t>
  </si>
  <si>
    <t>Captura: % dos convertidos no top 30%</t>
  </si>
  <si>
    <t>Quanto da conversão está no topo</t>
  </si>
  <si>
    <t>Maior que os 30% da base que o topo representa</t>
  </si>
  <si>
    <t>Win rate real: faixa Alta × demais</t>
  </si>
  <si>
    <t>Se o topo fecha mais de verdade (Ganho ÷ Ganho + Perdido)</t>
  </si>
  <si>
    <t>Alta acima das demais</t>
  </si>
  <si>
    <t>1. Base e 2. Piloto</t>
  </si>
  <si>
    <t>Win rate: piloto × controle</t>
  </si>
  <si>
    <t>Se priorizar o topo gera mais Ganhos</t>
  </si>
  <si>
    <t>a medir no piloto</t>
  </si>
  <si>
    <t>Piloto acima do controle</t>
  </si>
  <si>
    <t>2. Piloto</t>
  </si>
  <si>
    <t>nMRR por EC: piloto × controle</t>
  </si>
  <si>
    <t>Se o ganho de conversão vira receita</t>
  </si>
  <si>
    <t>Ciclo médio do Ganho (dias): faixa Alta × demais</t>
  </si>
  <si>
    <t>Se priorizar não alonga a venda</t>
  </si>
  <si>
    <t>Alta ≤ demais</t>
  </si>
  <si>
    <t>Regra de decisão: se o piloto superar o controle, a priorização pelo score vira processo; senão, o perfil é revisto.</t>
  </si>
  <si>
    <t>Cortes do score (faixas de propensão dos 600 contadores)</t>
  </si>
  <si>
    <t>Faixa Alta: score a partir do percentil 70 (top 30%)</t>
  </si>
  <si>
    <t>Faixa Média: a partir do percentil 30</t>
  </si>
  <si>
    <t>Faixa de propensão</t>
  </si>
  <si>
    <t>% converteu_omie (target)</t>
  </si>
  <si>
    <t>Leads com desfecho (Ganho+Perdido)</t>
  </si>
  <si>
    <t>Leads Ganhos</t>
  </si>
  <si>
    <t>Win rate real</t>
  </si>
  <si>
    <t>Ciclo médio do Ganho (dias)</t>
  </si>
  <si>
    <t>Alta</t>
  </si>
  <si>
    <t>Média</t>
  </si>
  <si>
    <t>Baixa</t>
  </si>
  <si>
    <t>Demais (Média + Baixa)</t>
  </si>
  <si>
    <t>O target reflete o fechamento real? (por porte)</t>
  </si>
  <si>
    <t>Contratos em clientes_ativos</t>
  </si>
  <si>
    <t>Total</t>
  </si>
  <si>
    <t>Leitura</t>
  </si>
  <si>
    <t>• Etapa 1: pelo target o score ordena muito bem (a faixa Alta converte ~30x a Baixa), mas o target vaza do score_potencial_latente, dominado por tamanho e ERP: a separação é alta por construção.</t>
  </si>
  <si>
    <t>• No pipeline real o topo fecha mais rápido, mas não fecha mais: só a etapa 2 (piloto com controle) prova se priorizar o score gera receita.</t>
  </si>
  <si>
    <t>Extra — nMRR incremental ao priorizar quem tem maior propensão</t>
  </si>
  <si>
    <t>Lógica: parte da capacidade mensal dos ECs vai para o topo da propensão (top 30% do score). O ganho de conversão vem do lift do topo (taxa do top 30% ÷ média), descontado pelo fator de realização. O resultado principal é o UPLIFT %.</t>
  </si>
  <si>
    <t>Premissa</t>
  </si>
  <si>
    <t>Conservador</t>
  </si>
  <si>
    <t>Base</t>
  </si>
  <si>
    <t>Otimista</t>
  </si>
  <si>
    <t>Fonte / racional</t>
  </si>
  <si>
    <t>ECs na rede</t>
  </si>
  <si>
    <t>Soma de num_executivos (aba franquias)</t>
  </si>
  <si>
    <t>Leads trabalhados por EC/mês</t>
  </si>
  <si>
    <t>Média de leads_trabalhados (execucao_comercial)</t>
  </si>
  <si>
    <t>Taxa atual lead trabalhado → fechamento</t>
  </si>
  <si>
    <t>Σ fechamentos / Σ leads_trabalhados (execucao_comercial)</t>
  </si>
  <si>
    <t>% da capacidade redirecionada ao topo da propensão</t>
  </si>
  <si>
    <t>Decisão de gestão (premissa)</t>
  </si>
  <si>
    <t>Lift do topo da propensão (top 30% ÷ média)</t>
  </si>
  <si>
    <t>Aba Como_Avaliar — descritivo, sem modelo</t>
  </si>
  <si>
    <t>Fator de realização do lift</t>
  </si>
  <si>
    <t>Fração do lift que vira Ganho real (o target diverge do real — aba Como_Avaliar)</t>
  </si>
  <si>
    <t>Ticket MRR por novo cliente (R$)</t>
  </si>
  <si>
    <t>Conservador: nMRR por fechamento da execução. Base/Otimista: mrr_inicial médio (clientes_ativos)</t>
  </si>
  <si>
    <t>Haircut de churn</t>
  </si>
  <si>
    <t>Contratos Churned / total (vida do contrato) — desconto fixo, conservador</t>
  </si>
  <si>
    <t>nMRR oficial das 9 franquias abaixo da meta (R$/mês)</t>
  </si>
  <si>
    <t>franquias.realizado_nmrr_mes onde realizado &lt; meta</t>
  </si>
  <si>
    <t>Cálculo</t>
  </si>
  <si>
    <t>Fórmula</t>
  </si>
  <si>
    <t>Leads trabalhados/mês (rede)</t>
  </si>
  <si>
    <t>ECs × leads por EC</t>
  </si>
  <si>
    <t>Leads redirecionados ao topo da propensão</t>
  </si>
  <si>
    <t>capacidade × % redirecionada</t>
  </si>
  <si>
    <t>Conversão nova nesses leads</t>
  </si>
  <si>
    <t>taxa atual × (1 + (lift − 1) × fator)</t>
  </si>
  <si>
    <t>Fechamentos incrementais/mês</t>
  </si>
  <si>
    <t>leads redirecionados × ganho de conversão</t>
  </si>
  <si>
    <t>nMRR incremental/mês — escala da execução</t>
  </si>
  <si>
    <t>fechamentos × ticket × (1 − churn)</t>
  </si>
  <si>
    <t>nMRR atual/mês — mesma escala</t>
  </si>
  <si>
    <t>leads × conversão × ticket × (1 − churn)</t>
  </si>
  <si>
    <t>UPLIFT no nMRR do canal</t>
  </si>
  <si>
    <t>incremental ÷ atual (independe da escala de receita)</t>
  </si>
  <si>
    <t>nMRR incremental/mês — escala oficial (franquias abaixo da meta)</t>
  </si>
  <si>
    <t>uplift × realizado oficial dessas franquias</t>
  </si>
  <si>
    <t>Premissas assumidas</t>
  </si>
  <si>
    <t>• Capacidade dos ECs constante; o redirecionamento não muda o ticket nem o ciclo; sem custo adicional de aquisição.</t>
  </si>
  <si>
    <t>• O lift do topo foi medido no target converteu_omie; só uma fração (fator de realização) vira Ganho real.</t>
  </si>
  <si>
    <t>• Teste de estresse: com fator de realização = 0 (como o pipeline real sugere hoje), o uplift é zero — por isso o piloto.</t>
  </si>
  <si>
    <t>• O nMRR da execução é 10 a 27x menor que o oficial das franquias; por isso o uplift % é o número principal (franquias.realizado_nmrr_mes contra execucao_comercial.nmrr_gerado).</t>
  </si>
  <si>
    <t>Previsibilidade de receita: quanto o pipeline atual deve gerar no próximo trimestre</t>
  </si>
  <si>
    <t>Dois métodos independentes, só com dados da base: (1) pipeline aberto ponderado pela chance de fechar de cada estágio; (2) run-rate histórico de Ganhos do CRM. Janela de 90 dias: nenhum Ganho da base fechou depois de 89 dias.</t>
  </si>
  <si>
    <t>1. Chance de fechar por estágio (funil de execucao_comercial, 2024)</t>
  </si>
  <si>
    <t>Etapa do funil</t>
  </si>
  <si>
    <t>Volume</t>
  </si>
  <si>
    <t>Taxa da etapa</t>
  </si>
  <si>
    <t>Leads trabalhados</t>
  </si>
  <si>
    <t>Reuniões realizadas</t>
  </si>
  <si>
    <t>Lead → reunião</t>
  </si>
  <si>
    <t>Propostas enviadas</t>
  </si>
  <si>
    <t>Reunião → proposta</t>
  </si>
  <si>
    <t>Fechamentos</t>
  </si>
  <si>
    <t>Proposta → fechamento</t>
  </si>
  <si>
    <t>2. Método 1: pipeline aberto ponderado (leads abertos há até 90 dias)</t>
  </si>
  <si>
    <t>Estágio do lead</t>
  </si>
  <si>
    <t>Leads abertos até 90 dias</t>
  </si>
  <si>
    <t>Chance de fechar</t>
  </si>
  <si>
    <t>Ganhos esperados</t>
  </si>
  <si>
    <t>Leads parados (&gt; 90 dias): chance 0</t>
  </si>
  <si>
    <t>De onde vem a chance</t>
  </si>
  <si>
    <t>Proposta Enviada</t>
  </si>
  <si>
    <t>Reunião Agendada</t>
  </si>
  <si>
    <t>Reunião → proposta → fechamento</t>
  </si>
  <si>
    <t>Em Contato</t>
  </si>
  <si>
    <t>Lead → reunião → proposta → fechamento</t>
  </si>
  <si>
    <t>Novo</t>
  </si>
  <si>
    <t>Sem Resposta</t>
  </si>
  <si>
    <t>Fora do funil: o contador não respondeu</t>
  </si>
  <si>
    <t>Ticket médio do Ganho (R$)</t>
  </si>
  <si>
    <t>Churn dos contratos</t>
  </si>
  <si>
    <t>3. Método 2: run-rate histórico de Ganhos (CRM)</t>
  </si>
  <si>
    <t>Primeiro Ganho</t>
  </si>
  <si>
    <t>Último Ganho</t>
  </si>
  <si>
    <t>Meses de histórico</t>
  </si>
  <si>
    <t>Ganhos no período</t>
  </si>
  <si>
    <t>Ganhos por trimestre (run-rate)</t>
  </si>
  <si>
    <t>Menor e maior trimestre fechado</t>
  </si>
  <si>
    <t>Trimestre</t>
  </si>
  <si>
    <t>Início</t>
  </si>
  <si>
    <t>Fim</t>
  </si>
  <si>
    <t>Ganhos</t>
  </si>
  <si>
    <t>2024 T1</t>
  </si>
  <si>
    <t>2024 T2</t>
  </si>
  <si>
    <t>2024 T3</t>
  </si>
  <si>
    <t>2024 T4</t>
  </si>
  <si>
    <t>2025 T1</t>
  </si>
  <si>
    <t>2025 T2</t>
  </si>
  <si>
    <t>2025 T3</t>
  </si>
  <si>
    <t>2025 T4</t>
  </si>
  <si>
    <t>2026 T1 (parcial, até 07/03)</t>
  </si>
  <si>
    <t>4. Lacuna de previsibilidade e alavanca</t>
  </si>
  <si>
    <t>nMRR de Ganhos do CRM por mês (R$)</t>
  </si>
  <si>
    <t>nMRR oficial da rede por mês (R$, aba franquias)</t>
  </si>
  <si>
    <t>CRM ÷ oficial</t>
  </si>
  <si>
    <t>Ganhos previstos no trimestre com a priorização (cenário base do Impacto_nMRR)</t>
  </si>
  <si>
    <t>• Os dois métodos convergem (pipeline ponderado × run-rate): o pipeline do CRM é previsível no curto prazo.</t>
  </si>
  <si>
    <t>• Os leads parados há mais de 90 dias entram com chance zero: o pipeline nominal superestima o que vai fechar.</t>
  </si>
  <si>
    <t>• A chance de fechar por estágio vem de execucao_comercial (outra fonte) aplicada aos leads do CRM: é a melhor evidência da base, e a convergência com o run-rate mostra que funciona.</t>
  </si>
  <si>
    <t>• Lacuna: os Ganhos do CRM explicam uma fração mínima do nMRR oficial. Sem uma fonte única de nMRR, dá para prever o pipeline do CRM, mas não a receita oficial do canal.</t>
  </si>
  <si>
    <t>id_contador</t>
  </si>
  <si>
    <t>estado</t>
  </si>
  <si>
    <t>regiao</t>
  </si>
  <si>
    <t>porte</t>
  </si>
  <si>
    <t>segmento_principal</t>
  </si>
  <si>
    <t>anos_mercado</t>
  </si>
  <si>
    <t>num_clientes_ativos</t>
  </si>
  <si>
    <t>num_funcionarios</t>
  </si>
  <si>
    <t>erp_atual</t>
  </si>
  <si>
    <t>tem_site</t>
  </si>
  <si>
    <t>presenca_linkedin</t>
  </si>
  <si>
    <t>status_omie</t>
  </si>
  <si>
    <t>converteu_omie</t>
  </si>
  <si>
    <t>faixa_anos</t>
  </si>
  <si>
    <t>faixa_clientes</t>
  </si>
  <si>
    <t>faixa_funcionarios</t>
  </si>
  <si>
    <t>sem_erp</t>
  </si>
  <si>
    <t>icp</t>
  </si>
  <si>
    <t>enderecavel (regra 1a)</t>
  </si>
  <si>
    <t>score Fit + Engajamento (1c, 1 a 5)</t>
  </si>
  <si>
    <t>tier de prioridade (1c)</t>
  </si>
  <si>
    <t>taxa do porte</t>
  </si>
  <si>
    <t>taxa da faixa de funcionários</t>
  </si>
  <si>
    <t>taxa da faixa de clientes</t>
  </si>
  <si>
    <t>taxa do ERP</t>
  </si>
  <si>
    <t>taxa da faixa de anos</t>
  </si>
  <si>
    <t>PROPENSÃO (média das 5 taxas)</t>
  </si>
  <si>
    <t>faixa de propensão</t>
  </si>
  <si>
    <t>CTD00001</t>
  </si>
  <si>
    <t>RS</t>
  </si>
  <si>
    <t>Prospect</t>
  </si>
  <si>
    <t>CTD00002</t>
  </si>
  <si>
    <t>SP</t>
  </si>
  <si>
    <t>CTD00003</t>
  </si>
  <si>
    <t>RJ</t>
  </si>
  <si>
    <t>Lead Frio</t>
  </si>
  <si>
    <t>CTD00004</t>
  </si>
  <si>
    <t>CTD00005</t>
  </si>
  <si>
    <t>MT</t>
  </si>
  <si>
    <t>Churned</t>
  </si>
  <si>
    <t>CTD00006</t>
  </si>
  <si>
    <t>GO</t>
  </si>
  <si>
    <t>CTD00007</t>
  </si>
  <si>
    <t>PE</t>
  </si>
  <si>
    <t>Lead Quente</t>
  </si>
  <si>
    <t>CTD00008</t>
  </si>
  <si>
    <t>CTD00009</t>
  </si>
  <si>
    <t>MG</t>
  </si>
  <si>
    <t>CTD00010</t>
  </si>
  <si>
    <t>CTD00011</t>
  </si>
  <si>
    <t>CTD00012</t>
  </si>
  <si>
    <t>PR</t>
  </si>
  <si>
    <t>CTD00013</t>
  </si>
  <si>
    <t>CTD00014</t>
  </si>
  <si>
    <t>CTD00015</t>
  </si>
  <si>
    <t>CTD00016</t>
  </si>
  <si>
    <t>CTD00017</t>
  </si>
  <si>
    <t>CTD00018</t>
  </si>
  <si>
    <t>SC</t>
  </si>
  <si>
    <t>CTD00019</t>
  </si>
  <si>
    <t>DF</t>
  </si>
  <si>
    <t>CTD00020</t>
  </si>
  <si>
    <t>CTD00021</t>
  </si>
  <si>
    <t>CTD00022</t>
  </si>
  <si>
    <t>CTD00023</t>
  </si>
  <si>
    <t>CTD00024</t>
  </si>
  <si>
    <t>CTD00025</t>
  </si>
  <si>
    <t>MA</t>
  </si>
  <si>
    <t>Cliente Ativo</t>
  </si>
  <si>
    <t>CTD00026</t>
  </si>
  <si>
    <t>CTD00027</t>
  </si>
  <si>
    <t>CTD00028</t>
  </si>
  <si>
    <t>CTD00029</t>
  </si>
  <si>
    <t>BA</t>
  </si>
  <si>
    <t>CTD00030</t>
  </si>
  <si>
    <t>Sem Contato</t>
  </si>
  <si>
    <t>CTD00031</t>
  </si>
  <si>
    <t>CTD00032</t>
  </si>
  <si>
    <t>CTD00033</t>
  </si>
  <si>
    <t>CTD00034</t>
  </si>
  <si>
    <t>AM</t>
  </si>
  <si>
    <t>CTD00035</t>
  </si>
  <si>
    <t>CTD00036</t>
  </si>
  <si>
    <t>CTD00037</t>
  </si>
  <si>
    <t>CTD00038</t>
  </si>
  <si>
    <t>CTD00039</t>
  </si>
  <si>
    <t>CTD00040</t>
  </si>
  <si>
    <t>CTD00041</t>
  </si>
  <si>
    <t>CTD00042</t>
  </si>
  <si>
    <t>CTD00043</t>
  </si>
  <si>
    <t>CTD00044</t>
  </si>
  <si>
    <t>CTD00045</t>
  </si>
  <si>
    <t>CTD00046</t>
  </si>
  <si>
    <t>CTD00047</t>
  </si>
  <si>
    <t>CTD00048</t>
  </si>
  <si>
    <t>CTD00049</t>
  </si>
  <si>
    <t>CTD00050</t>
  </si>
  <si>
    <t>CTD00051</t>
  </si>
  <si>
    <t>CTD00052</t>
  </si>
  <si>
    <t>CTD00053</t>
  </si>
  <si>
    <t>CTD00054</t>
  </si>
  <si>
    <t>CE</t>
  </si>
  <si>
    <t>CTD00055</t>
  </si>
  <si>
    <t>CTD00056</t>
  </si>
  <si>
    <t>CTD00057</t>
  </si>
  <si>
    <t>CTD00058</t>
  </si>
  <si>
    <t>CTD00059</t>
  </si>
  <si>
    <t>CTD00060</t>
  </si>
  <si>
    <t>CTD00061</t>
  </si>
  <si>
    <t>PA</t>
  </si>
  <si>
    <t>CTD00062</t>
  </si>
  <si>
    <t>CTD00063</t>
  </si>
  <si>
    <t>CTD00064</t>
  </si>
  <si>
    <t>CTD00065</t>
  </si>
  <si>
    <t>CTD00066</t>
  </si>
  <si>
    <t>CTD00067</t>
  </si>
  <si>
    <t>CTD00068</t>
  </si>
  <si>
    <t>CTD00069</t>
  </si>
  <si>
    <t>CTD00070</t>
  </si>
  <si>
    <t>CTD00071</t>
  </si>
  <si>
    <t>CTD00072</t>
  </si>
  <si>
    <t>CTD00073</t>
  </si>
  <si>
    <t>CTD00074</t>
  </si>
  <si>
    <t>CTD00075</t>
  </si>
  <si>
    <t>CTD00076</t>
  </si>
  <si>
    <t>CTD00077</t>
  </si>
  <si>
    <t>CTD00078</t>
  </si>
  <si>
    <t>ES</t>
  </si>
  <si>
    <t>CTD00079</t>
  </si>
  <si>
    <t>CTD00080</t>
  </si>
  <si>
    <t>CTD00081</t>
  </si>
  <si>
    <t>CTD00082</t>
  </si>
  <si>
    <t>CTD00083</t>
  </si>
  <si>
    <t>CTD00084</t>
  </si>
  <si>
    <t>CTD00085</t>
  </si>
  <si>
    <t>CTD00086</t>
  </si>
  <si>
    <t>CTD00087</t>
  </si>
  <si>
    <t>RO</t>
  </si>
  <si>
    <t>CTD00088</t>
  </si>
  <si>
    <t>CTD00089</t>
  </si>
  <si>
    <t>CTD00090</t>
  </si>
  <si>
    <t>CTD00091</t>
  </si>
  <si>
    <t>CTD00092</t>
  </si>
  <si>
    <t>CTD00093</t>
  </si>
  <si>
    <t>CTD00094</t>
  </si>
  <si>
    <t>CTD00095</t>
  </si>
  <si>
    <t>CTD00096</t>
  </si>
  <si>
    <t>CTD00097</t>
  </si>
  <si>
    <t>CTD00098</t>
  </si>
  <si>
    <t>CTD00099</t>
  </si>
  <si>
    <t>CTD00100</t>
  </si>
  <si>
    <t>CTD00101</t>
  </si>
  <si>
    <t>CTD00102</t>
  </si>
  <si>
    <t>CTD00103</t>
  </si>
  <si>
    <t>CTD00104</t>
  </si>
  <si>
    <t>CTD00105</t>
  </si>
  <si>
    <t>CTD00106</t>
  </si>
  <si>
    <t>CTD00107</t>
  </si>
  <si>
    <t>CTD00108</t>
  </si>
  <si>
    <t>CTD00109</t>
  </si>
  <si>
    <t>CTD00110</t>
  </si>
  <si>
    <t>CTD00111</t>
  </si>
  <si>
    <t>CTD00112</t>
  </si>
  <si>
    <t>CTD00113</t>
  </si>
  <si>
    <t>CTD00114</t>
  </si>
  <si>
    <t>CTD00115</t>
  </si>
  <si>
    <t>CTD00116</t>
  </si>
  <si>
    <t>CTD00117</t>
  </si>
  <si>
    <t>CTD00118</t>
  </si>
  <si>
    <t>CTD00119</t>
  </si>
  <si>
    <t>CTD00120</t>
  </si>
  <si>
    <t>CTD00121</t>
  </si>
  <si>
    <t>MS</t>
  </si>
  <si>
    <t>CTD00122</t>
  </si>
  <si>
    <t>CTD00123</t>
  </si>
  <si>
    <t>CTD00124</t>
  </si>
  <si>
    <t>CTD00125</t>
  </si>
  <si>
    <t>CTD00126</t>
  </si>
  <si>
    <t>CTD00127</t>
  </si>
  <si>
    <t>CTD00128</t>
  </si>
  <si>
    <t>CTD00129</t>
  </si>
  <si>
    <t>CTD00130</t>
  </si>
  <si>
    <t>CTD00131</t>
  </si>
  <si>
    <t>CTD00132</t>
  </si>
  <si>
    <t>CTD00133</t>
  </si>
  <si>
    <t>CTD00134</t>
  </si>
  <si>
    <t>CTD00135</t>
  </si>
  <si>
    <t>CTD00136</t>
  </si>
  <si>
    <t>CTD00137</t>
  </si>
  <si>
    <t>CTD00138</t>
  </si>
  <si>
    <t>CTD00139</t>
  </si>
  <si>
    <t>CTD00140</t>
  </si>
  <si>
    <t>CTD00141</t>
  </si>
  <si>
    <t>CTD00142</t>
  </si>
  <si>
    <t>CTD00143</t>
  </si>
  <si>
    <t>CTD00144</t>
  </si>
  <si>
    <t>CTD00145</t>
  </si>
  <si>
    <t>CTD00146</t>
  </si>
  <si>
    <t>CTD00147</t>
  </si>
  <si>
    <t>CTD00148</t>
  </si>
  <si>
    <t>CTD00149</t>
  </si>
  <si>
    <t>CTD00150</t>
  </si>
  <si>
    <t>CTD00151</t>
  </si>
  <si>
    <t>CTD00152</t>
  </si>
  <si>
    <t>CTD00153</t>
  </si>
  <si>
    <t>CTD00154</t>
  </si>
  <si>
    <t>CTD00155</t>
  </si>
  <si>
    <t>CTD00156</t>
  </si>
  <si>
    <t>CTD00157</t>
  </si>
  <si>
    <t>CTD00158</t>
  </si>
  <si>
    <t>CTD00159</t>
  </si>
  <si>
    <t>CTD00160</t>
  </si>
  <si>
    <t>CTD00161</t>
  </si>
  <si>
    <t>CTD00162</t>
  </si>
  <si>
    <t>CTD00163</t>
  </si>
  <si>
    <t>CTD00164</t>
  </si>
  <si>
    <t>CTD00165</t>
  </si>
  <si>
    <t>CTD00166</t>
  </si>
  <si>
    <t>CTD00167</t>
  </si>
  <si>
    <t>CTD00168</t>
  </si>
  <si>
    <t>CTD00169</t>
  </si>
  <si>
    <t>CTD00170</t>
  </si>
  <si>
    <t>CTD00171</t>
  </si>
  <si>
    <t>CTD00172</t>
  </si>
  <si>
    <t>CTD00173</t>
  </si>
  <si>
    <t>CTD00174</t>
  </si>
  <si>
    <t>CTD00175</t>
  </si>
  <si>
    <t>CTD00176</t>
  </si>
  <si>
    <t>CTD00177</t>
  </si>
  <si>
    <t>CTD00178</t>
  </si>
  <si>
    <t>CTD00179</t>
  </si>
  <si>
    <t>CTD00180</t>
  </si>
  <si>
    <t>CTD00181</t>
  </si>
  <si>
    <t>CTD00182</t>
  </si>
  <si>
    <t>CTD00183</t>
  </si>
  <si>
    <t>CTD00184</t>
  </si>
  <si>
    <t>CTD00185</t>
  </si>
  <si>
    <t>CTD00186</t>
  </si>
  <si>
    <t>CTD00187</t>
  </si>
  <si>
    <t>CTD00188</t>
  </si>
  <si>
    <t>CTD00189</t>
  </si>
  <si>
    <t>CTD00190</t>
  </si>
  <si>
    <t>CTD00191</t>
  </si>
  <si>
    <t>CTD00192</t>
  </si>
  <si>
    <t>CTD00193</t>
  </si>
  <si>
    <t>CTD00194</t>
  </si>
  <si>
    <t>CTD00195</t>
  </si>
  <si>
    <t>CTD00196</t>
  </si>
  <si>
    <t>CTD00197</t>
  </si>
  <si>
    <t>CTD00198</t>
  </si>
  <si>
    <t>CTD00199</t>
  </si>
  <si>
    <t>CTD00200</t>
  </si>
  <si>
    <t>CTD00201</t>
  </si>
  <si>
    <t>CTD00202</t>
  </si>
  <si>
    <t>CTD00203</t>
  </si>
  <si>
    <t>CTD00204</t>
  </si>
  <si>
    <t>CTD00205</t>
  </si>
  <si>
    <t>CTD00206</t>
  </si>
  <si>
    <t>CTD00207</t>
  </si>
  <si>
    <t>CTD00208</t>
  </si>
  <si>
    <t>CTD00209</t>
  </si>
  <si>
    <t>CTD00210</t>
  </si>
  <si>
    <t>CTD00211</t>
  </si>
  <si>
    <t>CTD00212</t>
  </si>
  <si>
    <t>CTD00213</t>
  </si>
  <si>
    <t>CTD00214</t>
  </si>
  <si>
    <t>CTD00215</t>
  </si>
  <si>
    <t>CTD00216</t>
  </si>
  <si>
    <t>CTD00217</t>
  </si>
  <si>
    <t>CTD00218</t>
  </si>
  <si>
    <t>CTD00219</t>
  </si>
  <si>
    <t>CTD00220</t>
  </si>
  <si>
    <t>CTD00221</t>
  </si>
  <si>
    <t>CTD00222</t>
  </si>
  <si>
    <t>CTD00223</t>
  </si>
  <si>
    <t>CTD00224</t>
  </si>
  <si>
    <t>CTD00225</t>
  </si>
  <si>
    <t>CTD00226</t>
  </si>
  <si>
    <t>CTD00227</t>
  </si>
  <si>
    <t>CTD00228</t>
  </si>
  <si>
    <t>CTD00229</t>
  </si>
  <si>
    <t>CTD00230</t>
  </si>
  <si>
    <t>CTD00231</t>
  </si>
  <si>
    <t>CTD00232</t>
  </si>
  <si>
    <t>CTD00233</t>
  </si>
  <si>
    <t>CTD00234</t>
  </si>
  <si>
    <t>CTD00235</t>
  </si>
  <si>
    <t>CTD00236</t>
  </si>
  <si>
    <t>CTD00237</t>
  </si>
  <si>
    <t>CTD00238</t>
  </si>
  <si>
    <t>CTD00239</t>
  </si>
  <si>
    <t>CTD00240</t>
  </si>
  <si>
    <t>CTD00241</t>
  </si>
  <si>
    <t>CTD00242</t>
  </si>
  <si>
    <t>CTD00243</t>
  </si>
  <si>
    <t>CTD00244</t>
  </si>
  <si>
    <t>CTD00245</t>
  </si>
  <si>
    <t>CTD00246</t>
  </si>
  <si>
    <t>CTD00247</t>
  </si>
  <si>
    <t>CTD00248</t>
  </si>
  <si>
    <t>CTD00249</t>
  </si>
  <si>
    <t>CTD00250</t>
  </si>
  <si>
    <t>CTD00251</t>
  </si>
  <si>
    <t>CTD00252</t>
  </si>
  <si>
    <t>CTD00253</t>
  </si>
  <si>
    <t>CTD00254</t>
  </si>
  <si>
    <t>CTD00255</t>
  </si>
  <si>
    <t>CTD00256</t>
  </si>
  <si>
    <t>CTD00257</t>
  </si>
  <si>
    <t>CTD00258</t>
  </si>
  <si>
    <t>CTD00259</t>
  </si>
  <si>
    <t>CTD00260</t>
  </si>
  <si>
    <t>CTD00261</t>
  </si>
  <si>
    <t>CTD00262</t>
  </si>
  <si>
    <t>CTD00263</t>
  </si>
  <si>
    <t>CTD00264</t>
  </si>
  <si>
    <t>CTD00265</t>
  </si>
  <si>
    <t>CTD00266</t>
  </si>
  <si>
    <t>CTD00267</t>
  </si>
  <si>
    <t>CTD00268</t>
  </si>
  <si>
    <t>CTD00269</t>
  </si>
  <si>
    <t>CTD00270</t>
  </si>
  <si>
    <t>CTD00271</t>
  </si>
  <si>
    <t>CTD00272</t>
  </si>
  <si>
    <t>CTD00273</t>
  </si>
  <si>
    <t>CTD00274</t>
  </si>
  <si>
    <t>CTD00275</t>
  </si>
  <si>
    <t>CTD00276</t>
  </si>
  <si>
    <t>CTD00277</t>
  </si>
  <si>
    <t>CTD00278</t>
  </si>
  <si>
    <t>CTD00279</t>
  </si>
  <si>
    <t>CTD00280</t>
  </si>
  <si>
    <t>CTD00281</t>
  </si>
  <si>
    <t>CTD00282</t>
  </si>
  <si>
    <t>CTD00283</t>
  </si>
  <si>
    <t>CTD00284</t>
  </si>
  <si>
    <t>CTD00285</t>
  </si>
  <si>
    <t>CTD00286</t>
  </si>
  <si>
    <t>CTD00287</t>
  </si>
  <si>
    <t>CTD00288</t>
  </si>
  <si>
    <t>CTD00289</t>
  </si>
  <si>
    <t>CTD00290</t>
  </si>
  <si>
    <t>CTD00291</t>
  </si>
  <si>
    <t>CTD00292</t>
  </si>
  <si>
    <t>CTD00293</t>
  </si>
  <si>
    <t>CTD00294</t>
  </si>
  <si>
    <t>CTD00295</t>
  </si>
  <si>
    <t>CTD00296</t>
  </si>
  <si>
    <t>CTD00297</t>
  </si>
  <si>
    <t>CTD00298</t>
  </si>
  <si>
    <t>CTD00299</t>
  </si>
  <si>
    <t>CTD00300</t>
  </si>
  <si>
    <t>CTD00301</t>
  </si>
  <si>
    <t>CTD00302</t>
  </si>
  <si>
    <t>CTD00303</t>
  </si>
  <si>
    <t>CTD00304</t>
  </si>
  <si>
    <t>CTD00305</t>
  </si>
  <si>
    <t>CTD00306</t>
  </si>
  <si>
    <t>CTD00307</t>
  </si>
  <si>
    <t>CTD00308</t>
  </si>
  <si>
    <t>CTD00309</t>
  </si>
  <si>
    <t>CTD00310</t>
  </si>
  <si>
    <t>CTD00311</t>
  </si>
  <si>
    <t>CTD00312</t>
  </si>
  <si>
    <t>CTD00313</t>
  </si>
  <si>
    <t>CTD00314</t>
  </si>
  <si>
    <t>CTD00315</t>
  </si>
  <si>
    <t>CTD00316</t>
  </si>
  <si>
    <t>CTD00317</t>
  </si>
  <si>
    <t>CTD00318</t>
  </si>
  <si>
    <t>CTD00319</t>
  </si>
  <si>
    <t>CTD00320</t>
  </si>
  <si>
    <t>CTD00321</t>
  </si>
  <si>
    <t>CTD00322</t>
  </si>
  <si>
    <t>CTD00323</t>
  </si>
  <si>
    <t>CTD00324</t>
  </si>
  <si>
    <t>CTD00325</t>
  </si>
  <si>
    <t>CTD00326</t>
  </si>
  <si>
    <t>CTD00327</t>
  </si>
  <si>
    <t>CTD00328</t>
  </si>
  <si>
    <t>CTD00329</t>
  </si>
  <si>
    <t>CTD00330</t>
  </si>
  <si>
    <t>CTD00331</t>
  </si>
  <si>
    <t>CTD00332</t>
  </si>
  <si>
    <t>CTD00333</t>
  </si>
  <si>
    <t>CTD00334</t>
  </si>
  <si>
    <t>CTD00335</t>
  </si>
  <si>
    <t>CTD00336</t>
  </si>
  <si>
    <t>CTD00337</t>
  </si>
  <si>
    <t>CTD00338</t>
  </si>
  <si>
    <t>CTD00339</t>
  </si>
  <si>
    <t>CTD00340</t>
  </si>
  <si>
    <t>CTD00341</t>
  </si>
  <si>
    <t>CTD00342</t>
  </si>
  <si>
    <t>CTD00343</t>
  </si>
  <si>
    <t>CTD00344</t>
  </si>
  <si>
    <t>CTD00345</t>
  </si>
  <si>
    <t>CTD00346</t>
  </si>
  <si>
    <t>CTD00347</t>
  </si>
  <si>
    <t>CTD00348</t>
  </si>
  <si>
    <t>CTD00349</t>
  </si>
  <si>
    <t>CTD00350</t>
  </si>
  <si>
    <t>CTD00351</t>
  </si>
  <si>
    <t>CTD00352</t>
  </si>
  <si>
    <t>CTD00353</t>
  </si>
  <si>
    <t>CTD00354</t>
  </si>
  <si>
    <t>CTD00355</t>
  </si>
  <si>
    <t>CTD00356</t>
  </si>
  <si>
    <t>CTD00357</t>
  </si>
  <si>
    <t>CTD00358</t>
  </si>
  <si>
    <t>CTD00359</t>
  </si>
  <si>
    <t>CTD00360</t>
  </si>
  <si>
    <t>CTD00361</t>
  </si>
  <si>
    <t>CTD00362</t>
  </si>
  <si>
    <t>CTD00363</t>
  </si>
  <si>
    <t>CTD00364</t>
  </si>
  <si>
    <t>CTD00365</t>
  </si>
  <si>
    <t>CTD00366</t>
  </si>
  <si>
    <t>CTD00367</t>
  </si>
  <si>
    <t>CTD00368</t>
  </si>
  <si>
    <t>CTD00369</t>
  </si>
  <si>
    <t>CTD00370</t>
  </si>
  <si>
    <t>CTD00371</t>
  </si>
  <si>
    <t>CTD00372</t>
  </si>
  <si>
    <t>CTD00373</t>
  </si>
  <si>
    <t>CTD00374</t>
  </si>
  <si>
    <t>CTD00375</t>
  </si>
  <si>
    <t>CTD00376</t>
  </si>
  <si>
    <t>CTD00377</t>
  </si>
  <si>
    <t>CTD00378</t>
  </si>
  <si>
    <t>CTD00379</t>
  </si>
  <si>
    <t>CTD00380</t>
  </si>
  <si>
    <t>CTD00381</t>
  </si>
  <si>
    <t>CTD00382</t>
  </si>
  <si>
    <t>CTD00383</t>
  </si>
  <si>
    <t>CTD00384</t>
  </si>
  <si>
    <t>CTD00385</t>
  </si>
  <si>
    <t>CTD00386</t>
  </si>
  <si>
    <t>CTD00387</t>
  </si>
  <si>
    <t>CTD00388</t>
  </si>
  <si>
    <t>CTD00389</t>
  </si>
  <si>
    <t>CTD00390</t>
  </si>
  <si>
    <t>CTD00391</t>
  </si>
  <si>
    <t>CTD00392</t>
  </si>
  <si>
    <t>CTD00393</t>
  </si>
  <si>
    <t>CTD00394</t>
  </si>
  <si>
    <t>CTD00395</t>
  </si>
  <si>
    <t>CTD00396</t>
  </si>
  <si>
    <t>CTD00397</t>
  </si>
  <si>
    <t>CTD00398</t>
  </si>
  <si>
    <t>CTD00399</t>
  </si>
  <si>
    <t>CTD00400</t>
  </si>
  <si>
    <t>CTD00401</t>
  </si>
  <si>
    <t>CTD00402</t>
  </si>
  <si>
    <t>CTD00403</t>
  </si>
  <si>
    <t>CTD00404</t>
  </si>
  <si>
    <t>CTD00405</t>
  </si>
  <si>
    <t>CTD00406</t>
  </si>
  <si>
    <t>CTD00407</t>
  </si>
  <si>
    <t>CTD00408</t>
  </si>
  <si>
    <t>CTD00409</t>
  </si>
  <si>
    <t>CTD00410</t>
  </si>
  <si>
    <t>CTD00411</t>
  </si>
  <si>
    <t>CTD00412</t>
  </si>
  <si>
    <t>CTD00413</t>
  </si>
  <si>
    <t>CTD00414</t>
  </si>
  <si>
    <t>CTD00415</t>
  </si>
  <si>
    <t>CTD00416</t>
  </si>
  <si>
    <t>CTD00417</t>
  </si>
  <si>
    <t>CTD00418</t>
  </si>
  <si>
    <t>CTD00419</t>
  </si>
  <si>
    <t>CTD00420</t>
  </si>
  <si>
    <t>CTD00421</t>
  </si>
  <si>
    <t>CTD00422</t>
  </si>
  <si>
    <t>CTD00423</t>
  </si>
  <si>
    <t>CTD00424</t>
  </si>
  <si>
    <t>CTD00425</t>
  </si>
  <si>
    <t>CTD00426</t>
  </si>
  <si>
    <t>CTD00427</t>
  </si>
  <si>
    <t>CTD00428</t>
  </si>
  <si>
    <t>CTD00429</t>
  </si>
  <si>
    <t>CTD00430</t>
  </si>
  <si>
    <t>CTD00431</t>
  </si>
  <si>
    <t>CTD00432</t>
  </si>
  <si>
    <t>CTD00433</t>
  </si>
  <si>
    <t>CTD00434</t>
  </si>
  <si>
    <t>CTD00435</t>
  </si>
  <si>
    <t>CTD00436</t>
  </si>
  <si>
    <t>CTD00437</t>
  </si>
  <si>
    <t>CTD00438</t>
  </si>
  <si>
    <t>CTD00439</t>
  </si>
  <si>
    <t>CTD00440</t>
  </si>
  <si>
    <t>CTD00441</t>
  </si>
  <si>
    <t>CTD00442</t>
  </si>
  <si>
    <t>CTD00443</t>
  </si>
  <si>
    <t>CTD00444</t>
  </si>
  <si>
    <t>CTD00445</t>
  </si>
  <si>
    <t>CTD00446</t>
  </si>
  <si>
    <t>CTD00447</t>
  </si>
  <si>
    <t>CTD00448</t>
  </si>
  <si>
    <t>CTD00449</t>
  </si>
  <si>
    <t>CTD00450</t>
  </si>
  <si>
    <t>CTD00451</t>
  </si>
  <si>
    <t>CTD00452</t>
  </si>
  <si>
    <t>CTD00453</t>
  </si>
  <si>
    <t>CTD00454</t>
  </si>
  <si>
    <t>CTD00455</t>
  </si>
  <si>
    <t>CTD00456</t>
  </si>
  <si>
    <t>CTD00457</t>
  </si>
  <si>
    <t>CTD00458</t>
  </si>
  <si>
    <t>CTD00459</t>
  </si>
  <si>
    <t>CTD00460</t>
  </si>
  <si>
    <t>CTD00461</t>
  </si>
  <si>
    <t>CTD00462</t>
  </si>
  <si>
    <t>CTD00463</t>
  </si>
  <si>
    <t>CTD00464</t>
  </si>
  <si>
    <t>CTD00465</t>
  </si>
  <si>
    <t>CTD00466</t>
  </si>
  <si>
    <t>CTD00467</t>
  </si>
  <si>
    <t>CTD00468</t>
  </si>
  <si>
    <t>CTD00469</t>
  </si>
  <si>
    <t>CTD00470</t>
  </si>
  <si>
    <t>CTD00471</t>
  </si>
  <si>
    <t>CTD00472</t>
  </si>
  <si>
    <t>CTD00473</t>
  </si>
  <si>
    <t>CTD00474</t>
  </si>
  <si>
    <t>CTD00475</t>
  </si>
  <si>
    <t>CTD00476</t>
  </si>
  <si>
    <t>CTD00477</t>
  </si>
  <si>
    <t>CTD00478</t>
  </si>
  <si>
    <t>CTD00479</t>
  </si>
  <si>
    <t>CTD00480</t>
  </si>
  <si>
    <t>CTD00481</t>
  </si>
  <si>
    <t>CTD00482</t>
  </si>
  <si>
    <t>CTD00483</t>
  </si>
  <si>
    <t>CTD00484</t>
  </si>
  <si>
    <t>CTD00485</t>
  </si>
  <si>
    <t>CTD00486</t>
  </si>
  <si>
    <t>CTD00487</t>
  </si>
  <si>
    <t>CTD00488</t>
  </si>
  <si>
    <t>CTD00489</t>
  </si>
  <si>
    <t>CTD00490</t>
  </si>
  <si>
    <t>CTD00491</t>
  </si>
  <si>
    <t>CTD00492</t>
  </si>
  <si>
    <t>CTD00493</t>
  </si>
  <si>
    <t>CTD00494</t>
  </si>
  <si>
    <t>CTD00495</t>
  </si>
  <si>
    <t>CTD00496</t>
  </si>
  <si>
    <t>CTD00497</t>
  </si>
  <si>
    <t>CTD00498</t>
  </si>
  <si>
    <t>CTD00499</t>
  </si>
  <si>
    <t>CTD00500</t>
  </si>
  <si>
    <t>CTD00501</t>
  </si>
  <si>
    <t>CTD00502</t>
  </si>
  <si>
    <t>CTD00503</t>
  </si>
  <si>
    <t>CTD00504</t>
  </si>
  <si>
    <t>CTD00505</t>
  </si>
  <si>
    <t>CTD00506</t>
  </si>
  <si>
    <t>CTD00507</t>
  </si>
  <si>
    <t>CTD00508</t>
  </si>
  <si>
    <t>CTD00509</t>
  </si>
  <si>
    <t>CTD00510</t>
  </si>
  <si>
    <t>CTD00511</t>
  </si>
  <si>
    <t>CTD00512</t>
  </si>
  <si>
    <t>CTD00513</t>
  </si>
  <si>
    <t>CTD00514</t>
  </si>
  <si>
    <t>CTD00515</t>
  </si>
  <si>
    <t>CTD00516</t>
  </si>
  <si>
    <t>CTD00517</t>
  </si>
  <si>
    <t>CTD00518</t>
  </si>
  <si>
    <t>CTD00519</t>
  </si>
  <si>
    <t>CTD00520</t>
  </si>
  <si>
    <t>CTD00521</t>
  </si>
  <si>
    <t>CTD00522</t>
  </si>
  <si>
    <t>CTD00523</t>
  </si>
  <si>
    <t>CTD00524</t>
  </si>
  <si>
    <t>CTD00525</t>
  </si>
  <si>
    <t>CTD00526</t>
  </si>
  <si>
    <t>CTD00527</t>
  </si>
  <si>
    <t>CTD00528</t>
  </si>
  <si>
    <t>CTD00529</t>
  </si>
  <si>
    <t>CTD00530</t>
  </si>
  <si>
    <t>CTD00531</t>
  </si>
  <si>
    <t>CTD00532</t>
  </si>
  <si>
    <t>CTD00533</t>
  </si>
  <si>
    <t>CTD00534</t>
  </si>
  <si>
    <t>CTD00535</t>
  </si>
  <si>
    <t>CTD00536</t>
  </si>
  <si>
    <t>CTD00537</t>
  </si>
  <si>
    <t>CTD00538</t>
  </si>
  <si>
    <t>CTD00539</t>
  </si>
  <si>
    <t>CTD00540</t>
  </si>
  <si>
    <t>CTD00541</t>
  </si>
  <si>
    <t>CTD00542</t>
  </si>
  <si>
    <t>CTD00543</t>
  </si>
  <si>
    <t>CTD00544</t>
  </si>
  <si>
    <t>CTD00545</t>
  </si>
  <si>
    <t>CTD00546</t>
  </si>
  <si>
    <t>CTD00547</t>
  </si>
  <si>
    <t>CTD00548</t>
  </si>
  <si>
    <t>CTD00549</t>
  </si>
  <si>
    <t>CTD00550</t>
  </si>
  <si>
    <t>CTD00551</t>
  </si>
  <si>
    <t>CTD00552</t>
  </si>
  <si>
    <t>CTD00553</t>
  </si>
  <si>
    <t>CTD00554</t>
  </si>
  <si>
    <t>CTD00555</t>
  </si>
  <si>
    <t>CTD00556</t>
  </si>
  <si>
    <t>CTD00557</t>
  </si>
  <si>
    <t>CTD00558</t>
  </si>
  <si>
    <t>CTD00559</t>
  </si>
  <si>
    <t>CTD00560</t>
  </si>
  <si>
    <t>CTD00561</t>
  </si>
  <si>
    <t>CTD00562</t>
  </si>
  <si>
    <t>CTD00563</t>
  </si>
  <si>
    <t>CTD00564</t>
  </si>
  <si>
    <t>CTD00565</t>
  </si>
  <si>
    <t>CTD00566</t>
  </si>
  <si>
    <t>CTD00567</t>
  </si>
  <si>
    <t>CTD00568</t>
  </si>
  <si>
    <t>CTD00569</t>
  </si>
  <si>
    <t>CTD00570</t>
  </si>
  <si>
    <t>CTD00571</t>
  </si>
  <si>
    <t>CTD00572</t>
  </si>
  <si>
    <t>CTD00573</t>
  </si>
  <si>
    <t>CTD00574</t>
  </si>
  <si>
    <t>CTD00575</t>
  </si>
  <si>
    <t>CTD00576</t>
  </si>
  <si>
    <t>CTD00577</t>
  </si>
  <si>
    <t>CTD00578</t>
  </si>
  <si>
    <t>CTD00579</t>
  </si>
  <si>
    <t>CTD00580</t>
  </si>
  <si>
    <t>CTD00581</t>
  </si>
  <si>
    <t>CTD00582</t>
  </si>
  <si>
    <t>CTD00583</t>
  </si>
  <si>
    <t>CTD00584</t>
  </si>
  <si>
    <t>CTD00585</t>
  </si>
  <si>
    <t>CTD00586</t>
  </si>
  <si>
    <t>CTD00587</t>
  </si>
  <si>
    <t>CTD00588</t>
  </si>
  <si>
    <t>CTD00589</t>
  </si>
  <si>
    <t>CTD00590</t>
  </si>
  <si>
    <t>CTD00591</t>
  </si>
  <si>
    <t>CTD00592</t>
  </si>
  <si>
    <t>CTD00593</t>
  </si>
  <si>
    <t>CTD00594</t>
  </si>
  <si>
    <t>CTD00595</t>
  </si>
  <si>
    <t>CTD00596</t>
  </si>
  <si>
    <t>CTD00597</t>
  </si>
  <si>
    <t>CTD00598</t>
  </si>
  <si>
    <t>CTD00599</t>
  </si>
  <si>
    <t>CTD00600</t>
  </si>
  <si>
    <t>id_lead</t>
  </si>
  <si>
    <t>canal_origem</t>
  </si>
  <si>
    <t>status_lead</t>
  </si>
  <si>
    <t>mrr_inicial</t>
  </si>
  <si>
    <t>tentativas</t>
  </si>
  <si>
    <t>com desfecho (Ganho/Perdido)</t>
  </si>
  <si>
    <t>ganho</t>
  </si>
  <si>
    <t>tier (1c)</t>
  </si>
  <si>
    <t>faixa de propensão (D2)</t>
  </si>
  <si>
    <t>tempo_ciclo_dias</t>
  </si>
  <si>
    <t>data_conversao</t>
  </si>
  <si>
    <t>LEAD00001</t>
  </si>
  <si>
    <t>Franquia</t>
  </si>
  <si>
    <t>Perdido</t>
  </si>
  <si>
    <t>LEAD00002</t>
  </si>
  <si>
    <t>Inbound</t>
  </si>
  <si>
    <t>Ganho</t>
  </si>
  <si>
    <t>LEAD00003</t>
  </si>
  <si>
    <t>LEAD00004</t>
  </si>
  <si>
    <t>LEAD00005</t>
  </si>
  <si>
    <t>LEAD00006</t>
  </si>
  <si>
    <t>Outreach Ativo</t>
  </si>
  <si>
    <t>LEAD00007</t>
  </si>
  <si>
    <t>LEAD00008</t>
  </si>
  <si>
    <t>LEAD00009</t>
  </si>
  <si>
    <t>LEAD00010</t>
  </si>
  <si>
    <t>LEAD00011</t>
  </si>
  <si>
    <t>LEAD00012</t>
  </si>
  <si>
    <t>Indicação</t>
  </si>
  <si>
    <t>LEAD00013</t>
  </si>
  <si>
    <t>LEAD00014</t>
  </si>
  <si>
    <t>LEAD00015</t>
  </si>
  <si>
    <t>LEAD00016</t>
  </si>
  <si>
    <t>LEAD00017</t>
  </si>
  <si>
    <t>LEAD00018</t>
  </si>
  <si>
    <t>LEAD00019</t>
  </si>
  <si>
    <t>LEAD00020</t>
  </si>
  <si>
    <t>LEAD00021</t>
  </si>
  <si>
    <t>LEAD00022</t>
  </si>
  <si>
    <t>LEAD00023</t>
  </si>
  <si>
    <t>LEAD00024</t>
  </si>
  <si>
    <t>LEAD00025</t>
  </si>
  <si>
    <t>LEAD00026</t>
  </si>
  <si>
    <t>LEAD00027</t>
  </si>
  <si>
    <t>LEAD00028</t>
  </si>
  <si>
    <t>LEAD00029</t>
  </si>
  <si>
    <t>LEAD00030</t>
  </si>
  <si>
    <t>LEAD00031</t>
  </si>
  <si>
    <t>LEAD00032</t>
  </si>
  <si>
    <t>LEAD00033</t>
  </si>
  <si>
    <t>LEAD00034</t>
  </si>
  <si>
    <t>LEAD00035</t>
  </si>
  <si>
    <t>LEAD00036</t>
  </si>
  <si>
    <t>LEAD00037</t>
  </si>
  <si>
    <t>LEAD00038</t>
  </si>
  <si>
    <t>LEAD00039</t>
  </si>
  <si>
    <t>LEAD00040</t>
  </si>
  <si>
    <t>LEAD00041</t>
  </si>
  <si>
    <t>LEAD00042</t>
  </si>
  <si>
    <t>LEAD00043</t>
  </si>
  <si>
    <t>LEAD00044</t>
  </si>
  <si>
    <t>LEAD00045</t>
  </si>
  <si>
    <t>LEAD00046</t>
  </si>
  <si>
    <t>LEAD00047</t>
  </si>
  <si>
    <t>LEAD00048</t>
  </si>
  <si>
    <t>LEAD00049</t>
  </si>
  <si>
    <t>LEAD00050</t>
  </si>
  <si>
    <t>LEAD00051</t>
  </si>
  <si>
    <t>LEAD00052</t>
  </si>
  <si>
    <t>LEAD00053</t>
  </si>
  <si>
    <t>LEAD00054</t>
  </si>
  <si>
    <t>LEAD00055</t>
  </si>
  <si>
    <t>LEAD00056</t>
  </si>
  <si>
    <t>LEAD00057</t>
  </si>
  <si>
    <t>LEAD00058</t>
  </si>
  <si>
    <t>Evento</t>
  </si>
  <si>
    <t>LEAD00059</t>
  </si>
  <si>
    <t>LEAD00060</t>
  </si>
  <si>
    <t>LEAD00061</t>
  </si>
  <si>
    <t>LEAD00062</t>
  </si>
  <si>
    <t>LEAD00063</t>
  </si>
  <si>
    <t>LEAD00064</t>
  </si>
  <si>
    <t>LEAD00065</t>
  </si>
  <si>
    <t>LEAD00066</t>
  </si>
  <si>
    <t>LEAD00067</t>
  </si>
  <si>
    <t>LEAD00068</t>
  </si>
  <si>
    <t>LEAD00069</t>
  </si>
  <si>
    <t>LEAD00070</t>
  </si>
  <si>
    <t>LEAD00071</t>
  </si>
  <si>
    <t>LEAD00072</t>
  </si>
  <si>
    <t>LEAD00073</t>
  </si>
  <si>
    <t>LEAD00074</t>
  </si>
  <si>
    <t>LEAD00075</t>
  </si>
  <si>
    <t>LEAD00076</t>
  </si>
  <si>
    <t>LEAD00077</t>
  </si>
  <si>
    <t>LEAD00078</t>
  </si>
  <si>
    <t>LEAD00079</t>
  </si>
  <si>
    <t>LEAD00080</t>
  </si>
  <si>
    <t>LEAD00081</t>
  </si>
  <si>
    <t>LEAD00082</t>
  </si>
  <si>
    <t>LEAD00083</t>
  </si>
  <si>
    <t>LEAD00084</t>
  </si>
  <si>
    <t>LEAD00085</t>
  </si>
  <si>
    <t>LEAD00086</t>
  </si>
  <si>
    <t>LEAD00087</t>
  </si>
  <si>
    <t>LEAD00088</t>
  </si>
  <si>
    <t>LEAD00089</t>
  </si>
  <si>
    <t>LEAD00090</t>
  </si>
  <si>
    <t>LEAD00091</t>
  </si>
  <si>
    <t>LEAD00092</t>
  </si>
  <si>
    <t>LEAD00093</t>
  </si>
  <si>
    <t>LEAD00094</t>
  </si>
  <si>
    <t>LEAD00095</t>
  </si>
  <si>
    <t>LEAD00096</t>
  </si>
  <si>
    <t>LEAD00097</t>
  </si>
  <si>
    <t>LEAD00098</t>
  </si>
  <si>
    <t>LEAD00099</t>
  </si>
  <si>
    <t>LEAD00100</t>
  </si>
  <si>
    <t>LEAD00101</t>
  </si>
  <si>
    <t>LEAD00102</t>
  </si>
  <si>
    <t>LEAD00103</t>
  </si>
  <si>
    <t>LEAD00104</t>
  </si>
  <si>
    <t>LEAD00105</t>
  </si>
  <si>
    <t>LEAD00106</t>
  </si>
  <si>
    <t>LEAD00107</t>
  </si>
  <si>
    <t>LEAD00108</t>
  </si>
  <si>
    <t>LEAD00109</t>
  </si>
  <si>
    <t>LEAD00110</t>
  </si>
  <si>
    <t>LEAD00111</t>
  </si>
  <si>
    <t>LEAD00112</t>
  </si>
  <si>
    <t>LEAD00113</t>
  </si>
  <si>
    <t>LEAD00114</t>
  </si>
  <si>
    <t>LEAD00115</t>
  </si>
  <si>
    <t>LEAD00116</t>
  </si>
  <si>
    <t>LEAD00117</t>
  </si>
  <si>
    <t>LEAD00118</t>
  </si>
  <si>
    <t>LEAD00119</t>
  </si>
  <si>
    <t>LEAD00120</t>
  </si>
  <si>
    <t>LEAD00121</t>
  </si>
  <si>
    <t>LEAD00122</t>
  </si>
  <si>
    <t>LEAD00123</t>
  </si>
  <si>
    <t>LEAD00124</t>
  </si>
  <si>
    <t>LEAD00125</t>
  </si>
  <si>
    <t>LEAD00126</t>
  </si>
  <si>
    <t>LEAD00127</t>
  </si>
  <si>
    <t>LEAD00128</t>
  </si>
  <si>
    <t>LEAD00129</t>
  </si>
  <si>
    <t>LEAD00130</t>
  </si>
  <si>
    <t>LEAD00131</t>
  </si>
  <si>
    <t>LEAD00132</t>
  </si>
  <si>
    <t>LEAD00133</t>
  </si>
  <si>
    <t>LEAD00134</t>
  </si>
  <si>
    <t>LEAD00135</t>
  </si>
  <si>
    <t>LEAD00136</t>
  </si>
  <si>
    <t>LEAD00137</t>
  </si>
  <si>
    <t>LEAD00138</t>
  </si>
  <si>
    <t>LEAD00139</t>
  </si>
  <si>
    <t>LEAD00140</t>
  </si>
  <si>
    <t>LEAD00141</t>
  </si>
  <si>
    <t>LEAD00142</t>
  </si>
  <si>
    <t>LEAD00143</t>
  </si>
  <si>
    <t>LEAD00144</t>
  </si>
  <si>
    <t>LEAD00145</t>
  </si>
  <si>
    <t>LEAD00146</t>
  </si>
  <si>
    <t>LEAD00147</t>
  </si>
  <si>
    <t>LEAD00148</t>
  </si>
  <si>
    <t>LEAD00149</t>
  </si>
  <si>
    <t>LEAD00150</t>
  </si>
  <si>
    <t>LEAD00151</t>
  </si>
  <si>
    <t>LEAD00152</t>
  </si>
  <si>
    <t>LEAD00153</t>
  </si>
  <si>
    <t>LEAD00154</t>
  </si>
  <si>
    <t>LEAD00155</t>
  </si>
  <si>
    <t>LEAD00156</t>
  </si>
  <si>
    <t>LEAD00157</t>
  </si>
  <si>
    <t>LEAD00158</t>
  </si>
  <si>
    <t>LEAD00159</t>
  </si>
  <si>
    <t>LEAD00160</t>
  </si>
  <si>
    <t>LEAD00161</t>
  </si>
  <si>
    <t>LEAD00162</t>
  </si>
  <si>
    <t>LEAD00163</t>
  </si>
  <si>
    <t>LEAD00164</t>
  </si>
  <si>
    <t>LEAD00165</t>
  </si>
  <si>
    <t>LEAD00166</t>
  </si>
  <si>
    <t>LEAD00167</t>
  </si>
  <si>
    <t>LEAD00168</t>
  </si>
  <si>
    <t>LEAD00169</t>
  </si>
  <si>
    <t>LEAD00170</t>
  </si>
  <si>
    <t>LEAD00171</t>
  </si>
  <si>
    <t>LEAD00172</t>
  </si>
  <si>
    <t>LEAD00173</t>
  </si>
  <si>
    <t>LEAD00174</t>
  </si>
  <si>
    <t>LEAD00175</t>
  </si>
  <si>
    <t>LEAD00176</t>
  </si>
  <si>
    <t>LEAD00177</t>
  </si>
  <si>
    <t>LEAD00178</t>
  </si>
  <si>
    <t>LEAD00179</t>
  </si>
  <si>
    <t>LEAD00180</t>
  </si>
  <si>
    <t>LEAD00181</t>
  </si>
  <si>
    <t>LEAD00182</t>
  </si>
  <si>
    <t>LEAD00183</t>
  </si>
  <si>
    <t>LEAD00184</t>
  </si>
  <si>
    <t>LEAD00185</t>
  </si>
  <si>
    <t>LEAD00186</t>
  </si>
  <si>
    <t>LEAD00187</t>
  </si>
  <si>
    <t>LEAD00188</t>
  </si>
  <si>
    <t>LEAD00189</t>
  </si>
  <si>
    <t>LEAD00190</t>
  </si>
  <si>
    <t>LEAD00191</t>
  </si>
  <si>
    <t>LEAD00192</t>
  </si>
  <si>
    <t>LEAD00193</t>
  </si>
  <si>
    <t>LEAD00194</t>
  </si>
  <si>
    <t>LEAD00195</t>
  </si>
  <si>
    <t>LEAD00196</t>
  </si>
  <si>
    <t>LEAD00197</t>
  </si>
  <si>
    <t>LEAD00198</t>
  </si>
  <si>
    <t>LEAD00199</t>
  </si>
  <si>
    <t>LEAD00200</t>
  </si>
  <si>
    <t>LEAD00201</t>
  </si>
  <si>
    <t>LEAD00202</t>
  </si>
  <si>
    <t>LEAD00203</t>
  </si>
  <si>
    <t>LEAD00204</t>
  </si>
  <si>
    <t>LEAD00205</t>
  </si>
  <si>
    <t>LEAD00206</t>
  </si>
  <si>
    <t>LEAD00207</t>
  </si>
  <si>
    <t>LEAD00208</t>
  </si>
  <si>
    <t>LEAD00209</t>
  </si>
  <si>
    <t>LEAD00210</t>
  </si>
  <si>
    <t>LEAD00211</t>
  </si>
  <si>
    <t>LEAD00212</t>
  </si>
  <si>
    <t>LEAD00213</t>
  </si>
  <si>
    <t>LEAD00214</t>
  </si>
  <si>
    <t>LEAD00215</t>
  </si>
  <si>
    <t>LEAD00216</t>
  </si>
  <si>
    <t>LEAD00217</t>
  </si>
  <si>
    <t>LEAD00218</t>
  </si>
  <si>
    <t>LEAD00219</t>
  </si>
  <si>
    <t>LEAD00220</t>
  </si>
  <si>
    <t>LEAD00221</t>
  </si>
  <si>
    <t>LEAD00222</t>
  </si>
  <si>
    <t>LEAD00223</t>
  </si>
  <si>
    <t>LEAD00224</t>
  </si>
  <si>
    <t>LEAD00225</t>
  </si>
  <si>
    <t>LEAD00226</t>
  </si>
  <si>
    <t>LEAD00227</t>
  </si>
  <si>
    <t>LEAD00228</t>
  </si>
  <si>
    <t>LEAD00229</t>
  </si>
  <si>
    <t>LEAD00230</t>
  </si>
  <si>
    <t>LEAD00231</t>
  </si>
  <si>
    <t>LEAD00232</t>
  </si>
  <si>
    <t>LEAD00233</t>
  </si>
  <si>
    <t>LEAD00234</t>
  </si>
  <si>
    <t>LEAD00235</t>
  </si>
  <si>
    <t>LEAD00236</t>
  </si>
  <si>
    <t>LEAD00237</t>
  </si>
  <si>
    <t>LEAD00238</t>
  </si>
  <si>
    <t>LEAD00239</t>
  </si>
  <si>
    <t>LEAD00240</t>
  </si>
  <si>
    <t>LEAD00241</t>
  </si>
  <si>
    <t>LEAD00242</t>
  </si>
  <si>
    <t>LEAD00243</t>
  </si>
  <si>
    <t>LEAD00244</t>
  </si>
  <si>
    <t>LEAD00245</t>
  </si>
  <si>
    <t>LEAD00246</t>
  </si>
  <si>
    <t>LEAD00247</t>
  </si>
  <si>
    <t>LEAD00248</t>
  </si>
  <si>
    <t>LEAD00249</t>
  </si>
  <si>
    <t>LEAD00250</t>
  </si>
  <si>
    <t>LEAD00251</t>
  </si>
  <si>
    <t>LEAD00252</t>
  </si>
  <si>
    <t>LEAD00253</t>
  </si>
  <si>
    <t>LEAD00254</t>
  </si>
  <si>
    <t>LEAD00255</t>
  </si>
  <si>
    <t>LEAD00256</t>
  </si>
  <si>
    <t>LEAD00257</t>
  </si>
  <si>
    <t>LEAD00258</t>
  </si>
  <si>
    <t>LEAD00259</t>
  </si>
  <si>
    <t>LEAD00260</t>
  </si>
  <si>
    <t>LEAD00261</t>
  </si>
  <si>
    <t>LEAD00262</t>
  </si>
  <si>
    <t>LEAD00263</t>
  </si>
  <si>
    <t>LEAD00264</t>
  </si>
  <si>
    <t>LEAD00265</t>
  </si>
  <si>
    <t>LEAD00266</t>
  </si>
  <si>
    <t>LEAD00267</t>
  </si>
  <si>
    <t>LEAD00268</t>
  </si>
  <si>
    <t>LEAD00269</t>
  </si>
  <si>
    <t>LEAD00270</t>
  </si>
  <si>
    <t>LEAD00271</t>
  </si>
  <si>
    <t>LEAD00272</t>
  </si>
  <si>
    <t>LEAD00273</t>
  </si>
  <si>
    <t>LEAD00274</t>
  </si>
  <si>
    <t>LEAD00275</t>
  </si>
  <si>
    <t>LEAD00276</t>
  </si>
  <si>
    <t>LEAD00277</t>
  </si>
  <si>
    <t>LEAD00278</t>
  </si>
  <si>
    <t>LEAD00279</t>
  </si>
  <si>
    <t>LEAD00280</t>
  </si>
  <si>
    <t>LEAD00281</t>
  </si>
  <si>
    <t>LEAD00282</t>
  </si>
  <si>
    <t>LEAD00283</t>
  </si>
  <si>
    <t>LEAD00284</t>
  </si>
  <si>
    <t>LEAD00285</t>
  </si>
  <si>
    <t>LEAD00286</t>
  </si>
  <si>
    <t>LEAD00287</t>
  </si>
  <si>
    <t>LEAD00288</t>
  </si>
  <si>
    <t>LEAD00289</t>
  </si>
  <si>
    <t>LEAD00290</t>
  </si>
  <si>
    <t>LEAD00291</t>
  </si>
  <si>
    <t>LEAD00292</t>
  </si>
  <si>
    <t>LEAD00293</t>
  </si>
  <si>
    <t>LEAD00294</t>
  </si>
  <si>
    <t>LEAD00295</t>
  </si>
  <si>
    <t>LEAD00296</t>
  </si>
  <si>
    <t>LEAD00297</t>
  </si>
  <si>
    <t>LEAD00298</t>
  </si>
  <si>
    <t>LEAD00299</t>
  </si>
  <si>
    <t>LEAD00300</t>
  </si>
  <si>
    <t>LEAD00301</t>
  </si>
  <si>
    <t>LEAD00302</t>
  </si>
  <si>
    <t>LEAD00303</t>
  </si>
  <si>
    <t>LEAD00304</t>
  </si>
  <si>
    <t>LEAD00305</t>
  </si>
  <si>
    <t>LEAD00306</t>
  </si>
  <si>
    <t>LEAD00307</t>
  </si>
  <si>
    <t>LEAD00308</t>
  </si>
  <si>
    <t>LEAD00309</t>
  </si>
  <si>
    <t>LEAD00310</t>
  </si>
  <si>
    <t>LEAD00311</t>
  </si>
  <si>
    <t>LEAD00312</t>
  </si>
  <si>
    <t>LEAD00313</t>
  </si>
  <si>
    <t>LEAD00314</t>
  </si>
  <si>
    <t>LEAD00315</t>
  </si>
  <si>
    <t>LEAD00316</t>
  </si>
  <si>
    <t>LEAD00317</t>
  </si>
  <si>
    <t>LEAD00318</t>
  </si>
  <si>
    <t>LEAD00319</t>
  </si>
  <si>
    <t>LEAD00320</t>
  </si>
  <si>
    <t>LEAD00321</t>
  </si>
  <si>
    <t>LEAD00322</t>
  </si>
  <si>
    <t>LEAD00323</t>
  </si>
  <si>
    <t>LEAD00324</t>
  </si>
  <si>
    <t>LEAD00325</t>
  </si>
  <si>
    <t>LEAD00326</t>
  </si>
  <si>
    <t>LEAD00327</t>
  </si>
  <si>
    <t>LEAD00328</t>
  </si>
  <si>
    <t>LEAD00329</t>
  </si>
  <si>
    <t>LEAD00330</t>
  </si>
  <si>
    <t>LEAD00331</t>
  </si>
  <si>
    <t>LEAD00332</t>
  </si>
  <si>
    <t>LEAD00333</t>
  </si>
  <si>
    <t>LEAD00334</t>
  </si>
  <si>
    <t>LEAD00335</t>
  </si>
  <si>
    <t>LEAD00336</t>
  </si>
  <si>
    <t>LEAD00337</t>
  </si>
  <si>
    <t>LEAD00338</t>
  </si>
  <si>
    <t>LEAD00339</t>
  </si>
  <si>
    <t>LEAD00340</t>
  </si>
  <si>
    <t>LEAD00341</t>
  </si>
  <si>
    <t>LEAD00342</t>
  </si>
  <si>
    <t>LEAD00343</t>
  </si>
  <si>
    <t>LEAD00344</t>
  </si>
  <si>
    <t>LEAD00345</t>
  </si>
  <si>
    <t>LEAD00346</t>
  </si>
  <si>
    <t>LEAD00347</t>
  </si>
  <si>
    <t>LEAD00348</t>
  </si>
  <si>
    <t>LEAD00349</t>
  </si>
  <si>
    <t>LEAD00350</t>
  </si>
  <si>
    <t>id_cliente</t>
  </si>
  <si>
    <t>status_cliente</t>
  </si>
  <si>
    <t>mrr_atual</t>
  </si>
  <si>
    <t>CLI00001</t>
  </si>
  <si>
    <t>Ativo</t>
  </si>
  <si>
    <t>CLI00002</t>
  </si>
  <si>
    <t>CLI00003</t>
  </si>
  <si>
    <t>CLI00004</t>
  </si>
  <si>
    <t>CLI00005</t>
  </si>
  <si>
    <t>CLI00006</t>
  </si>
  <si>
    <t>CLI00007</t>
  </si>
  <si>
    <t>CLI00008</t>
  </si>
  <si>
    <t>CLI00009</t>
  </si>
  <si>
    <t>CLI00010</t>
  </si>
  <si>
    <t>CLI00011</t>
  </si>
  <si>
    <t>CLI00012</t>
  </si>
  <si>
    <t>CLI00013</t>
  </si>
  <si>
    <t>CLI00014</t>
  </si>
  <si>
    <t>CLI00015</t>
  </si>
  <si>
    <t>CLI00016</t>
  </si>
  <si>
    <t>CLI00017</t>
  </si>
  <si>
    <t>CLI00018</t>
  </si>
  <si>
    <t>CLI00019</t>
  </si>
  <si>
    <t>CLI00020</t>
  </si>
  <si>
    <t>CLI00021</t>
  </si>
  <si>
    <t>CLI00022</t>
  </si>
  <si>
    <t>CLI00023</t>
  </si>
  <si>
    <t>CLI00024</t>
  </si>
  <si>
    <t>CLI00025</t>
  </si>
  <si>
    <t>CLI00026</t>
  </si>
  <si>
    <t>CLI00027</t>
  </si>
  <si>
    <t>CLI00028</t>
  </si>
  <si>
    <t>CLI00029</t>
  </si>
  <si>
    <t>CLI00030</t>
  </si>
  <si>
    <t>CLI00031</t>
  </si>
  <si>
    <t>CLI00032</t>
  </si>
  <si>
    <t>CLI00033</t>
  </si>
  <si>
    <t>CLI00034</t>
  </si>
  <si>
    <t>CLI00035</t>
  </si>
  <si>
    <t>CLI00036</t>
  </si>
  <si>
    <t>CLI00037</t>
  </si>
  <si>
    <t>CLI00038</t>
  </si>
  <si>
    <t>CLI00039</t>
  </si>
  <si>
    <t>CLI00040</t>
  </si>
  <si>
    <t>CLI00041</t>
  </si>
  <si>
    <t>CLI00042</t>
  </si>
  <si>
    <t>CLI00043</t>
  </si>
  <si>
    <t>CLI00044</t>
  </si>
  <si>
    <t>CLI00045</t>
  </si>
  <si>
    <t>CLI00046</t>
  </si>
  <si>
    <t>CLI00047</t>
  </si>
  <si>
    <t>CLI00048</t>
  </si>
  <si>
    <t>CLI00049</t>
  </si>
  <si>
    <t>CLI00050</t>
  </si>
  <si>
    <t>CLI00051</t>
  </si>
  <si>
    <t>CLI00052</t>
  </si>
  <si>
    <t>CLI00053</t>
  </si>
  <si>
    <t>CLI00054</t>
  </si>
  <si>
    <t>CLI00055</t>
  </si>
  <si>
    <t>CLI00056</t>
  </si>
  <si>
    <t>CLI00057</t>
  </si>
  <si>
    <t>CLI00058</t>
  </si>
  <si>
    <t>CLI00059</t>
  </si>
  <si>
    <t>CLI00060</t>
  </si>
  <si>
    <t>CLI00061</t>
  </si>
  <si>
    <t>CLI00062</t>
  </si>
  <si>
    <t>CLI00063</t>
  </si>
  <si>
    <t>CLI00064</t>
  </si>
  <si>
    <t>CLI00065</t>
  </si>
  <si>
    <t>CLI00066</t>
  </si>
  <si>
    <t>CLI00067</t>
  </si>
  <si>
    <t>CLI00068</t>
  </si>
  <si>
    <t>CLI00069</t>
  </si>
  <si>
    <t>CLI00070</t>
  </si>
  <si>
    <t>CLI00071</t>
  </si>
  <si>
    <t>CLI00072</t>
  </si>
  <si>
    <t>CLI00073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</si>
</sst>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&quot;x&quot;"/>
    <numFmt numFmtId="166" formatCode="0.0&quot;x&quot;"/>
    <numFmt numFmtId="168" formatCode="0.0"/>
    <numFmt numFmtId="169" formatCode="\R\$\ #,##0"/>
    <numFmt numFmtId="170" formatCode="\+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A5F"/>
      <name val="Calibri"/>
    </font>
    <font>
      <b/>
      <sz val="11"/>
      <color rgb="FF1F3A5F"/>
      <name val="Calibri"/>
    </font>
    <font>
      <b/>
      <sz val="11"/>
      <color rgb="FFC000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1" fontId="0" fillId="3" borderId="0" xfId="0" applyNumberFormat="1" applyFill="1"/>
    <xf numFmtId="0" fontId="0" fillId="3" borderId="0" xfId="0" applyFill="1"/>
    <xf numFmtId="9" fontId="0" fillId="3" borderId="0" xfId="0" applyNumberFormat="1" applyFill="1"/>
    <xf numFmtId="170" fontId="0" fillId="3" borderId="0" xfId="0" applyNumberFormat="1" applyFill="1"/>
    <xf numFmtId="169" fontId="0" fillId="3" borderId="0" xfId="0" applyNumberFormat="1" applyFill="1"/>
    <xf numFmtId="168" fontId="0" fillId="3" borderId="0" xfId="0" applyNumberFormat="1" applyFill="1"/>
    <xf numFmtId="164" fontId="0" fillId="3" borderId="0" xfId="0" applyNumberFormat="1" applyFill="1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6" fontId="0" fillId="3" borderId="0" xfId="0" applyNumberFormat="1" applyFill="1"/>
    <xf numFmtId="0" fontId="4" fillId="0" borderId="0" xfId="0" applyFont="1"/>
    <xf numFmtId="164" fontId="0" fillId="0" borderId="0" xfId="0" applyNumberFormat="1"/>
    <xf numFmtId="166" fontId="0" fillId="0" borderId="0" xfId="0" applyNumberFormat="1"/>
    <xf numFmtId="0" fontId="5" fillId="0" borderId="0" xfId="0" applyFont="1"/>
    <xf numFmtId="9" fontId="5" fillId="0" borderId="0" xfId="0" applyNumberFormat="1" applyFont="1"/>
    <xf numFmtId="166" fontId="5" fillId="0" borderId="0" xfId="0" applyNumberFormat="1" applyFont="1"/>
    <xf numFmtId="1" fontId="5" fillId="0" borderId="0" xfId="0" applyNumberFormat="1" applyFont="1"/>
    <xf numFmtId="168" fontId="0" fillId="0" borderId="0" xfId="0" applyNumberFormat="1"/>
    <xf numFmtId="9" fontId="0" fillId="4" borderId="0" xfId="0" applyNumberFormat="1" applyFill="1"/>
    <xf numFmtId="165" fontId="0" fillId="0" borderId="0" xfId="0" applyNumberFormat="1"/>
    <xf numFmtId="169" fontId="0" fillId="4" borderId="0" xfId="0" applyNumberFormat="1" applyFill="1"/>
    <xf numFmtId="16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Amplitude da taxa de conversão por variável (p.p.)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Drivers!$I$5</c:f>
              <c:strCache>
                <c:ptCount val="1"/>
                <c:pt idx="0">
                  <c:v>Amplitude (p.p.)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Drivers!$H$6:$H$14</c:f>
              <c:strCache>
                <c:ptCount val="9"/>
                <c:pt idx="0">
                  <c:v>Nº de clientes da carteira</c:v>
                </c:pt>
                <c:pt idx="1">
                  <c:v>Nº de funcionários</c:v>
                </c:pt>
                <c:pt idx="2">
                  <c:v>Porte</c:v>
                </c:pt>
                <c:pt idx="3">
                  <c:v>ERP atual</c:v>
                </c:pt>
                <c:pt idx="4">
                  <c:v>Anos de mercado</c:v>
                </c:pt>
                <c:pt idx="5">
                  <c:v>Região</c:v>
                </c:pt>
                <c:pt idx="6">
                  <c:v>Segmento</c:v>
                </c:pt>
                <c:pt idx="7">
                  <c:v>Tem site</c:v>
                </c:pt>
                <c:pt idx="8">
                  <c:v>LinkedIn</c:v>
                </c:pt>
              </c:strCache>
            </c:strRef>
          </c:cat>
          <c:val>
            <c:numRef>
              <c:f>Drivers!$I$6:$I$14</c:f>
              <c:numCache>
                <c:formatCode>0</c:formatCode>
                <c:ptCount val="9"/>
                <c:pt idx="0">
                  <c:v>87.628865979381445</c:v>
                </c:pt>
                <c:pt idx="1">
                  <c:v>88.593481989708408</c:v>
                </c:pt>
                <c:pt idx="2">
                  <c:v>93.172690763052216</c:v>
                </c:pt>
                <c:pt idx="3">
                  <c:v>58.695652173913047</c:v>
                </c:pt>
                <c:pt idx="4">
                  <c:v>34.332145933738452</c:v>
                </c:pt>
                <c:pt idx="5">
                  <c:v>22.833649588867804</c:v>
                </c:pt>
                <c:pt idx="6">
                  <c:v>19.230167422938504</c:v>
                </c:pt>
                <c:pt idx="7">
                  <c:v>11.258710053890781</c:v>
                </c:pt>
                <c:pt idx="8">
                  <c:v>0.5669001192852352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A-4EBF-AC8B-AC4C9C120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/>
  </sheetViews>
  <sheetFormatPr defaultRowHeight="15" x14ac:dyDescent="0.25"/>
  <cols>
    <col min="1" max="1" width="120" customWidth="1"/>
    <col min="2" max="2" width="16" customWidth="1"/>
  </cols>
  <sheetData>
    <row r="1" spans="1:2" ht="18.75" x14ac:dyDescent="0.25">
      <c r="A1" s="1" t="s">
        <v>0</v>
      </c>
    </row>
    <row r="2" spans="1:2" ht="45" x14ac:dyDescent="0.25">
      <c r="A2" s="2" t="s">
        <v>1</v>
      </c>
    </row>
    <row r="3" spans="1:2" x14ac:dyDescent="0.25">
      <c r="A3" s="2"/>
    </row>
    <row r="4" spans="1:2" x14ac:dyDescent="0.25">
      <c r="A4" s="3" t="s">
        <v>2</v>
      </c>
    </row>
    <row r="5" spans="1:2" ht="30" x14ac:dyDescent="0.25">
      <c r="A5" s="2" t="s">
        <v>3</v>
      </c>
    </row>
    <row r="6" spans="1:2" x14ac:dyDescent="0.25">
      <c r="A6" s="2" t="s">
        <v>4</v>
      </c>
    </row>
    <row r="7" spans="1:2" x14ac:dyDescent="0.25">
      <c r="A7" s="2" t="s">
        <v>5</v>
      </c>
      <c r="B7" s="4">
        <f>COUNTIFS(Base!$AB$2:$AB$601,"Alta",Base!$S$2:$S$601,1)</f>
        <v>14</v>
      </c>
    </row>
    <row r="8" spans="1:2" x14ac:dyDescent="0.25">
      <c r="A8" s="2" t="s">
        <v>6</v>
      </c>
    </row>
    <row r="9" spans="1:2" x14ac:dyDescent="0.25">
      <c r="A9" s="2"/>
    </row>
    <row r="10" spans="1:2" x14ac:dyDescent="0.25">
      <c r="A10" s="3" t="s">
        <v>7</v>
      </c>
    </row>
    <row r="11" spans="1:2" x14ac:dyDescent="0.25">
      <c r="A11" s="2" t="s">
        <v>8</v>
      </c>
      <c r="B11" s="5" t="str">
        <f>Como_Avaliar!C5</f>
        <v>91% · 29% · 3%</v>
      </c>
    </row>
    <row r="12" spans="1:2" x14ac:dyDescent="0.25">
      <c r="A12" s="2" t="s">
        <v>9</v>
      </c>
      <c r="B12" s="6">
        <f>Como_Avaliar!C6</f>
        <v>0.69166666666666665</v>
      </c>
    </row>
    <row r="13" spans="1:2" x14ac:dyDescent="0.25">
      <c r="A13" s="2" t="s">
        <v>10</v>
      </c>
      <c r="B13" s="5" t="str">
        <f>Como_Avaliar!C7</f>
        <v>60% × 65%</v>
      </c>
    </row>
    <row r="14" spans="1:2" x14ac:dyDescent="0.25">
      <c r="A14" s="2" t="s">
        <v>11</v>
      </c>
      <c r="B14" s="5" t="str">
        <f>Como_Avaliar!C10</f>
        <v>36 × 48 dias</v>
      </c>
    </row>
    <row r="15" spans="1:2" ht="30" x14ac:dyDescent="0.25">
      <c r="A15" s="2" t="s">
        <v>12</v>
      </c>
    </row>
    <row r="16" spans="1:2" x14ac:dyDescent="0.25">
      <c r="A16" s="2"/>
    </row>
    <row r="17" spans="1:2" x14ac:dyDescent="0.25">
      <c r="A17" s="3" t="s">
        <v>13</v>
      </c>
    </row>
    <row r="18" spans="1:2" x14ac:dyDescent="0.25">
      <c r="A18" t="str">
        <f>"1. "&amp;INDEX(Drivers!$H$6:$H$14,MATCH(1,Drivers!$J$6:$J$14,0))&amp;" — "&amp;FIXED(INDEX(Drivers!$I$6:$I$14,MATCH(1,Drivers!$J$6:$J$14,0)),0)&amp;" p.p.: Médio e Grande convertem 94–100%; Autônomo 7%"</f>
        <v>1. Porte — 93 p.p.: Médio e Grande convertem 94–100%; Autônomo 7%</v>
      </c>
    </row>
    <row r="19" spans="1:2" x14ac:dyDescent="0.25">
      <c r="A19" t="str">
        <f>"2. "&amp;INDEX(Drivers!$H$6:$H$14,MATCH(2,Drivers!$J$6:$J$14,0))&amp;" — "&amp;FIXED(INDEX(Drivers!$I$6:$I$14,MATCH(2,Drivers!$J$6:$J$14,0)),0)&amp;" p.p.: de ~9% (1 a 2 funcionários) a ~97% (16+)"</f>
        <v>2. Nº de funcionários — 89 p.p.: de ~9% (1 a 2 funcionários) a ~97% (16+)</v>
      </c>
    </row>
    <row r="20" spans="1:2" x14ac:dyDescent="0.25">
      <c r="A20" t="str">
        <f>"3. "&amp;INDEX(Drivers!$H$6:$H$14,MATCH(3,Drivers!$J$6:$J$14,0))&amp;" — "&amp;FIXED(INDEX(Drivers!$I$6:$I$14,MATCH(3,Drivers!$J$6:$J$14,0)),0)&amp;" p.p.: de ~10% (&lt; 20 clientes) a ~98% (150+); é também o Fit do 1c e do Desafio 3"</f>
        <v>3. Nº de clientes da carteira — 88 p.p.: de ~10% (&lt; 20 clientes) a ~98% (150+); é também o Fit do 1c e do Desafio 3</v>
      </c>
    </row>
    <row r="21" spans="1:2" x14ac:dyDescent="0.25">
      <c r="A21" t="str">
        <f>"4. "&amp;INDEX(Drivers!$H$6:$H$14,MATCH(4,Drivers!$J$6:$J$14,0))&amp;" — "&amp;FIXED(INDEX(Drivers!$I$6:$I$14,MATCH(4,Drivers!$J$6:$J$14,0)),0)&amp;" p.p.: ERP de mercado converte muito mais que planilha, nenhum ou ContaAzul"</f>
        <v>4. ERP atual — 59 p.p.: ERP de mercado converte muito mais que planilha, nenhum ou ContaAzul</v>
      </c>
    </row>
    <row r="22" spans="1:2" x14ac:dyDescent="0.25">
      <c r="A22" t="str">
        <f>"5. "&amp;INDEX(Drivers!$H$6:$H$14,MATCH(5,Drivers!$J$6:$J$14,0))&amp;" — "&amp;FIXED(INDEX(Drivers!$I$6:$I$14,MATCH(5,Drivers!$J$6:$J$14,0)),0)&amp;" p.p.: 16+ anos convertem mais que o dobro dos com &lt; 8 anos"</f>
        <v>5. Anos de mercado — 34 p.p.: 16+ anos convertem mais que o dobro dos com &lt; 8 anos</v>
      </c>
    </row>
    <row r="23" spans="1:2" ht="30" x14ac:dyDescent="0.25">
      <c r="A23" s="2" t="s">
        <v>14</v>
      </c>
    </row>
    <row r="24" spans="1:2" x14ac:dyDescent="0.25">
      <c r="A24" s="2"/>
    </row>
    <row r="25" spans="1:2" x14ac:dyDescent="0.25">
      <c r="A25" s="3" t="s">
        <v>15</v>
      </c>
    </row>
    <row r="26" spans="1:2" x14ac:dyDescent="0.25">
      <c r="A26" s="2" t="s">
        <v>16</v>
      </c>
      <c r="B26" s="7">
        <f>Impacto_nMRR!C23</f>
        <v>0.25355191256830606</v>
      </c>
    </row>
    <row r="27" spans="1:2" x14ac:dyDescent="0.25">
      <c r="A27" s="2" t="s">
        <v>17</v>
      </c>
      <c r="B27" s="5" t="str">
        <f>FIXED(Impacto_nMRR!B23*100,0)&amp;"% a "&amp;FIXED(Impacto_nMRR!D23*100,0)&amp;"%"</f>
        <v>10% a 46%</v>
      </c>
    </row>
    <row r="28" spans="1:2" x14ac:dyDescent="0.25">
      <c r="A28" s="2" t="s">
        <v>18</v>
      </c>
      <c r="B28" s="8">
        <f>Impacto_nMRR!C24</f>
        <v>31440.437158469951</v>
      </c>
    </row>
    <row r="29" spans="1:2" ht="30" x14ac:dyDescent="0.25">
      <c r="A29" s="2" t="s">
        <v>19</v>
      </c>
    </row>
    <row r="30" spans="1:2" x14ac:dyDescent="0.25">
      <c r="A30" s="2" t="s">
        <v>20</v>
      </c>
    </row>
    <row r="31" spans="1:2" x14ac:dyDescent="0.25">
      <c r="A31" s="2"/>
    </row>
    <row r="32" spans="1:2" x14ac:dyDescent="0.25">
      <c r="A32" s="3" t="s">
        <v>21</v>
      </c>
    </row>
    <row r="33" spans="1:2" x14ac:dyDescent="0.25">
      <c r="A33" s="2" t="s">
        <v>22</v>
      </c>
      <c r="B33" s="9">
        <f>Previsao_Receita!D18</f>
        <v>6.8686176567130426</v>
      </c>
    </row>
    <row r="34" spans="1:2" x14ac:dyDescent="0.25">
      <c r="A34" s="2" t="s">
        <v>23</v>
      </c>
      <c r="B34" s="9">
        <f>Previsao_Receita!B29</f>
        <v>8.1111111111111107</v>
      </c>
    </row>
    <row r="35" spans="1:2" x14ac:dyDescent="0.25">
      <c r="A35" s="2" t="s">
        <v>24</v>
      </c>
      <c r="B35" s="8">
        <f>Previsao_Receita!B22</f>
        <v>5597.2365284554598</v>
      </c>
    </row>
    <row r="36" spans="1:2" x14ac:dyDescent="0.25">
      <c r="A36" s="2" t="s">
        <v>25</v>
      </c>
      <c r="B36" s="10">
        <f>Previsao_Receita!B47</f>
        <v>9.2744271026879745E-3</v>
      </c>
    </row>
    <row r="37" spans="1:2" ht="30" x14ac:dyDescent="0.25">
      <c r="A37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workbookViewId="0"/>
  </sheetViews>
  <sheetFormatPr defaultRowHeight="15" x14ac:dyDescent="0.25"/>
  <cols>
    <col min="1" max="1" width="26" customWidth="1"/>
    <col min="2" max="2" width="20" customWidth="1"/>
    <col min="3" max="4" width="11" customWidth="1"/>
    <col min="5" max="5" width="9" customWidth="1"/>
    <col min="6" max="6" width="11" customWidth="1"/>
    <col min="7" max="7" width="3" customWidth="1"/>
    <col min="8" max="8" width="32" customWidth="1"/>
    <col min="9" max="9" width="15" customWidth="1"/>
    <col min="10" max="13" width="14" customWidth="1"/>
  </cols>
  <sheetData>
    <row r="1" spans="1:10" ht="18.75" x14ac:dyDescent="0.3">
      <c r="A1" s="11" t="s">
        <v>27</v>
      </c>
    </row>
    <row r="2" spans="1:10" x14ac:dyDescent="0.25">
      <c r="A2" t="s">
        <v>28</v>
      </c>
    </row>
    <row r="3" spans="1:10" x14ac:dyDescent="0.25">
      <c r="A3" t="s">
        <v>29</v>
      </c>
      <c r="B3" s="10">
        <f>AVERAGE(Base!$M$2:$M$601)</f>
        <v>0.4</v>
      </c>
    </row>
    <row r="4" spans="1:10" ht="30" x14ac:dyDescent="0.25">
      <c r="A4" s="12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H4" s="13" t="s">
        <v>36</v>
      </c>
    </row>
    <row r="5" spans="1:10" ht="30" x14ac:dyDescent="0.25">
      <c r="A5" s="14" t="s">
        <v>37</v>
      </c>
      <c r="B5" s="14" t="s">
        <v>38</v>
      </c>
      <c r="C5" s="14">
        <f>COUNTIF(Base!$O$2:$O$601,B5)</f>
        <v>194</v>
      </c>
      <c r="D5" s="14">
        <f>COUNTIFS(Base!$O$2:$O$601,B5,Base!$M$2:$M$601,1)</f>
        <v>20</v>
      </c>
      <c r="E5" s="15">
        <f>IF(C5&gt;0,D5/C5,0)</f>
        <v>0.10309278350515463</v>
      </c>
      <c r="F5" s="16">
        <f>E5/$B$3</f>
        <v>0.25773195876288657</v>
      </c>
      <c r="H5" s="12" t="s">
        <v>30</v>
      </c>
      <c r="I5" s="12" t="s">
        <v>39</v>
      </c>
      <c r="J5" s="12" t="s">
        <v>40</v>
      </c>
    </row>
    <row r="6" spans="1:10" x14ac:dyDescent="0.25">
      <c r="A6" s="14" t="s">
        <v>37</v>
      </c>
      <c r="B6" s="14" t="s">
        <v>41</v>
      </c>
      <c r="C6" s="14">
        <f>COUNTIF(Base!$O$2:$O$601,B6)</f>
        <v>170</v>
      </c>
      <c r="D6" s="14">
        <f>COUNTIFS(Base!$O$2:$O$601,B6,Base!$M$2:$M$601,1)</f>
        <v>43</v>
      </c>
      <c r="E6" s="15">
        <f>IF(C6&gt;0,D6/C6,0)</f>
        <v>0.25294117647058822</v>
      </c>
      <c r="F6" s="16">
        <f>E6/$B$3</f>
        <v>0.63235294117647056</v>
      </c>
      <c r="H6" t="s">
        <v>37</v>
      </c>
      <c r="I6" s="17">
        <f>(_xlfn.MAXIFS(E5:E8,C5:C8,"&gt;=30")-_xlfn.MINIFS(E5:E8,C5:C8,"&gt;=30"))*100</f>
        <v>87.628865979381445</v>
      </c>
      <c r="J6">
        <f t="shared" ref="J6:J14" si="0">RANK(I6,$I$6:$I$14)</f>
        <v>3</v>
      </c>
    </row>
    <row r="7" spans="1:10" x14ac:dyDescent="0.25">
      <c r="A7" s="14" t="s">
        <v>37</v>
      </c>
      <c r="B7" s="14" t="s">
        <v>42</v>
      </c>
      <c r="C7" s="14">
        <f>COUNTIF(Base!$O$2:$O$601,B7)</f>
        <v>139</v>
      </c>
      <c r="D7" s="14">
        <f>COUNTIFS(Base!$O$2:$O$601,B7,Base!$M$2:$M$601,1)</f>
        <v>82</v>
      </c>
      <c r="E7" s="15">
        <f>IF(C7&gt;0,D7/C7,0)</f>
        <v>0.58992805755395683</v>
      </c>
      <c r="F7" s="16">
        <f>E7/$B$3</f>
        <v>1.474820143884892</v>
      </c>
      <c r="H7" t="s">
        <v>43</v>
      </c>
      <c r="I7" s="17">
        <f>(_xlfn.MAXIFS(E10:E13,C10:C13,"&gt;=30")-_xlfn.MINIFS(E10:E13,C10:C13,"&gt;=30"))*100</f>
        <v>88.593481989708408</v>
      </c>
      <c r="J7">
        <f t="shared" si="0"/>
        <v>2</v>
      </c>
    </row>
    <row r="8" spans="1:10" x14ac:dyDescent="0.25">
      <c r="A8" s="14" t="s">
        <v>37</v>
      </c>
      <c r="B8" s="14" t="s">
        <v>44</v>
      </c>
      <c r="C8" s="14">
        <f>COUNTIF(Base!$O$2:$O$601,B8)</f>
        <v>97</v>
      </c>
      <c r="D8" s="14">
        <f>COUNTIFS(Base!$O$2:$O$601,B8,Base!$M$2:$M$601,1)</f>
        <v>95</v>
      </c>
      <c r="E8" s="15">
        <f>IF(C8&gt;0,D8/C8,0)</f>
        <v>0.97938144329896903</v>
      </c>
      <c r="F8" s="16">
        <f>E8/$B$3</f>
        <v>2.4484536082474224</v>
      </c>
      <c r="H8" t="s">
        <v>45</v>
      </c>
      <c r="I8" s="17">
        <f>(_xlfn.MAXIFS(E15:E18,C15:C18,"&gt;=30")-_xlfn.MINIFS(E15:E18,C15:C18,"&gt;=30"))*100</f>
        <v>93.172690763052216</v>
      </c>
      <c r="J8">
        <f t="shared" si="0"/>
        <v>1</v>
      </c>
    </row>
    <row r="9" spans="1:10" x14ac:dyDescent="0.25">
      <c r="H9" t="s">
        <v>46</v>
      </c>
      <c r="I9" s="17">
        <f>(_xlfn.MAXIFS(E20:E27,C20:C27,"&gt;=30")-_xlfn.MINIFS(E20:E27,C20:C27,"&gt;=30"))*100</f>
        <v>58.695652173913047</v>
      </c>
      <c r="J9">
        <f t="shared" si="0"/>
        <v>4</v>
      </c>
    </row>
    <row r="10" spans="1:10" x14ac:dyDescent="0.25">
      <c r="A10" s="14" t="s">
        <v>43</v>
      </c>
      <c r="B10" s="14" t="s">
        <v>47</v>
      </c>
      <c r="C10" s="14">
        <f>COUNTIF(Base!$P$2:$P$601,B10)</f>
        <v>265</v>
      </c>
      <c r="D10" s="14">
        <f>COUNTIFS(Base!$P$2:$P$601,B10,Base!$M$2:$M$601,1)</f>
        <v>23</v>
      </c>
      <c r="E10" s="15">
        <f>IF(C10&gt;0,D10/C10,0)</f>
        <v>8.6792452830188674E-2</v>
      </c>
      <c r="F10" s="16">
        <f>E10/$B$3</f>
        <v>0.21698113207547168</v>
      </c>
      <c r="H10" t="s">
        <v>48</v>
      </c>
      <c r="I10" s="17">
        <f>(_xlfn.MAXIFS(E29:E31,C29:C31,"&gt;=30")-_xlfn.MINIFS(E29:E31,C29:C31,"&gt;=30"))*100</f>
        <v>34.332145933738452</v>
      </c>
      <c r="J10">
        <f t="shared" si="0"/>
        <v>5</v>
      </c>
    </row>
    <row r="11" spans="1:10" x14ac:dyDescent="0.25">
      <c r="A11" s="14" t="s">
        <v>43</v>
      </c>
      <c r="B11" s="14" t="s">
        <v>49</v>
      </c>
      <c r="C11" s="14">
        <f>COUNTIF(Base!$P$2:$P$601,B11)</f>
        <v>84</v>
      </c>
      <c r="D11" s="14">
        <f>COUNTIFS(Base!$P$2:$P$601,B11,Base!$M$2:$M$601,1)</f>
        <v>32</v>
      </c>
      <c r="E11" s="15">
        <f>IF(C11&gt;0,D11/C11,0)</f>
        <v>0.38095238095238093</v>
      </c>
      <c r="F11" s="16">
        <f>E11/$B$3</f>
        <v>0.95238095238095233</v>
      </c>
      <c r="H11" t="s">
        <v>50</v>
      </c>
      <c r="I11" s="17">
        <f>(_xlfn.MAXIFS(E34:E38,C34:C38,"&gt;=30")-_xlfn.MINIFS(E34:E38,C34:C38,"&gt;=30"))*100</f>
        <v>22.833649588867804</v>
      </c>
      <c r="J11">
        <f t="shared" si="0"/>
        <v>6</v>
      </c>
    </row>
    <row r="12" spans="1:10" x14ac:dyDescent="0.25">
      <c r="A12" s="14" t="s">
        <v>43</v>
      </c>
      <c r="B12" s="14" t="s">
        <v>51</v>
      </c>
      <c r="C12" s="14">
        <f>COUNTIF(Base!$P$2:$P$601,B12)</f>
        <v>141</v>
      </c>
      <c r="D12" s="14">
        <f>COUNTIFS(Base!$P$2:$P$601,B12,Base!$M$2:$M$601,1)</f>
        <v>78</v>
      </c>
      <c r="E12" s="15">
        <f>IF(C12&gt;0,D12/C12,0)</f>
        <v>0.55319148936170215</v>
      </c>
      <c r="F12" s="16">
        <f>E12/$B$3</f>
        <v>1.3829787234042552</v>
      </c>
      <c r="H12" t="s">
        <v>52</v>
      </c>
      <c r="I12" s="17">
        <f>(_xlfn.MAXIFS(E40:E46,C40:C46,"&gt;=30")-_xlfn.MINIFS(E40:E46,C40:C46,"&gt;=30"))*100</f>
        <v>19.230167422938504</v>
      </c>
      <c r="J12">
        <f t="shared" si="0"/>
        <v>7</v>
      </c>
    </row>
    <row r="13" spans="1:10" x14ac:dyDescent="0.25">
      <c r="A13" s="14" t="s">
        <v>43</v>
      </c>
      <c r="B13" s="14" t="s">
        <v>53</v>
      </c>
      <c r="C13" s="14">
        <f>COUNTIF(Base!$P$2:$P$601,B13)</f>
        <v>110</v>
      </c>
      <c r="D13" s="14">
        <f>COUNTIFS(Base!$P$2:$P$601,B13,Base!$M$2:$M$601,1)</f>
        <v>107</v>
      </c>
      <c r="E13" s="15">
        <f>IF(C13&gt;0,D13/C13,0)</f>
        <v>0.97272727272727277</v>
      </c>
      <c r="F13" s="16">
        <f>E13/$B$3</f>
        <v>2.4318181818181817</v>
      </c>
      <c r="H13" t="s">
        <v>54</v>
      </c>
      <c r="I13" s="17">
        <f>(_xlfn.MAXIFS(E48:E49,C48:C49,"&gt;=30")-_xlfn.MINIFS(E48:E49,C48:C49,"&gt;=30"))*100</f>
        <v>11.258710053890781</v>
      </c>
      <c r="J13">
        <f t="shared" si="0"/>
        <v>8</v>
      </c>
    </row>
    <row r="14" spans="1:10" x14ac:dyDescent="0.25">
      <c r="H14" t="s">
        <v>55</v>
      </c>
      <c r="I14" s="17">
        <f>(_xlfn.MAXIFS(E51:E52,C51:C52,"&gt;=30")-_xlfn.MINIFS(E51:E52,C51:C52,"&gt;=30"))*100</f>
        <v>0.5669001192852352</v>
      </c>
      <c r="J14">
        <f t="shared" si="0"/>
        <v>9</v>
      </c>
    </row>
    <row r="15" spans="1:10" x14ac:dyDescent="0.25">
      <c r="A15" s="14" t="s">
        <v>45</v>
      </c>
      <c r="B15" s="14" t="s">
        <v>56</v>
      </c>
      <c r="C15" s="14">
        <f>COUNTIF(Base!$D$2:$D$601,B15)</f>
        <v>249</v>
      </c>
      <c r="D15" s="14">
        <f>COUNTIFS(Base!$D$2:$D$601,B15,Base!$M$2:$M$601,1)</f>
        <v>17</v>
      </c>
      <c r="E15" s="15">
        <f>IF(C15&gt;0,D15/C15,0)</f>
        <v>6.8273092369477914E-2</v>
      </c>
      <c r="F15" s="16">
        <f>E15/$B$3</f>
        <v>0.17068273092369476</v>
      </c>
    </row>
    <row r="16" spans="1:10" x14ac:dyDescent="0.25">
      <c r="A16" s="14" t="s">
        <v>45</v>
      </c>
      <c r="B16" s="14" t="s">
        <v>57</v>
      </c>
      <c r="C16" s="14">
        <f>COUNTIF(Base!$D$2:$D$601,B16)</f>
        <v>49</v>
      </c>
      <c r="D16" s="14">
        <f>COUNTIFS(Base!$D$2:$D$601,B16,Base!$M$2:$M$601,1)</f>
        <v>49</v>
      </c>
      <c r="E16" s="15">
        <f>IF(C16&gt;0,D16/C16,0)</f>
        <v>1</v>
      </c>
      <c r="F16" s="16">
        <f>E16/$B$3</f>
        <v>2.5</v>
      </c>
    </row>
    <row r="17" spans="1:13" x14ac:dyDescent="0.25">
      <c r="A17" s="14" t="s">
        <v>45</v>
      </c>
      <c r="B17" s="14" t="s">
        <v>58</v>
      </c>
      <c r="C17" s="14">
        <f>COUNTIF(Base!$D$2:$D$601,B17)</f>
        <v>83</v>
      </c>
      <c r="D17" s="14">
        <f>COUNTIFS(Base!$D$2:$D$601,B17,Base!$M$2:$M$601,1)</f>
        <v>78</v>
      </c>
      <c r="E17" s="15">
        <f>IF(C17&gt;0,D17/C17,0)</f>
        <v>0.93975903614457834</v>
      </c>
      <c r="F17" s="16">
        <f>E17/$B$3</f>
        <v>2.3493975903614457</v>
      </c>
    </row>
    <row r="18" spans="1:13" x14ac:dyDescent="0.25">
      <c r="A18" s="14" t="s">
        <v>45</v>
      </c>
      <c r="B18" s="14" t="s">
        <v>59</v>
      </c>
      <c r="C18" s="14">
        <f>COUNTIF(Base!$D$2:$D$601,B18)</f>
        <v>219</v>
      </c>
      <c r="D18" s="14">
        <f>COUNTIFS(Base!$D$2:$D$601,B18,Base!$M$2:$M$601,1)</f>
        <v>96</v>
      </c>
      <c r="E18" s="15">
        <f>IF(C18&gt;0,D18/C18,0)</f>
        <v>0.43835616438356162</v>
      </c>
      <c r="F18" s="16">
        <f>E18/$B$3</f>
        <v>1.095890410958904</v>
      </c>
    </row>
    <row r="20" spans="1:13" x14ac:dyDescent="0.25">
      <c r="A20" s="14" t="s">
        <v>46</v>
      </c>
      <c r="B20" s="14" t="s">
        <v>60</v>
      </c>
      <c r="C20" s="14">
        <f>COUNTIF(Base!$I$2:$I$601,B20)</f>
        <v>46</v>
      </c>
      <c r="D20" s="14">
        <f>COUNTIFS(Base!$I$2:$I$601,B20,Base!$M$2:$M$601,1)</f>
        <v>30</v>
      </c>
      <c r="E20" s="15">
        <f t="shared" ref="E20:E27" si="1">IF(C20&gt;0,D20/C20,0)</f>
        <v>0.65217391304347827</v>
      </c>
      <c r="F20" s="16">
        <f t="shared" ref="F20:F27" si="2">E20/$B$3</f>
        <v>1.6304347826086956</v>
      </c>
    </row>
    <row r="21" spans="1:13" x14ac:dyDescent="0.25">
      <c r="A21" s="14" t="s">
        <v>46</v>
      </c>
      <c r="B21" s="14" t="s">
        <v>61</v>
      </c>
      <c r="C21" s="14">
        <f>COUNTIF(Base!$I$2:$I$601,B21)</f>
        <v>19</v>
      </c>
      <c r="D21" s="14">
        <f>COUNTIFS(Base!$I$2:$I$601,B21,Base!$M$2:$M$601,1)</f>
        <v>0</v>
      </c>
      <c r="E21" s="15">
        <f t="shared" si="1"/>
        <v>0</v>
      </c>
      <c r="F21" s="16">
        <f t="shared" si="2"/>
        <v>0</v>
      </c>
    </row>
    <row r="22" spans="1:13" x14ac:dyDescent="0.25">
      <c r="A22" s="14" t="s">
        <v>46</v>
      </c>
      <c r="B22" s="14" t="s">
        <v>62</v>
      </c>
      <c r="C22" s="14">
        <f>COUNTIF(Base!$I$2:$I$601,B22)</f>
        <v>154</v>
      </c>
      <c r="D22" s="14">
        <f>COUNTIFS(Base!$I$2:$I$601,B22,Base!$M$2:$M$601,1)</f>
        <v>58</v>
      </c>
      <c r="E22" s="15">
        <f t="shared" si="1"/>
        <v>0.37662337662337664</v>
      </c>
      <c r="F22" s="16">
        <f t="shared" si="2"/>
        <v>0.94155844155844159</v>
      </c>
    </row>
    <row r="23" spans="1:13" x14ac:dyDescent="0.25">
      <c r="A23" s="14" t="s">
        <v>46</v>
      </c>
      <c r="B23" s="14" t="s">
        <v>63</v>
      </c>
      <c r="C23" s="14">
        <f>COUNTIF(Base!$I$2:$I$601,B23)</f>
        <v>46</v>
      </c>
      <c r="D23" s="14">
        <f>COUNTIFS(Base!$I$2:$I$601,B23,Base!$M$2:$M$601,1)</f>
        <v>3</v>
      </c>
      <c r="E23" s="15">
        <f t="shared" si="1"/>
        <v>6.5217391304347824E-2</v>
      </c>
      <c r="F23" s="16">
        <f t="shared" si="2"/>
        <v>0.16304347826086954</v>
      </c>
    </row>
    <row r="24" spans="1:13" x14ac:dyDescent="0.25">
      <c r="A24" s="14" t="s">
        <v>46</v>
      </c>
      <c r="B24" s="14" t="s">
        <v>64</v>
      </c>
      <c r="C24" s="14">
        <f>COUNTIF(Base!$I$2:$I$601,B24)</f>
        <v>64</v>
      </c>
      <c r="D24" s="14">
        <f>COUNTIFS(Base!$I$2:$I$601,B24,Base!$M$2:$M$601,1)</f>
        <v>10</v>
      </c>
      <c r="E24" s="15">
        <f t="shared" si="1"/>
        <v>0.15625</v>
      </c>
      <c r="F24" s="16">
        <f t="shared" si="2"/>
        <v>0.390625</v>
      </c>
    </row>
    <row r="25" spans="1:13" x14ac:dyDescent="0.25">
      <c r="A25" s="14" t="s">
        <v>46</v>
      </c>
      <c r="B25" s="14" t="s">
        <v>65</v>
      </c>
      <c r="C25" s="14">
        <f>COUNTIF(Base!$I$2:$I$601,B25)</f>
        <v>161</v>
      </c>
      <c r="D25" s="14">
        <f>COUNTIFS(Base!$I$2:$I$601,B25,Base!$M$2:$M$601,1)</f>
        <v>64</v>
      </c>
      <c r="E25" s="15">
        <f t="shared" si="1"/>
        <v>0.39751552795031053</v>
      </c>
      <c r="F25" s="16">
        <f t="shared" si="2"/>
        <v>0.99378881987577627</v>
      </c>
    </row>
    <row r="26" spans="1:13" x14ac:dyDescent="0.25">
      <c r="A26" s="14" t="s">
        <v>46</v>
      </c>
      <c r="B26" s="14" t="s">
        <v>66</v>
      </c>
      <c r="C26" s="14">
        <f>COUNTIF(Base!$I$2:$I$601,B26)</f>
        <v>26</v>
      </c>
      <c r="D26" s="14">
        <f>COUNTIFS(Base!$I$2:$I$601,B26,Base!$M$2:$M$601,1)</f>
        <v>26</v>
      </c>
      <c r="E26" s="15">
        <f t="shared" si="1"/>
        <v>1</v>
      </c>
      <c r="F26" s="16">
        <f t="shared" si="2"/>
        <v>2.5</v>
      </c>
      <c r="H26" s="13" t="s">
        <v>67</v>
      </c>
    </row>
    <row r="27" spans="1:13" x14ac:dyDescent="0.25">
      <c r="A27" s="14" t="s">
        <v>46</v>
      </c>
      <c r="B27" s="14" t="s">
        <v>68</v>
      </c>
      <c r="C27" s="14">
        <f>COUNTIF(Base!$I$2:$I$601,B27)</f>
        <v>84</v>
      </c>
      <c r="D27" s="14">
        <f>COUNTIFS(Base!$I$2:$I$601,B27,Base!$M$2:$M$601,1)</f>
        <v>49</v>
      </c>
      <c r="E27" s="15">
        <f t="shared" si="1"/>
        <v>0.58333333333333337</v>
      </c>
      <c r="F27" s="16">
        <f t="shared" si="2"/>
        <v>1.4583333333333333</v>
      </c>
      <c r="H27" t="s">
        <v>69</v>
      </c>
    </row>
    <row r="28" spans="1:13" ht="45" x14ac:dyDescent="0.25">
      <c r="H28" s="12" t="s">
        <v>70</v>
      </c>
      <c r="I28" s="12" t="s">
        <v>32</v>
      </c>
      <c r="J28" s="12" t="s">
        <v>71</v>
      </c>
      <c r="K28" s="12" t="s">
        <v>72</v>
      </c>
      <c r="L28" s="12" t="s">
        <v>73</v>
      </c>
      <c r="M28" s="12" t="s">
        <v>74</v>
      </c>
    </row>
    <row r="29" spans="1:13" x14ac:dyDescent="0.25">
      <c r="A29" s="14" t="s">
        <v>48</v>
      </c>
      <c r="B29" s="14" t="s">
        <v>75</v>
      </c>
      <c r="C29" s="14">
        <f>COUNTIF(Base!$N$2:$N$601,B29)</f>
        <v>152</v>
      </c>
      <c r="D29" s="14">
        <f>COUNTIFS(Base!$N$2:$N$601,B29,Base!$M$2:$M$601,1)</f>
        <v>34</v>
      </c>
      <c r="E29" s="15">
        <f>IF(C29&gt;0,D29/C29,0)</f>
        <v>0.22368421052631579</v>
      </c>
      <c r="F29" s="16">
        <f>E29/$B$3</f>
        <v>0.55921052631578949</v>
      </c>
      <c r="H29" t="s">
        <v>76</v>
      </c>
      <c r="I29">
        <f>COUNTIF(Base!$R$2:$R$601,1)</f>
        <v>185</v>
      </c>
      <c r="J29" s="18">
        <f>AVERAGEIF(Base!$R$2:$R$601,1,Base!$M$2:$M$601)</f>
        <v>0.83783783783783783</v>
      </c>
      <c r="K29">
        <f>COUNTIFS(Base!$R$2:$R$601,1,Base!$L$2:$L$601,"Cliente Ativo")</f>
        <v>26</v>
      </c>
      <c r="L29">
        <f>COUNTIFS(Base!$R$2:$R$601,1,Base!$S$2:$S$601,1)</f>
        <v>24</v>
      </c>
      <c r="M29" s="19">
        <f>SUMIFS(Base!$G$2:$G$601,Base!$R$2:$R$601,1,Base!$S$2:$S$601,1)</f>
        <v>1805</v>
      </c>
    </row>
    <row r="30" spans="1:13" x14ac:dyDescent="0.25">
      <c r="A30" s="14" t="s">
        <v>48</v>
      </c>
      <c r="B30" s="14" t="s">
        <v>77</v>
      </c>
      <c r="C30" s="14">
        <f>COUNTIF(Base!$N$2:$N$601,B30)</f>
        <v>139</v>
      </c>
      <c r="D30" s="14">
        <f>COUNTIFS(Base!$N$2:$N$601,B30,Base!$M$2:$M$601,1)</f>
        <v>31</v>
      </c>
      <c r="E30" s="15">
        <f>IF(C30&gt;0,D30/C30,0)</f>
        <v>0.22302158273381295</v>
      </c>
      <c r="F30" s="16">
        <f>E30/$B$3</f>
        <v>0.55755395683453235</v>
      </c>
      <c r="H30" t="s">
        <v>78</v>
      </c>
      <c r="I30">
        <f>COUNTIF(Base!$R$2:$R$601,0)</f>
        <v>415</v>
      </c>
      <c r="J30" s="18">
        <f>AVERAGEIF(Base!$R$2:$R$601,0,Base!$M$2:$M$601)</f>
        <v>0.20481927710843373</v>
      </c>
      <c r="K30">
        <f>COUNTIFS(Base!$R$2:$R$601,0,Base!$L$2:$L$601,"Cliente Ativo")</f>
        <v>69</v>
      </c>
      <c r="L30">
        <f>COUNTIFS(Base!$R$2:$R$601,0,Base!$S$2:$S$601,1)</f>
        <v>279</v>
      </c>
      <c r="M30" s="19">
        <f>SUMIFS(Base!$G$2:$G$601,Base!$R$2:$R$601,0,Base!$S$2:$S$601,1)</f>
        <v>6396</v>
      </c>
    </row>
    <row r="31" spans="1:13" x14ac:dyDescent="0.25">
      <c r="A31" s="14" t="s">
        <v>48</v>
      </c>
      <c r="B31" s="14" t="s">
        <v>79</v>
      </c>
      <c r="C31" s="14">
        <f>COUNTIF(Base!$N$2:$N$601,B31)</f>
        <v>309</v>
      </c>
      <c r="D31" s="14">
        <f>COUNTIFS(Base!$N$2:$N$601,B31,Base!$M$2:$M$601,1)</f>
        <v>175</v>
      </c>
      <c r="E31" s="15">
        <f>IF(C31&gt;0,D31/C31,0)</f>
        <v>0.56634304207119746</v>
      </c>
      <c r="F31" s="16">
        <f>E31/$B$3</f>
        <v>1.4158576051779936</v>
      </c>
      <c r="H31" t="s">
        <v>80</v>
      </c>
      <c r="J31" s="20">
        <f>J29/$B$3</f>
        <v>2.0945945945945943</v>
      </c>
    </row>
    <row r="32" spans="1:13" x14ac:dyDescent="0.25">
      <c r="H32" t="s">
        <v>81</v>
      </c>
      <c r="J32" s="20">
        <f>J29/J30</f>
        <v>4.0906200317965027</v>
      </c>
    </row>
    <row r="33" spans="1:10" x14ac:dyDescent="0.25">
      <c r="A33" s="13" t="s">
        <v>82</v>
      </c>
      <c r="H33" t="s">
        <v>83</v>
      </c>
      <c r="J33" s="6">
        <f>M29/(M29+M30)</f>
        <v>0.22009511035239604</v>
      </c>
    </row>
    <row r="34" spans="1:10" x14ac:dyDescent="0.25">
      <c r="A34" s="14" t="s">
        <v>50</v>
      </c>
      <c r="B34" s="14" t="s">
        <v>84</v>
      </c>
      <c r="C34" s="14">
        <f>COUNTIF(Base!$C$2:$C$601,B34)</f>
        <v>87</v>
      </c>
      <c r="D34" s="14">
        <f>COUNTIFS(Base!$C$2:$C$601,B34,Base!$M$2:$M$601,1)</f>
        <v>38</v>
      </c>
      <c r="E34" s="15">
        <f>IF(C34&gt;0,D34/C34,0)</f>
        <v>0.43678160919540232</v>
      </c>
      <c r="F34" s="16">
        <f>E34/$B$3</f>
        <v>1.0919540229885056</v>
      </c>
      <c r="H34" s="21" t="s">
        <v>85</v>
      </c>
    </row>
    <row r="35" spans="1:10" x14ac:dyDescent="0.25">
      <c r="A35" s="14" t="s">
        <v>50</v>
      </c>
      <c r="B35" s="14" t="s">
        <v>86</v>
      </c>
      <c r="C35" s="14">
        <f>COUNTIF(Base!$C$2:$C$601,B35)</f>
        <v>93</v>
      </c>
      <c r="D35" s="14">
        <f>COUNTIFS(Base!$C$2:$C$601,B35,Base!$M$2:$M$601,1)</f>
        <v>28</v>
      </c>
      <c r="E35" s="15">
        <f>IF(C35&gt;0,D35/C35,0)</f>
        <v>0.30107526881720431</v>
      </c>
      <c r="F35" s="16">
        <f>E35/$B$3</f>
        <v>0.75268817204301075</v>
      </c>
    </row>
    <row r="36" spans="1:10" x14ac:dyDescent="0.25">
      <c r="A36" s="14" t="s">
        <v>50</v>
      </c>
      <c r="B36" s="14" t="s">
        <v>87</v>
      </c>
      <c r="C36" s="14">
        <f>COUNTIF(Base!$C$2:$C$601,B36)</f>
        <v>27</v>
      </c>
      <c r="D36" s="14">
        <f>COUNTIFS(Base!$C$2:$C$601,B36,Base!$M$2:$M$601,1)</f>
        <v>9</v>
      </c>
      <c r="E36" s="15">
        <f>IF(C36&gt;0,D36/C36,0)</f>
        <v>0.33333333333333331</v>
      </c>
      <c r="F36" s="16">
        <f>E36/$B$3</f>
        <v>0.83333333333333326</v>
      </c>
    </row>
    <row r="37" spans="1:10" x14ac:dyDescent="0.25">
      <c r="A37" s="14" t="s">
        <v>50</v>
      </c>
      <c r="B37" s="14" t="s">
        <v>88</v>
      </c>
      <c r="C37" s="14">
        <f>COUNTIF(Base!$C$2:$C$601,B37)</f>
        <v>291</v>
      </c>
      <c r="D37" s="14">
        <f>COUNTIFS(Base!$C$2:$C$601,B37,Base!$M$2:$M$601,1)</f>
        <v>111</v>
      </c>
      <c r="E37" s="15">
        <f>IF(C37&gt;0,D37/C37,0)</f>
        <v>0.38144329896907214</v>
      </c>
      <c r="F37" s="16">
        <f>E37/$B$3</f>
        <v>0.95360824742268036</v>
      </c>
    </row>
    <row r="38" spans="1:10" x14ac:dyDescent="0.25">
      <c r="A38" s="14" t="s">
        <v>50</v>
      </c>
      <c r="B38" s="14" t="s">
        <v>89</v>
      </c>
      <c r="C38" s="14">
        <f>COUNTIF(Base!$C$2:$C$601,B38)</f>
        <v>102</v>
      </c>
      <c r="D38" s="14">
        <f>COUNTIFS(Base!$C$2:$C$601,B38,Base!$M$2:$M$601,1)</f>
        <v>54</v>
      </c>
      <c r="E38" s="15">
        <f>IF(C38&gt;0,D38/C38,0)</f>
        <v>0.52941176470588236</v>
      </c>
      <c r="F38" s="16">
        <f>E38/$B$3</f>
        <v>1.3235294117647058</v>
      </c>
    </row>
    <row r="40" spans="1:10" x14ac:dyDescent="0.25">
      <c r="A40" s="14" t="s">
        <v>52</v>
      </c>
      <c r="B40" s="14" t="s">
        <v>90</v>
      </c>
      <c r="C40" s="14">
        <f>COUNTIF(Base!$E$2:$E$601,B40)</f>
        <v>93</v>
      </c>
      <c r="D40" s="14">
        <f>COUNTIFS(Base!$E$2:$E$601,B40,Base!$M$2:$M$601,1)</f>
        <v>38</v>
      </c>
      <c r="E40" s="15">
        <f t="shared" ref="E40:E46" si="3">IF(C40&gt;0,D40/C40,0)</f>
        <v>0.40860215053763443</v>
      </c>
      <c r="F40" s="16">
        <f t="shared" ref="F40:F46" si="4">E40/$B$3</f>
        <v>1.021505376344086</v>
      </c>
    </row>
    <row r="41" spans="1:10" x14ac:dyDescent="0.25">
      <c r="A41" s="14" t="s">
        <v>52</v>
      </c>
      <c r="B41" s="14" t="s">
        <v>91</v>
      </c>
      <c r="C41" s="14">
        <f>COUNTIF(Base!$E$2:$E$601,B41)</f>
        <v>86</v>
      </c>
      <c r="D41" s="14">
        <f>COUNTIFS(Base!$E$2:$E$601,B41,Base!$M$2:$M$601,1)</f>
        <v>34</v>
      </c>
      <c r="E41" s="15">
        <f t="shared" si="3"/>
        <v>0.39534883720930231</v>
      </c>
      <c r="F41" s="16">
        <f t="shared" si="4"/>
        <v>0.98837209302325568</v>
      </c>
    </row>
    <row r="42" spans="1:10" x14ac:dyDescent="0.25">
      <c r="A42" s="14" t="s">
        <v>52</v>
      </c>
      <c r="B42" s="14" t="s">
        <v>92</v>
      </c>
      <c r="C42" s="14">
        <f>COUNTIF(Base!$E$2:$E$601,B42)</f>
        <v>85</v>
      </c>
      <c r="D42" s="14">
        <f>COUNTIFS(Base!$E$2:$E$601,B42,Base!$M$2:$M$601,1)</f>
        <v>35</v>
      </c>
      <c r="E42" s="15">
        <f t="shared" si="3"/>
        <v>0.41176470588235292</v>
      </c>
      <c r="F42" s="16">
        <f t="shared" si="4"/>
        <v>1.0294117647058822</v>
      </c>
    </row>
    <row r="43" spans="1:10" x14ac:dyDescent="0.25">
      <c r="A43" s="14" t="s">
        <v>52</v>
      </c>
      <c r="B43" s="14" t="s">
        <v>93</v>
      </c>
      <c r="C43" s="14">
        <f>COUNTIF(Base!$E$2:$E$601,B43)</f>
        <v>83</v>
      </c>
      <c r="D43" s="14">
        <f>COUNTIFS(Base!$E$2:$E$601,B43,Base!$M$2:$M$601,1)</f>
        <v>25</v>
      </c>
      <c r="E43" s="15">
        <f t="shared" si="3"/>
        <v>0.30120481927710846</v>
      </c>
      <c r="F43" s="16">
        <f t="shared" si="4"/>
        <v>0.75301204819277112</v>
      </c>
    </row>
    <row r="44" spans="1:10" x14ac:dyDescent="0.25">
      <c r="A44" s="14" t="s">
        <v>52</v>
      </c>
      <c r="B44" s="14" t="s">
        <v>94</v>
      </c>
      <c r="C44" s="14">
        <f>COUNTIF(Base!$E$2:$E$601,B44)</f>
        <v>93</v>
      </c>
      <c r="D44" s="14">
        <f>COUNTIFS(Base!$E$2:$E$601,B44,Base!$M$2:$M$601,1)</f>
        <v>35</v>
      </c>
      <c r="E44" s="15">
        <f t="shared" si="3"/>
        <v>0.37634408602150538</v>
      </c>
      <c r="F44" s="16">
        <f t="shared" si="4"/>
        <v>0.94086021505376338</v>
      </c>
    </row>
    <row r="45" spans="1:10" x14ac:dyDescent="0.25">
      <c r="A45" s="14" t="s">
        <v>52</v>
      </c>
      <c r="B45" s="14" t="s">
        <v>95</v>
      </c>
      <c r="C45" s="14">
        <f>COUNTIF(Base!$E$2:$E$601,B45)</f>
        <v>83</v>
      </c>
      <c r="D45" s="14">
        <f>COUNTIFS(Base!$E$2:$E$601,B45,Base!$M$2:$M$601,1)</f>
        <v>35</v>
      </c>
      <c r="E45" s="15">
        <f t="shared" si="3"/>
        <v>0.42168674698795183</v>
      </c>
      <c r="F45" s="16">
        <f t="shared" si="4"/>
        <v>1.0542168674698795</v>
      </c>
    </row>
    <row r="46" spans="1:10" x14ac:dyDescent="0.25">
      <c r="A46" s="14" t="s">
        <v>52</v>
      </c>
      <c r="B46" s="14" t="s">
        <v>96</v>
      </c>
      <c r="C46" s="14">
        <f>COUNTIF(Base!$E$2:$E$601,B46)</f>
        <v>77</v>
      </c>
      <c r="D46" s="14">
        <f>COUNTIFS(Base!$E$2:$E$601,B46,Base!$M$2:$M$601,1)</f>
        <v>38</v>
      </c>
      <c r="E46" s="15">
        <f t="shared" si="3"/>
        <v>0.4935064935064935</v>
      </c>
      <c r="F46" s="16">
        <f t="shared" si="4"/>
        <v>1.2337662337662336</v>
      </c>
    </row>
    <row r="48" spans="1:10" x14ac:dyDescent="0.25">
      <c r="A48" s="14" t="s">
        <v>54</v>
      </c>
      <c r="B48" s="14" t="s">
        <v>97</v>
      </c>
      <c r="C48" s="14">
        <f>COUNTIF(Base!$J$2:$J$601,B48)</f>
        <v>351</v>
      </c>
      <c r="D48" s="14">
        <f>COUNTIFS(Base!$J$2:$J$601,B48,Base!$M$2:$M$601,1)</f>
        <v>124</v>
      </c>
      <c r="E48" s="15">
        <f>IF(C48&gt;0,D48/C48,0)</f>
        <v>0.35327635327635326</v>
      </c>
      <c r="F48" s="16">
        <f>E48/$B$3</f>
        <v>0.88319088319088312</v>
      </c>
    </row>
    <row r="49" spans="1:6" x14ac:dyDescent="0.25">
      <c r="A49" s="14" t="s">
        <v>54</v>
      </c>
      <c r="B49" s="14" t="s">
        <v>98</v>
      </c>
      <c r="C49" s="14">
        <f>COUNTIF(Base!$J$2:$J$601,B49)</f>
        <v>249</v>
      </c>
      <c r="D49" s="14">
        <f>COUNTIFS(Base!$J$2:$J$601,B49,Base!$M$2:$M$601,1)</f>
        <v>116</v>
      </c>
      <c r="E49" s="15">
        <f>IF(C49&gt;0,D49/C49,0)</f>
        <v>0.46586345381526106</v>
      </c>
      <c r="F49" s="16">
        <f>E49/$B$3</f>
        <v>1.1646586345381527</v>
      </c>
    </row>
    <row r="51" spans="1:6" x14ac:dyDescent="0.25">
      <c r="A51" s="14" t="s">
        <v>55</v>
      </c>
      <c r="B51" s="14" t="s">
        <v>97</v>
      </c>
      <c r="C51" s="14">
        <f>COUNTIF(Base!$K$2:$K$601,B51)</f>
        <v>373</v>
      </c>
      <c r="D51" s="14">
        <f>COUNTIFS(Base!$K$2:$K$601,B51,Base!$M$2:$M$601,1)</f>
        <v>150</v>
      </c>
      <c r="E51" s="15">
        <f>IF(C51&gt;0,D51/C51,0)</f>
        <v>0.40214477211796246</v>
      </c>
      <c r="F51" s="16">
        <f>E51/$B$3</f>
        <v>1.0053619302949062</v>
      </c>
    </row>
    <row r="52" spans="1:6" x14ac:dyDescent="0.25">
      <c r="A52" s="14" t="s">
        <v>55</v>
      </c>
      <c r="B52" s="14" t="s">
        <v>98</v>
      </c>
      <c r="C52" s="14">
        <f>COUNTIF(Base!$K$2:$K$601,B52)</f>
        <v>227</v>
      </c>
      <c r="D52" s="14">
        <f>COUNTIFS(Base!$K$2:$K$601,B52,Base!$M$2:$M$601,1)</f>
        <v>90</v>
      </c>
      <c r="E52" s="15">
        <f>IF(C52&gt;0,D52/C52,0)</f>
        <v>0.3964757709251101</v>
      </c>
      <c r="F52" s="16">
        <f>E52/$B$3</f>
        <v>0.99118942731277526</v>
      </c>
    </row>
  </sheetData>
  <conditionalFormatting sqref="E5:E54">
    <cfRule type="colorScale" priority="1">
      <colorScale>
        <cfvo type="num" val="0"/>
        <cfvo type="num" val="0.4"/>
        <cfvo type="num" val="1"/>
        <color rgb="FFF8696B"/>
        <color rgb="FFFFFFFF"/>
        <color rgb="FF63BE7B"/>
      </colorScale>
    </cfRule>
  </conditionalFormatting>
  <conditionalFormatting sqref="I6:I14">
    <cfRule type="colorScale" priority="2">
      <colorScale>
        <cfvo type="min"/>
        <cfvo type="max"/>
        <color rgb="FFFFFFFF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/>
  </sheetViews>
  <sheetFormatPr defaultRowHeight="15" x14ac:dyDescent="0.25"/>
  <cols>
    <col min="1" max="1" width="46" customWidth="1"/>
    <col min="2" max="2" width="44" customWidth="1"/>
    <col min="3" max="3" width="20" customWidth="1"/>
    <col min="4" max="4" width="22" customWidth="1"/>
    <col min="5" max="5" width="18" customWidth="1"/>
    <col min="6" max="6" width="12" customWidth="1"/>
    <col min="7" max="7" width="13" customWidth="1"/>
    <col min="8" max="8" width="16" customWidth="1"/>
  </cols>
  <sheetData>
    <row r="1" spans="1:5" ht="18.75" x14ac:dyDescent="0.3">
      <c r="A1" s="11" t="s">
        <v>99</v>
      </c>
    </row>
    <row r="2" spans="1:5" x14ac:dyDescent="0.25">
      <c r="A2" t="s">
        <v>100</v>
      </c>
    </row>
    <row r="4" spans="1:5" ht="45" customHeight="1" x14ac:dyDescent="0.25">
      <c r="A4" s="12" t="s">
        <v>101</v>
      </c>
      <c r="B4" s="12" t="s">
        <v>102</v>
      </c>
      <c r="C4" s="12" t="s">
        <v>103</v>
      </c>
      <c r="D4" s="12" t="s">
        <v>104</v>
      </c>
      <c r="E4" s="12" t="s">
        <v>105</v>
      </c>
    </row>
    <row r="5" spans="1:5" ht="30" x14ac:dyDescent="0.25">
      <c r="A5" s="2" t="s">
        <v>106</v>
      </c>
      <c r="B5" s="2" t="s">
        <v>107</v>
      </c>
      <c r="C5" s="5" t="str">
        <f>FIXED(C19*100,0)&amp;"% · "&amp;FIXED(C20*100,0)&amp;"% · "&amp;FIXED(C21*100,0)&amp;"%"</f>
        <v>91% · 29% · 3%</v>
      </c>
      <c r="D5" t="s">
        <v>108</v>
      </c>
      <c r="E5" t="s">
        <v>109</v>
      </c>
    </row>
    <row r="6" spans="1:5" x14ac:dyDescent="0.25">
      <c r="A6" s="2" t="s">
        <v>110</v>
      </c>
      <c r="B6" s="2" t="s">
        <v>111</v>
      </c>
      <c r="C6" s="6">
        <f>SUMIF(Base!$AB$2:$AB$601,"Alta",Base!$M$2:$M$601)/SUM(Base!$M$2:$M$601)</f>
        <v>0.69166666666666665</v>
      </c>
      <c r="D6" t="s">
        <v>112</v>
      </c>
      <c r="E6" t="s">
        <v>109</v>
      </c>
    </row>
    <row r="7" spans="1:5" ht="30" x14ac:dyDescent="0.25">
      <c r="A7" s="2" t="s">
        <v>113</v>
      </c>
      <c r="B7" s="2" t="s">
        <v>114</v>
      </c>
      <c r="C7" s="5" t="str">
        <f>FIXED(G19*100,0)&amp;"% × "&amp;FIXED(G22*100,0)&amp;"%"</f>
        <v>60% × 65%</v>
      </c>
      <c r="D7" t="s">
        <v>115</v>
      </c>
      <c r="E7" t="s">
        <v>116</v>
      </c>
    </row>
    <row r="8" spans="1:5" x14ac:dyDescent="0.25">
      <c r="A8" s="2" t="s">
        <v>117</v>
      </c>
      <c r="B8" s="2" t="s">
        <v>118</v>
      </c>
      <c r="C8" t="s">
        <v>119</v>
      </c>
      <c r="D8" t="s">
        <v>120</v>
      </c>
      <c r="E8" t="s">
        <v>121</v>
      </c>
    </row>
    <row r="9" spans="1:5" x14ac:dyDescent="0.25">
      <c r="A9" s="2" t="s">
        <v>122</v>
      </c>
      <c r="B9" s="2" t="s">
        <v>123</v>
      </c>
      <c r="C9" t="s">
        <v>119</v>
      </c>
      <c r="D9" t="s">
        <v>120</v>
      </c>
      <c r="E9" t="s">
        <v>121</v>
      </c>
    </row>
    <row r="10" spans="1:5" x14ac:dyDescent="0.25">
      <c r="A10" s="2" t="s">
        <v>124</v>
      </c>
      <c r="B10" s="2" t="s">
        <v>125</v>
      </c>
      <c r="C10" s="5" t="str">
        <f>FIXED(H19,0)&amp;" × "&amp;FIXED(H22,0)&amp;" dias"</f>
        <v>36 × 48 dias</v>
      </c>
      <c r="D10" t="s">
        <v>126</v>
      </c>
      <c r="E10" t="s">
        <v>116</v>
      </c>
    </row>
    <row r="12" spans="1:5" x14ac:dyDescent="0.25">
      <c r="A12" s="13" t="s">
        <v>127</v>
      </c>
    </row>
    <row r="14" spans="1:5" x14ac:dyDescent="0.25">
      <c r="A14" s="13" t="s">
        <v>128</v>
      </c>
    </row>
    <row r="15" spans="1:5" x14ac:dyDescent="0.25">
      <c r="A15" t="s">
        <v>129</v>
      </c>
      <c r="B15" s="22">
        <f>_xlfn.PERCENTILE.INC(Base!$AA$2:$AA$601,0.7)</f>
        <v>0.47883304110000002</v>
      </c>
    </row>
    <row r="16" spans="1:5" x14ac:dyDescent="0.25">
      <c r="A16" t="s">
        <v>130</v>
      </c>
      <c r="B16" s="22">
        <f>_xlfn.PERCENTILE.INC(Base!$AA$2:$AA$601,0.3)</f>
        <v>0.24022494950000001</v>
      </c>
    </row>
    <row r="18" spans="1:8" ht="45" customHeight="1" x14ac:dyDescent="0.25">
      <c r="A18" s="12" t="s">
        <v>131</v>
      </c>
      <c r="B18" s="12" t="s">
        <v>32</v>
      </c>
      <c r="C18" s="12" t="s">
        <v>132</v>
      </c>
      <c r="D18" s="12" t="s">
        <v>35</v>
      </c>
      <c r="E18" s="12" t="s">
        <v>133</v>
      </c>
      <c r="F18" s="12" t="s">
        <v>134</v>
      </c>
      <c r="G18" s="12" t="s">
        <v>135</v>
      </c>
      <c r="H18" s="12" t="s">
        <v>136</v>
      </c>
    </row>
    <row r="19" spans="1:8" x14ac:dyDescent="0.25">
      <c r="A19" t="s">
        <v>137</v>
      </c>
      <c r="B19">
        <f>COUNTIF(Base!$AB$2:$AB$601,A19)</f>
        <v>183</v>
      </c>
      <c r="C19" s="18">
        <f>AVERAGEIF(Base!$AB$2:$AB$601,A19,Base!$M$2:$M$601)</f>
        <v>0.90710382513661203</v>
      </c>
      <c r="D19" s="23">
        <f>C19/Drivers!$B$3</f>
        <v>2.2677595628415301</v>
      </c>
      <c r="E19">
        <f>COUNTIFS(Leads!$N$2:$N$351,A19,Leads!$J$2:$J$351,1)</f>
        <v>30</v>
      </c>
      <c r="F19">
        <f>COUNTIFS(Leads!$N$2:$N$351,A19,Leads!$K$2:$K$351,1)</f>
        <v>18</v>
      </c>
      <c r="G19" s="18">
        <f>IF(E19&gt;0,F19/E19,0)</f>
        <v>0.6</v>
      </c>
      <c r="H19" s="17">
        <f>AVERAGEIFS(Leads!$O$2:$O$351,Leads!$N$2:$N$351,A19,Leads!$K$2:$K$351,1)</f>
        <v>35.666666666666664</v>
      </c>
    </row>
    <row r="20" spans="1:8" x14ac:dyDescent="0.25">
      <c r="A20" t="s">
        <v>138</v>
      </c>
      <c r="B20">
        <f>COUNTIF(Base!$AB$2:$AB$601,A20)</f>
        <v>241</v>
      </c>
      <c r="C20" s="18">
        <f>AVERAGEIF(Base!$AB$2:$AB$601,A20,Base!$M$2:$M$601)</f>
        <v>0.2863070539419087</v>
      </c>
      <c r="D20" s="23">
        <f>C20/Drivers!$B$3</f>
        <v>0.71576763485477168</v>
      </c>
      <c r="E20">
        <f>COUNTIFS(Leads!$N$2:$N$351,A20,Leads!$J$2:$J$351,1)</f>
        <v>51</v>
      </c>
      <c r="F20">
        <f>COUNTIFS(Leads!$N$2:$N$351,A20,Leads!$K$2:$K$351,1)</f>
        <v>34</v>
      </c>
      <c r="G20" s="18">
        <f>IF(E20&gt;0,F20/E20,0)</f>
        <v>0.66666666666666663</v>
      </c>
      <c r="H20" s="17">
        <f>AVERAGEIFS(Leads!$O$2:$O$351,Leads!$N$2:$N$351,A20,Leads!$K$2:$K$351,1)</f>
        <v>44.235294117647058</v>
      </c>
    </row>
    <row r="21" spans="1:8" x14ac:dyDescent="0.25">
      <c r="A21" t="s">
        <v>139</v>
      </c>
      <c r="B21">
        <f>COUNTIF(Base!$AB$2:$AB$601,A21)</f>
        <v>176</v>
      </c>
      <c r="C21" s="18">
        <f>AVERAGEIF(Base!$AB$2:$AB$601,A21,Base!$M$2:$M$601)</f>
        <v>2.8409090909090908E-2</v>
      </c>
      <c r="D21" s="23">
        <f>C21/Drivers!$B$3</f>
        <v>7.1022727272727265E-2</v>
      </c>
      <c r="E21">
        <f>COUNTIFS(Leads!$N$2:$N$351,A21,Leads!$J$2:$J$351,1)</f>
        <v>33</v>
      </c>
      <c r="F21">
        <f>COUNTIFS(Leads!$N$2:$N$351,A21,Leads!$K$2:$K$351,1)</f>
        <v>21</v>
      </c>
      <c r="G21" s="18">
        <f>IF(E21&gt;0,F21/E21,0)</f>
        <v>0.63636363636363635</v>
      </c>
      <c r="H21" s="17">
        <f>AVERAGEIFS(Leads!$O$2:$O$351,Leads!$N$2:$N$351,A21,Leads!$K$2:$K$351,1)</f>
        <v>53.095238095238095</v>
      </c>
    </row>
    <row r="22" spans="1:8" x14ac:dyDescent="0.25">
      <c r="A22" s="24" t="s">
        <v>140</v>
      </c>
      <c r="B22" s="24">
        <f>B20+B21</f>
        <v>417</v>
      </c>
      <c r="C22" s="25">
        <f>(C20*B20+C21*B21)/B22</f>
        <v>0.17745803357314149</v>
      </c>
      <c r="D22" s="26">
        <f>C22/Drivers!$B$3</f>
        <v>0.44364508393285373</v>
      </c>
      <c r="E22" s="24">
        <f>E20+E21</f>
        <v>84</v>
      </c>
      <c r="F22" s="24">
        <f>F20+F21</f>
        <v>55</v>
      </c>
      <c r="G22" s="25">
        <f>IF(E22&gt;0,F22/E22,0)</f>
        <v>0.65476190476190477</v>
      </c>
      <c r="H22" s="27">
        <f>AVERAGEIFS(Leads!$O$2:$O$351,Leads!$N$2:$N$351,"&lt;&gt;Alta",Leads!$K$2:$K$351,1)</f>
        <v>47.618181818181817</v>
      </c>
    </row>
    <row r="24" spans="1:8" x14ac:dyDescent="0.25">
      <c r="A24" s="13" t="s">
        <v>141</v>
      </c>
    </row>
    <row r="25" spans="1:8" ht="45" customHeight="1" x14ac:dyDescent="0.25">
      <c r="A25" s="12" t="s">
        <v>45</v>
      </c>
      <c r="B25" s="12" t="s">
        <v>32</v>
      </c>
      <c r="C25" s="12" t="s">
        <v>132</v>
      </c>
      <c r="D25" s="12" t="s">
        <v>133</v>
      </c>
      <c r="E25" s="12" t="s">
        <v>134</v>
      </c>
      <c r="F25" s="12" t="s">
        <v>135</v>
      </c>
      <c r="G25" s="12" t="s">
        <v>142</v>
      </c>
    </row>
    <row r="26" spans="1:8" x14ac:dyDescent="0.25">
      <c r="A26" t="s">
        <v>56</v>
      </c>
      <c r="B26">
        <f>COUNTIF(Base!$D$2:$D$601,A26)</f>
        <v>249</v>
      </c>
      <c r="C26" s="18">
        <f>AVERAGEIF(Base!$D$2:$D$601,A26,Base!$M$2:$M$601)</f>
        <v>6.8273092369477914E-2</v>
      </c>
      <c r="D26">
        <f>COUNTIFS(Leads!$G$2:$G$351,A26,Leads!$J$2:$J$351,1)</f>
        <v>52</v>
      </c>
      <c r="E26">
        <f>COUNTIFS(Leads!$G$2:$G$351,A26,Leads!$K$2:$K$351,1)</f>
        <v>35</v>
      </c>
      <c r="F26" s="18">
        <f>IF(D26&gt;0,E26/D26,0)</f>
        <v>0.67307692307692313</v>
      </c>
      <c r="G26">
        <f>COUNTIF(Clientes!$F$2:$F$74,A26)</f>
        <v>35</v>
      </c>
    </row>
    <row r="27" spans="1:8" x14ac:dyDescent="0.25">
      <c r="A27" t="s">
        <v>59</v>
      </c>
      <c r="B27">
        <f>COUNTIF(Base!$D$2:$D$601,A27)</f>
        <v>219</v>
      </c>
      <c r="C27" s="18">
        <f>AVERAGEIF(Base!$D$2:$D$601,A27,Base!$M$2:$M$601)</f>
        <v>0.43835616438356162</v>
      </c>
      <c r="D27">
        <f>COUNTIFS(Leads!$G$2:$G$351,A27,Leads!$J$2:$J$351,1)</f>
        <v>42</v>
      </c>
      <c r="E27">
        <f>COUNTIFS(Leads!$G$2:$G$351,A27,Leads!$K$2:$K$351,1)</f>
        <v>27</v>
      </c>
      <c r="F27" s="18">
        <f>IF(D27&gt;0,E27/D27,0)</f>
        <v>0.6428571428571429</v>
      </c>
      <c r="G27">
        <f>COUNTIF(Clientes!$F$2:$F$74,A27)</f>
        <v>27</v>
      </c>
    </row>
    <row r="28" spans="1:8" x14ac:dyDescent="0.25">
      <c r="A28" t="s">
        <v>58</v>
      </c>
      <c r="B28">
        <f>COUNTIF(Base!$D$2:$D$601,A28)</f>
        <v>83</v>
      </c>
      <c r="C28" s="18">
        <f>AVERAGEIF(Base!$D$2:$D$601,A28,Base!$M$2:$M$601)</f>
        <v>0.93975903614457834</v>
      </c>
      <c r="D28">
        <f>COUNTIFS(Leads!$G$2:$G$351,A28,Leads!$J$2:$J$351,1)</f>
        <v>13</v>
      </c>
      <c r="E28">
        <f>COUNTIFS(Leads!$G$2:$G$351,A28,Leads!$K$2:$K$351,1)</f>
        <v>6</v>
      </c>
      <c r="F28" s="18">
        <f>IF(D28&gt;0,E28/D28,0)</f>
        <v>0.46153846153846156</v>
      </c>
      <c r="G28">
        <f>COUNTIF(Clientes!$F$2:$F$74,A28)</f>
        <v>6</v>
      </c>
    </row>
    <row r="29" spans="1:8" x14ac:dyDescent="0.25">
      <c r="A29" t="s">
        <v>57</v>
      </c>
      <c r="B29">
        <f>COUNTIF(Base!$D$2:$D$601,A29)</f>
        <v>49</v>
      </c>
      <c r="C29" s="18">
        <f>AVERAGEIF(Base!$D$2:$D$601,A29,Base!$M$2:$M$601)</f>
        <v>1</v>
      </c>
      <c r="D29">
        <f>COUNTIFS(Leads!$G$2:$G$351,A29,Leads!$J$2:$J$351,1)</f>
        <v>7</v>
      </c>
      <c r="E29">
        <f>COUNTIFS(Leads!$G$2:$G$351,A29,Leads!$K$2:$K$351,1)</f>
        <v>5</v>
      </c>
      <c r="F29" s="18">
        <f>IF(D29&gt;0,E29/D29,0)</f>
        <v>0.7142857142857143</v>
      </c>
      <c r="G29">
        <f>COUNTIF(Clientes!$F$2:$F$74,A29)</f>
        <v>5</v>
      </c>
    </row>
    <row r="30" spans="1:8" x14ac:dyDescent="0.25">
      <c r="A30" s="24" t="s">
        <v>143</v>
      </c>
      <c r="B30" s="24">
        <f>SUM(B26:B29)</f>
        <v>600</v>
      </c>
      <c r="C30" s="25">
        <f>AVERAGE(Base!$M$2:$M$601)</f>
        <v>0.4</v>
      </c>
      <c r="D30" s="24">
        <f>SUM(D26:D29)</f>
        <v>114</v>
      </c>
      <c r="E30" s="24">
        <f>SUM(E26:E29)</f>
        <v>73</v>
      </c>
      <c r="F30" s="25">
        <f>IF(D30&gt;0,E30/D30,0)</f>
        <v>0.64035087719298245</v>
      </c>
      <c r="G30" s="24">
        <f>SUM(G26:G29)</f>
        <v>73</v>
      </c>
    </row>
    <row r="32" spans="1:8" x14ac:dyDescent="0.25">
      <c r="A32" s="13" t="s">
        <v>144</v>
      </c>
    </row>
    <row r="33" spans="1:1" x14ac:dyDescent="0.25">
      <c r="A33" t="s">
        <v>145</v>
      </c>
    </row>
    <row r="34" spans="1:1" x14ac:dyDescent="0.25">
      <c r="A34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/>
  </sheetViews>
  <sheetFormatPr defaultRowHeight="15" x14ac:dyDescent="0.25"/>
  <cols>
    <col min="1" max="1" width="44" customWidth="1"/>
    <col min="2" max="4" width="15" customWidth="1"/>
    <col min="5" max="5" width="70" customWidth="1"/>
  </cols>
  <sheetData>
    <row r="1" spans="1:5" ht="18.75" x14ac:dyDescent="0.3">
      <c r="A1" s="11" t="s">
        <v>147</v>
      </c>
    </row>
    <row r="2" spans="1:5" x14ac:dyDescent="0.25">
      <c r="A2" t="s">
        <v>148</v>
      </c>
    </row>
    <row r="4" spans="1:5" x14ac:dyDescent="0.25">
      <c r="A4" s="12" t="s">
        <v>149</v>
      </c>
      <c r="B4" s="12" t="s">
        <v>150</v>
      </c>
      <c r="C4" s="12" t="s">
        <v>151</v>
      </c>
      <c r="D4" s="12" t="s">
        <v>152</v>
      </c>
      <c r="E4" s="12" t="s">
        <v>153</v>
      </c>
    </row>
    <row r="5" spans="1:5" x14ac:dyDescent="0.25">
      <c r="A5" t="s">
        <v>154</v>
      </c>
      <c r="B5" s="28">
        <v>44</v>
      </c>
      <c r="C5" s="28">
        <f>B5</f>
        <v>44</v>
      </c>
      <c r="D5" s="28">
        <f>B5</f>
        <v>44</v>
      </c>
      <c r="E5" t="s">
        <v>155</v>
      </c>
    </row>
    <row r="6" spans="1:5" x14ac:dyDescent="0.25">
      <c r="A6" t="s">
        <v>156</v>
      </c>
      <c r="B6" s="28">
        <v>16.5</v>
      </c>
      <c r="C6" s="28">
        <f>B6</f>
        <v>16.5</v>
      </c>
      <c r="D6" s="28">
        <f>B6</f>
        <v>16.5</v>
      </c>
      <c r="E6" t="s">
        <v>157</v>
      </c>
    </row>
    <row r="7" spans="1:5" x14ac:dyDescent="0.25">
      <c r="A7" t="s">
        <v>158</v>
      </c>
      <c r="B7" s="22">
        <v>3.9800000000000002E-2</v>
      </c>
      <c r="C7" s="22">
        <f>B7</f>
        <v>3.9800000000000002E-2</v>
      </c>
      <c r="D7" s="22">
        <f>B7</f>
        <v>3.9800000000000002E-2</v>
      </c>
      <c r="E7" t="s">
        <v>159</v>
      </c>
    </row>
    <row r="8" spans="1:5" x14ac:dyDescent="0.25">
      <c r="A8" t="s">
        <v>160</v>
      </c>
      <c r="B8" s="29">
        <v>0.3</v>
      </c>
      <c r="C8" s="29">
        <v>0.5</v>
      </c>
      <c r="D8" s="29">
        <v>0.6</v>
      </c>
      <c r="E8" t="s">
        <v>161</v>
      </c>
    </row>
    <row r="9" spans="1:5" x14ac:dyDescent="0.25">
      <c r="A9" t="s">
        <v>162</v>
      </c>
      <c r="B9" s="30">
        <f>Como_Avaliar!$D$19</f>
        <v>2.2677595628415301</v>
      </c>
      <c r="C9" s="30">
        <f>B9</f>
        <v>2.2677595628415301</v>
      </c>
      <c r="D9" s="30">
        <f>B9</f>
        <v>2.2677595628415301</v>
      </c>
      <c r="E9" t="s">
        <v>163</v>
      </c>
    </row>
    <row r="10" spans="1:5" x14ac:dyDescent="0.25">
      <c r="A10" t="s">
        <v>164</v>
      </c>
      <c r="B10" s="29">
        <v>0.25</v>
      </c>
      <c r="C10" s="29">
        <v>0.4</v>
      </c>
      <c r="D10" s="29">
        <v>0.6</v>
      </c>
      <c r="E10" t="s">
        <v>165</v>
      </c>
    </row>
    <row r="11" spans="1:5" x14ac:dyDescent="0.25">
      <c r="A11" t="s">
        <v>166</v>
      </c>
      <c r="B11" s="31">
        <v>590</v>
      </c>
      <c r="C11" s="32">
        <f>AVERAGE(Clientes!$D$2:$D$74)</f>
        <v>1025.6500000000001</v>
      </c>
      <c r="D11" s="32">
        <f>AVERAGE(Clientes!$D$2:$D$74)</f>
        <v>1025.6500000000001</v>
      </c>
      <c r="E11" t="s">
        <v>167</v>
      </c>
    </row>
    <row r="12" spans="1:5" x14ac:dyDescent="0.25">
      <c r="A12" t="s">
        <v>168</v>
      </c>
      <c r="B12" s="22">
        <f>COUNTIF(Clientes!$C$2:$C$74,"Churned")/COUNTA(Clientes!$A$2:$A$74)</f>
        <v>0.20547945205479451</v>
      </c>
      <c r="C12" s="22">
        <f>B12</f>
        <v>0.20547945205479451</v>
      </c>
      <c r="D12" s="22">
        <f>B12</f>
        <v>0.20547945205479451</v>
      </c>
      <c r="E12" t="s">
        <v>169</v>
      </c>
    </row>
    <row r="13" spans="1:5" x14ac:dyDescent="0.25">
      <c r="A13" t="s">
        <v>170</v>
      </c>
      <c r="B13" s="32">
        <v>124000</v>
      </c>
      <c r="C13" s="32">
        <f>B13</f>
        <v>124000</v>
      </c>
      <c r="D13" s="32">
        <f>B13</f>
        <v>124000</v>
      </c>
      <c r="E13" t="s">
        <v>171</v>
      </c>
    </row>
    <row r="16" spans="1:5" x14ac:dyDescent="0.25">
      <c r="A16" s="12" t="s">
        <v>172</v>
      </c>
      <c r="B16" s="12" t="s">
        <v>150</v>
      </c>
      <c r="C16" s="12" t="s">
        <v>151</v>
      </c>
      <c r="D16" s="12" t="s">
        <v>152</v>
      </c>
      <c r="E16" s="12" t="s">
        <v>173</v>
      </c>
    </row>
    <row r="17" spans="1:5" x14ac:dyDescent="0.25">
      <c r="A17" s="2" t="s">
        <v>174</v>
      </c>
      <c r="B17" s="17">
        <f>B5*B6</f>
        <v>726</v>
      </c>
      <c r="C17" s="17">
        <f>C5*C6</f>
        <v>726</v>
      </c>
      <c r="D17" s="17">
        <f>D5*D6</f>
        <v>726</v>
      </c>
      <c r="E17" t="s">
        <v>175</v>
      </c>
    </row>
    <row r="18" spans="1:5" x14ac:dyDescent="0.25">
      <c r="A18" s="2" t="s">
        <v>176</v>
      </c>
      <c r="B18" s="17">
        <f>B17*B8</f>
        <v>217.79999999999998</v>
      </c>
      <c r="C18" s="17">
        <f>C17*C8</f>
        <v>363</v>
      </c>
      <c r="D18" s="17">
        <f>D17*D8</f>
        <v>435.59999999999997</v>
      </c>
      <c r="E18" t="s">
        <v>177</v>
      </c>
    </row>
    <row r="19" spans="1:5" x14ac:dyDescent="0.25">
      <c r="A19" s="2" t="s">
        <v>178</v>
      </c>
      <c r="B19" s="22">
        <f>B7*(1+(B9-1)*B10)</f>
        <v>5.2414207650273222E-2</v>
      </c>
      <c r="C19" s="22">
        <f>C7*(1+(C9-1)*C10)</f>
        <v>5.9982732240437167E-2</v>
      </c>
      <c r="D19" s="22">
        <f>D7*(1+(D9-1)*D10)</f>
        <v>7.0074098360655743E-2</v>
      </c>
      <c r="E19" t="s">
        <v>179</v>
      </c>
    </row>
    <row r="20" spans="1:5" x14ac:dyDescent="0.25">
      <c r="A20" s="2" t="s">
        <v>180</v>
      </c>
      <c r="B20" s="28">
        <f>B18*(B19-B7)</f>
        <v>2.747374426229507</v>
      </c>
      <c r="C20" s="28">
        <f>C18*(C19-C7)</f>
        <v>7.3263318032786913</v>
      </c>
      <c r="D20" s="28">
        <f>D18*(D19-D7)</f>
        <v>13.187397245901639</v>
      </c>
      <c r="E20" t="s">
        <v>181</v>
      </c>
    </row>
    <row r="21" spans="1:5" x14ac:dyDescent="0.25">
      <c r="A21" s="2" t="s">
        <v>182</v>
      </c>
      <c r="B21" s="32">
        <f>B20*B11*(1-B12)</f>
        <v>1287.8788063777224</v>
      </c>
      <c r="C21" s="32">
        <f>C20*C11*(1-C12)</f>
        <v>5970.227786491806</v>
      </c>
      <c r="D21" s="32">
        <f>D20*D11*(1-D12)</f>
        <v>10746.410015685247</v>
      </c>
      <c r="E21" t="s">
        <v>183</v>
      </c>
    </row>
    <row r="22" spans="1:5" x14ac:dyDescent="0.25">
      <c r="A22" s="2" t="s">
        <v>184</v>
      </c>
      <c r="B22" s="32">
        <f>B17*B7*B11*(1-B12)</f>
        <v>13544.932273972605</v>
      </c>
      <c r="C22" s="32">
        <f>C17*C7*C11*(1-C12)</f>
        <v>23546.372520000004</v>
      </c>
      <c r="D22" s="32">
        <f>D17*D7*D11*(1-D12)</f>
        <v>23546.372520000004</v>
      </c>
      <c r="E22" t="s">
        <v>185</v>
      </c>
    </row>
    <row r="23" spans="1:5" x14ac:dyDescent="0.25">
      <c r="A23" s="2" t="s">
        <v>186</v>
      </c>
      <c r="B23" s="7">
        <f>B21/B22</f>
        <v>9.508196721311471E-2</v>
      </c>
      <c r="C23" s="7">
        <f>C21/C22</f>
        <v>0.25355191256830606</v>
      </c>
      <c r="D23" s="7">
        <f>D21/D22</f>
        <v>0.45639344262295078</v>
      </c>
      <c r="E23" t="s">
        <v>187</v>
      </c>
    </row>
    <row r="24" spans="1:5" ht="30" customHeight="1" x14ac:dyDescent="0.25">
      <c r="A24" s="2" t="s">
        <v>188</v>
      </c>
      <c r="B24" s="8">
        <f>B23*B13</f>
        <v>11790.163934426224</v>
      </c>
      <c r="C24" s="8">
        <f>C23*C13</f>
        <v>31440.437158469951</v>
      </c>
      <c r="D24" s="8">
        <f>D23*D13</f>
        <v>56592.7868852459</v>
      </c>
      <c r="E24" t="s">
        <v>189</v>
      </c>
    </row>
    <row r="27" spans="1:5" x14ac:dyDescent="0.25">
      <c r="A27" s="13" t="s">
        <v>190</v>
      </c>
    </row>
    <row r="28" spans="1:5" x14ac:dyDescent="0.25">
      <c r="A28" t="s">
        <v>191</v>
      </c>
    </row>
    <row r="29" spans="1:5" x14ac:dyDescent="0.25">
      <c r="A29" t="s">
        <v>192</v>
      </c>
    </row>
    <row r="30" spans="1:5" x14ac:dyDescent="0.25">
      <c r="A30" t="s">
        <v>193</v>
      </c>
    </row>
    <row r="31" spans="1:5" x14ac:dyDescent="0.25">
      <c r="A31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"/>
  <sheetViews>
    <sheetView workbookViewId="0"/>
  </sheetViews>
  <sheetFormatPr defaultRowHeight="15" x14ac:dyDescent="0.25"/>
  <cols>
    <col min="1" max="1" width="62" customWidth="1"/>
    <col min="2" max="2" width="22" customWidth="1"/>
    <col min="3" max="4" width="16" customWidth="1"/>
    <col min="5" max="5" width="22" customWidth="1"/>
    <col min="6" max="6" width="40" customWidth="1"/>
  </cols>
  <sheetData>
    <row r="1" spans="1:6" ht="18.75" x14ac:dyDescent="0.3">
      <c r="A1" s="11" t="s">
        <v>195</v>
      </c>
    </row>
    <row r="2" spans="1:6" x14ac:dyDescent="0.25">
      <c r="A2" t="s">
        <v>196</v>
      </c>
    </row>
    <row r="4" spans="1:6" x14ac:dyDescent="0.25">
      <c r="A4" s="13" t="s">
        <v>197</v>
      </c>
    </row>
    <row r="5" spans="1:6" x14ac:dyDescent="0.25">
      <c r="A5" s="12" t="s">
        <v>198</v>
      </c>
      <c r="B5" s="12" t="s">
        <v>199</v>
      </c>
      <c r="C5" s="12" t="s">
        <v>200</v>
      </c>
    </row>
    <row r="6" spans="1:6" x14ac:dyDescent="0.25">
      <c r="A6" t="s">
        <v>201</v>
      </c>
      <c r="B6" s="19">
        <v>8699</v>
      </c>
    </row>
    <row r="7" spans="1:6" x14ac:dyDescent="0.25">
      <c r="A7" t="s">
        <v>202</v>
      </c>
      <c r="B7" s="19">
        <v>3617</v>
      </c>
      <c r="C7" s="22">
        <f>B7/B6</f>
        <v>0.41579491895620185</v>
      </c>
      <c r="D7" t="s">
        <v>203</v>
      </c>
    </row>
    <row r="8" spans="1:6" x14ac:dyDescent="0.25">
      <c r="A8" t="s">
        <v>204</v>
      </c>
      <c r="B8" s="19">
        <v>1797</v>
      </c>
      <c r="C8" s="22">
        <f>B8/B7</f>
        <v>0.49682056953276194</v>
      </c>
      <c r="D8" t="s">
        <v>205</v>
      </c>
    </row>
    <row r="9" spans="1:6" x14ac:dyDescent="0.25">
      <c r="A9" t="s">
        <v>206</v>
      </c>
      <c r="B9" s="19">
        <v>346</v>
      </c>
      <c r="C9" s="22">
        <f>B9/B8</f>
        <v>0.19254312743461324</v>
      </c>
      <c r="D9" t="s">
        <v>207</v>
      </c>
    </row>
    <row r="11" spans="1:6" x14ac:dyDescent="0.25">
      <c r="A11" s="13" t="s">
        <v>208</v>
      </c>
    </row>
    <row r="12" spans="1:6" ht="30" x14ac:dyDescent="0.25">
      <c r="A12" s="12" t="s">
        <v>209</v>
      </c>
      <c r="B12" s="12" t="s">
        <v>210</v>
      </c>
      <c r="C12" s="12" t="s">
        <v>211</v>
      </c>
      <c r="D12" s="12" t="s">
        <v>212</v>
      </c>
      <c r="E12" s="12" t="s">
        <v>213</v>
      </c>
      <c r="F12" s="12" t="s">
        <v>214</v>
      </c>
    </row>
    <row r="13" spans="1:6" x14ac:dyDescent="0.25">
      <c r="A13" t="s">
        <v>215</v>
      </c>
      <c r="B13">
        <f>COUNTIFS(Leads!$D$2:$D$351,A13,Leads!$O$2:$O$351,"&lt;=90")</f>
        <v>15</v>
      </c>
      <c r="C13" s="22">
        <f>C9</f>
        <v>0.19254312743461324</v>
      </c>
      <c r="D13" s="28">
        <f>B13*C13</f>
        <v>2.8881469115191987</v>
      </c>
      <c r="E13">
        <f>COUNTIFS(Leads!$D$2:$D$351,A13,Leads!$O$2:$O$351,"&gt;90")</f>
        <v>33</v>
      </c>
      <c r="F13" t="s">
        <v>207</v>
      </c>
    </row>
    <row r="14" spans="1:6" x14ac:dyDescent="0.25">
      <c r="A14" t="s">
        <v>216</v>
      </c>
      <c r="B14">
        <f>COUNTIFS(Leads!$D$2:$D$351,A14,Leads!$O$2:$O$351,"&lt;=90")</f>
        <v>15</v>
      </c>
      <c r="C14" s="22">
        <f>C8*C9</f>
        <v>9.5659386231683713E-2</v>
      </c>
      <c r="D14" s="28">
        <f>B14*C14</f>
        <v>1.4348907934752557</v>
      </c>
      <c r="E14">
        <f>COUNTIFS(Leads!$D$2:$D$351,A14,Leads!$O$2:$O$351,"&gt;90")</f>
        <v>26</v>
      </c>
      <c r="F14" t="s">
        <v>217</v>
      </c>
    </row>
    <row r="15" spans="1:6" x14ac:dyDescent="0.25">
      <c r="A15" t="s">
        <v>218</v>
      </c>
      <c r="B15">
        <f>COUNTIFS(Leads!$D$2:$D$351,A15,Leads!$O$2:$O$351,"&lt;=90")</f>
        <v>31</v>
      </c>
      <c r="C15" s="22">
        <f>C7*C8*C9</f>
        <v>3.9774686745602944E-2</v>
      </c>
      <c r="D15" s="28">
        <f>B15*C15</f>
        <v>1.2330152891136912</v>
      </c>
      <c r="E15">
        <f>COUNTIFS(Leads!$D$2:$D$351,A15,Leads!$O$2:$O$351,"&gt;90")</f>
        <v>38</v>
      </c>
      <c r="F15" t="s">
        <v>219</v>
      </c>
    </row>
    <row r="16" spans="1:6" x14ac:dyDescent="0.25">
      <c r="A16" t="s">
        <v>220</v>
      </c>
      <c r="B16">
        <f>COUNTIFS(Leads!$D$2:$D$351,A16,Leads!$O$2:$O$351,"&lt;=90")</f>
        <v>33</v>
      </c>
      <c r="C16" s="22">
        <f>C7*C8*C9</f>
        <v>3.9774686745602944E-2</v>
      </c>
      <c r="D16" s="28">
        <f>B16*C16</f>
        <v>1.3125646626048972</v>
      </c>
      <c r="E16">
        <f>COUNTIFS(Leads!$D$2:$D$351,A16,Leads!$O$2:$O$351,"&gt;90")</f>
        <v>24</v>
      </c>
      <c r="F16" t="s">
        <v>219</v>
      </c>
    </row>
    <row r="17" spans="1:6" x14ac:dyDescent="0.25">
      <c r="A17" t="s">
        <v>221</v>
      </c>
      <c r="B17">
        <f>COUNTIFS(Leads!$D$2:$D$351,A17,Leads!$O$2:$O$351,"&lt;=90")</f>
        <v>9</v>
      </c>
      <c r="C17" s="22">
        <v>0</v>
      </c>
      <c r="D17" s="28">
        <f>B17*C17</f>
        <v>0</v>
      </c>
      <c r="E17">
        <f>COUNTIFS(Leads!$D$2:$D$351,A17,Leads!$O$2:$O$351,"&gt;90")</f>
        <v>12</v>
      </c>
      <c r="F17" t="s">
        <v>222</v>
      </c>
    </row>
    <row r="18" spans="1:6" x14ac:dyDescent="0.25">
      <c r="A18" s="13" t="s">
        <v>143</v>
      </c>
      <c r="B18">
        <f>SUM(B13:B17)</f>
        <v>103</v>
      </c>
      <c r="D18" s="9">
        <f>SUM(D13:D17)</f>
        <v>6.8686176567130426</v>
      </c>
      <c r="E18">
        <f>SUM(E13:E17)</f>
        <v>133</v>
      </c>
    </row>
    <row r="20" spans="1:6" x14ac:dyDescent="0.25">
      <c r="A20" t="s">
        <v>223</v>
      </c>
      <c r="B20" s="32">
        <f>AVERAGEIF(Leads!$D$2:$D$351,"Ganho",Leads!$E$2:$E$351)</f>
        <v>1025.6500000000001</v>
      </c>
    </row>
    <row r="21" spans="1:6" x14ac:dyDescent="0.25">
      <c r="A21" t="s">
        <v>224</v>
      </c>
      <c r="B21" s="22">
        <f>COUNTIF(Clientes!$C$2:$C$74,"Churned")/COUNTA(Clientes!$A$2:$A$74)</f>
        <v>0.20547945205479451</v>
      </c>
    </row>
    <row r="22" spans="1:6" x14ac:dyDescent="0.25">
      <c r="A22" t="s">
        <v>24</v>
      </c>
      <c r="B22" s="8">
        <f>D18*B20*(1-B21)</f>
        <v>5597.2365284554598</v>
      </c>
    </row>
    <row r="24" spans="1:6" x14ac:dyDescent="0.25">
      <c r="A24" s="13" t="s">
        <v>225</v>
      </c>
    </row>
    <row r="25" spans="1:6" x14ac:dyDescent="0.25">
      <c r="A25" t="s">
        <v>226</v>
      </c>
      <c r="B25" s="33">
        <f>MIN(Leads!$P$2:$P$351)</f>
        <v>45304</v>
      </c>
    </row>
    <row r="26" spans="1:6" x14ac:dyDescent="0.25">
      <c r="A26" t="s">
        <v>227</v>
      </c>
      <c r="B26" s="33">
        <f>MAX(Leads!$P$2:$P$351)</f>
        <v>46088</v>
      </c>
    </row>
    <row r="27" spans="1:6" x14ac:dyDescent="0.25">
      <c r="A27" t="s">
        <v>228</v>
      </c>
      <c r="B27" s="17">
        <f>(YEAR(B26)-YEAR(B25))*12+MONTH(B26)-MONTH(B25)+1</f>
        <v>27</v>
      </c>
    </row>
    <row r="28" spans="1:6" x14ac:dyDescent="0.25">
      <c r="A28" t="s">
        <v>229</v>
      </c>
      <c r="B28" s="17">
        <f>COUNTIF(Leads!$D$2:$D$351,"Ganho")</f>
        <v>73</v>
      </c>
    </row>
    <row r="29" spans="1:6" x14ac:dyDescent="0.25">
      <c r="A29" t="s">
        <v>230</v>
      </c>
      <c r="B29" s="9">
        <f>B28/B27*3</f>
        <v>8.1111111111111107</v>
      </c>
    </row>
    <row r="30" spans="1:6" x14ac:dyDescent="0.25">
      <c r="A30" t="s">
        <v>231</v>
      </c>
      <c r="B30" t="str">
        <f>MIN(D33:D40)&amp;" a "&amp;MAX(D33:D40)</f>
        <v>3 a 12</v>
      </c>
    </row>
    <row r="32" spans="1:6" x14ac:dyDescent="0.25">
      <c r="A32" s="12" t="s">
        <v>232</v>
      </c>
      <c r="B32" s="12" t="s">
        <v>233</v>
      </c>
      <c r="C32" s="12" t="s">
        <v>234</v>
      </c>
      <c r="D32" s="12" t="s">
        <v>235</v>
      </c>
    </row>
    <row r="33" spans="1:4" x14ac:dyDescent="0.25">
      <c r="A33" t="s">
        <v>236</v>
      </c>
      <c r="B33" s="33">
        <f>DATE(2024,1,1)</f>
        <v>45292</v>
      </c>
      <c r="C33" s="33">
        <f t="shared" ref="C33:C41" si="0">EOMONTH(B33,2)</f>
        <v>45382</v>
      </c>
      <c r="D33">
        <f>COUNTIFS(Leads!$D$2:$D$351,"Ganho",Leads!$P$2:$P$351,"&gt;="&amp;B33,Leads!$P$2:$P$351,"&lt;="&amp;C33)</f>
        <v>3</v>
      </c>
    </row>
    <row r="34" spans="1:4" x14ac:dyDescent="0.25">
      <c r="A34" t="s">
        <v>237</v>
      </c>
      <c r="B34" s="33">
        <f>DATE(2024,4,1)</f>
        <v>45383</v>
      </c>
      <c r="C34" s="33">
        <f t="shared" si="0"/>
        <v>45473</v>
      </c>
      <c r="D34">
        <f>COUNTIFS(Leads!$D$2:$D$351,"Ganho",Leads!$P$2:$P$351,"&gt;="&amp;B34,Leads!$P$2:$P$351,"&lt;="&amp;C34)</f>
        <v>11</v>
      </c>
    </row>
    <row r="35" spans="1:4" x14ac:dyDescent="0.25">
      <c r="A35" t="s">
        <v>238</v>
      </c>
      <c r="B35" s="33">
        <f>DATE(2024,7,1)</f>
        <v>45474</v>
      </c>
      <c r="C35" s="33">
        <f t="shared" si="0"/>
        <v>45565</v>
      </c>
      <c r="D35">
        <f>COUNTIFS(Leads!$D$2:$D$351,"Ganho",Leads!$P$2:$P$351,"&gt;="&amp;B35,Leads!$P$2:$P$351,"&lt;="&amp;C35)</f>
        <v>7</v>
      </c>
    </row>
    <row r="36" spans="1:4" x14ac:dyDescent="0.25">
      <c r="A36" t="s">
        <v>239</v>
      </c>
      <c r="B36" s="33">
        <f>DATE(2024,10,1)</f>
        <v>45566</v>
      </c>
      <c r="C36" s="33">
        <f t="shared" si="0"/>
        <v>45657</v>
      </c>
      <c r="D36">
        <f>COUNTIFS(Leads!$D$2:$D$351,"Ganho",Leads!$P$2:$P$351,"&gt;="&amp;B36,Leads!$P$2:$P$351,"&lt;="&amp;C36)</f>
        <v>7</v>
      </c>
    </row>
    <row r="37" spans="1:4" x14ac:dyDescent="0.25">
      <c r="A37" t="s">
        <v>240</v>
      </c>
      <c r="B37" s="33">
        <f>DATE(2025,1,1)</f>
        <v>45658</v>
      </c>
      <c r="C37" s="33">
        <f t="shared" si="0"/>
        <v>45747</v>
      </c>
      <c r="D37">
        <f>COUNTIFS(Leads!$D$2:$D$351,"Ganho",Leads!$P$2:$P$351,"&gt;="&amp;B37,Leads!$P$2:$P$351,"&lt;="&amp;C37)</f>
        <v>5</v>
      </c>
    </row>
    <row r="38" spans="1:4" x14ac:dyDescent="0.25">
      <c r="A38" t="s">
        <v>241</v>
      </c>
      <c r="B38" s="33">
        <f>DATE(2025,4,1)</f>
        <v>45748</v>
      </c>
      <c r="C38" s="33">
        <f t="shared" si="0"/>
        <v>45838</v>
      </c>
      <c r="D38">
        <f>COUNTIFS(Leads!$D$2:$D$351,"Ganho",Leads!$P$2:$P$351,"&gt;="&amp;B38,Leads!$P$2:$P$351,"&lt;="&amp;C38)</f>
        <v>10</v>
      </c>
    </row>
    <row r="39" spans="1:4" x14ac:dyDescent="0.25">
      <c r="A39" t="s">
        <v>242</v>
      </c>
      <c r="B39" s="33">
        <f>DATE(2025,7,1)</f>
        <v>45839</v>
      </c>
      <c r="C39" s="33">
        <f t="shared" si="0"/>
        <v>45930</v>
      </c>
      <c r="D39">
        <f>COUNTIFS(Leads!$D$2:$D$351,"Ganho",Leads!$P$2:$P$351,"&gt;="&amp;B39,Leads!$P$2:$P$351,"&lt;="&amp;C39)</f>
        <v>12</v>
      </c>
    </row>
    <row r="40" spans="1:4" x14ac:dyDescent="0.25">
      <c r="A40" t="s">
        <v>243</v>
      </c>
      <c r="B40" s="33">
        <f>DATE(2025,10,1)</f>
        <v>45931</v>
      </c>
      <c r="C40" s="33">
        <f t="shared" si="0"/>
        <v>46022</v>
      </c>
      <c r="D40">
        <f>COUNTIFS(Leads!$D$2:$D$351,"Ganho",Leads!$P$2:$P$351,"&gt;="&amp;B40,Leads!$P$2:$P$351,"&lt;="&amp;C40)</f>
        <v>10</v>
      </c>
    </row>
    <row r="41" spans="1:4" x14ac:dyDescent="0.25">
      <c r="A41" t="s">
        <v>244</v>
      </c>
      <c r="B41" s="33">
        <f>DATE(2026,1,1)</f>
        <v>46023</v>
      </c>
      <c r="C41" s="33">
        <f t="shared" si="0"/>
        <v>46112</v>
      </c>
      <c r="D41">
        <f>COUNTIFS(Leads!$D$2:$D$351,"Ganho",Leads!$P$2:$P$351,"&gt;="&amp;B41,Leads!$P$2:$P$351,"&lt;="&amp;C41)</f>
        <v>8</v>
      </c>
    </row>
    <row r="44" spans="1:4" x14ac:dyDescent="0.25">
      <c r="A44" s="13" t="s">
        <v>245</v>
      </c>
    </row>
    <row r="45" spans="1:4" x14ac:dyDescent="0.25">
      <c r="A45" t="s">
        <v>246</v>
      </c>
      <c r="B45" s="32">
        <f>SUMIF(Leads!$D$2:$D$351,"Ganho",Leads!$E$2:$E$351)/B27</f>
        <v>2773.0537037037043</v>
      </c>
    </row>
    <row r="46" spans="1:4" x14ac:dyDescent="0.25">
      <c r="A46" t="s">
        <v>247</v>
      </c>
      <c r="B46" s="32">
        <v>299000</v>
      </c>
    </row>
    <row r="47" spans="1:4" x14ac:dyDescent="0.25">
      <c r="A47" t="s">
        <v>248</v>
      </c>
      <c r="B47" s="10">
        <f>B45/B46</f>
        <v>9.2744271026879745E-3</v>
      </c>
    </row>
    <row r="48" spans="1:4" x14ac:dyDescent="0.25">
      <c r="A48" t="s">
        <v>249</v>
      </c>
      <c r="B48" s="28">
        <f>D18*(1+Impacto_nMRR!C23)</f>
        <v>8.6101688002730707</v>
      </c>
    </row>
    <row r="50" spans="1:1" x14ac:dyDescent="0.25">
      <c r="A50" s="13" t="s">
        <v>144</v>
      </c>
    </row>
    <row r="51" spans="1:1" x14ac:dyDescent="0.25">
      <c r="A51" t="s">
        <v>250</v>
      </c>
    </row>
    <row r="52" spans="1:1" x14ac:dyDescent="0.25">
      <c r="A52" t="s">
        <v>251</v>
      </c>
    </row>
    <row r="53" spans="1:1" x14ac:dyDescent="0.25">
      <c r="A53" t="s">
        <v>252</v>
      </c>
    </row>
    <row r="54" spans="1:1" x14ac:dyDescent="0.25">
      <c r="A54" t="s">
        <v>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4" width="13" customWidth="1"/>
    <col min="5" max="5" width="17" customWidth="1"/>
    <col min="6" max="28" width="13" customWidth="1"/>
  </cols>
  <sheetData>
    <row r="1" spans="1:28" ht="45" customHeight="1" x14ac:dyDescent="0.25">
      <c r="A1" s="12" t="s">
        <v>254</v>
      </c>
      <c r="B1" s="12" t="s">
        <v>255</v>
      </c>
      <c r="C1" s="12" t="s">
        <v>256</v>
      </c>
      <c r="D1" s="12" t="s">
        <v>257</v>
      </c>
      <c r="E1" s="12" t="s">
        <v>258</v>
      </c>
      <c r="F1" s="12" t="s">
        <v>259</v>
      </c>
      <c r="G1" s="12" t="s">
        <v>260</v>
      </c>
      <c r="H1" s="12" t="s">
        <v>261</v>
      </c>
      <c r="I1" s="12" t="s">
        <v>262</v>
      </c>
      <c r="J1" s="12" t="s">
        <v>263</v>
      </c>
      <c r="K1" s="12" t="s">
        <v>264</v>
      </c>
      <c r="L1" s="12" t="s">
        <v>265</v>
      </c>
      <c r="M1" s="12" t="s">
        <v>266</v>
      </c>
      <c r="N1" s="12" t="s">
        <v>267</v>
      </c>
      <c r="O1" s="12" t="s">
        <v>268</v>
      </c>
      <c r="P1" s="12" t="s">
        <v>269</v>
      </c>
      <c r="Q1" s="12" t="s">
        <v>270</v>
      </c>
      <c r="R1" s="12" t="s">
        <v>271</v>
      </c>
      <c r="S1" s="12" t="s">
        <v>272</v>
      </c>
      <c r="T1" s="12" t="s">
        <v>273</v>
      </c>
      <c r="U1" s="12" t="s">
        <v>274</v>
      </c>
      <c r="V1" s="12" t="s">
        <v>275</v>
      </c>
      <c r="W1" s="12" t="s">
        <v>276</v>
      </c>
      <c r="X1" s="12" t="s">
        <v>277</v>
      </c>
      <c r="Y1" s="12" t="s">
        <v>278</v>
      </c>
      <c r="Z1" s="12" t="s">
        <v>279</v>
      </c>
      <c r="AA1" s="12" t="s">
        <v>280</v>
      </c>
      <c r="AB1" s="12" t="s">
        <v>281</v>
      </c>
    </row>
    <row r="2" spans="1:28" x14ac:dyDescent="0.25">
      <c r="A2" t="s">
        <v>282</v>
      </c>
      <c r="B2" t="s">
        <v>283</v>
      </c>
      <c r="C2" t="s">
        <v>89</v>
      </c>
      <c r="D2" t="s">
        <v>59</v>
      </c>
      <c r="E2" t="s">
        <v>91</v>
      </c>
      <c r="F2">
        <v>7</v>
      </c>
      <c r="G2">
        <v>32</v>
      </c>
      <c r="H2">
        <v>10</v>
      </c>
      <c r="I2" t="s">
        <v>65</v>
      </c>
      <c r="J2" t="s">
        <v>98</v>
      </c>
      <c r="K2" t="s">
        <v>98</v>
      </c>
      <c r="L2" t="s">
        <v>284</v>
      </c>
      <c r="M2">
        <v>1</v>
      </c>
      <c r="N2" t="str">
        <f t="shared" ref="N2:N65" si="0">IF(F2&lt;8,"1. &lt; 8 anos",IF(F2&lt;16,"2. 8 a 15 anos","3. 16+ anos"))</f>
        <v>1. &lt; 8 anos</v>
      </c>
      <c r="O2" t="str">
        <f t="shared" ref="O2:O65" si="1">IF(G2&lt;20,"1. &lt; 20",IF(G2&lt;50,"2. 20 a 49",IF(G2&lt;150,"3. 50 a 149","4. 150+")))</f>
        <v>2. 20 a 49</v>
      </c>
      <c r="P2" t="str">
        <f t="shared" ref="P2:P65" si="2">IF(H2&lt;=2,"1. 1 a 2",IF(H2&lt;=5,"2. 3 a 5",IF(H2&lt;=15,"3. 6 a 15","4. 16+")))</f>
        <v>3. 6 a 15</v>
      </c>
      <c r="Q2">
        <f t="shared" ref="Q2:Q65" si="3">IF(OR(I2="Nenhum",I2="Planilha",I2="ContaAzul"),1,0)</f>
        <v>0</v>
      </c>
      <c r="R2">
        <f t="shared" ref="R2:R65" si="4">IF(AND(G2&gt;=50,H2&gt;=6,Q2=0),1,0)</f>
        <v>0</v>
      </c>
      <c r="S2">
        <f t="shared" ref="S2:S65" si="5">IF(AND(L2&lt;&gt;"Cliente Ativo",M2=0),1,0)</f>
        <v>0</v>
      </c>
      <c r="V2" s="18">
        <f t="shared" ref="V2:V65" si="6">AVERAGEIF($D$2:$D$601,D2,$M$2:$M$601)</f>
        <v>0.43835616438356162</v>
      </c>
      <c r="W2" s="18">
        <f t="shared" ref="W2:W65" si="7">AVERAGEIF($P$2:$P$601,P2,$M$2:$M$601)</f>
        <v>0.55319148936170215</v>
      </c>
      <c r="X2" s="18">
        <f t="shared" ref="X2:X65" si="8">AVERAGEIF($O$2:$O$601,O2,$M$2:$M$601)</f>
        <v>0.25294117647058822</v>
      </c>
      <c r="Y2" s="18">
        <f t="shared" ref="Y2:Y65" si="9">AVERAGEIF($I$2:$I$601,I2,$M$2:$M$601)</f>
        <v>0.39751552795031053</v>
      </c>
      <c r="Z2" s="18">
        <f t="shared" ref="Z2:Z65" si="10">AVERAGEIF($N$2:$N$601,N2,$M$2:$M$601)</f>
        <v>0.22368421052631579</v>
      </c>
      <c r="AA2" s="10">
        <f t="shared" ref="AA2:AA65" si="11">ROUND(AVERAGE(V2:Z2),10)</f>
        <v>0.37313771369999998</v>
      </c>
      <c r="AB2" t="str">
        <f>IF(AA2&gt;=Como_Avaliar!$B$15,"Alta",IF(AA2&gt;=Como_Avaliar!$B$16,"Média","Baixa"))</f>
        <v>Média</v>
      </c>
    </row>
    <row r="3" spans="1:28" x14ac:dyDescent="0.25">
      <c r="A3" t="s">
        <v>285</v>
      </c>
      <c r="B3" t="s">
        <v>286</v>
      </c>
      <c r="C3" t="s">
        <v>88</v>
      </c>
      <c r="D3" t="s">
        <v>58</v>
      </c>
      <c r="E3" t="s">
        <v>93</v>
      </c>
      <c r="F3">
        <v>20</v>
      </c>
      <c r="G3">
        <v>143</v>
      </c>
      <c r="H3">
        <v>20</v>
      </c>
      <c r="I3" t="s">
        <v>62</v>
      </c>
      <c r="J3" t="s">
        <v>97</v>
      </c>
      <c r="K3" t="s">
        <v>98</v>
      </c>
      <c r="L3" t="s">
        <v>284</v>
      </c>
      <c r="M3">
        <v>1</v>
      </c>
      <c r="N3" t="str">
        <f t="shared" si="0"/>
        <v>3. 16+ anos</v>
      </c>
      <c r="O3" t="str">
        <f t="shared" si="1"/>
        <v>3. 50 a 149</v>
      </c>
      <c r="P3" t="str">
        <f t="shared" si="2"/>
        <v>4. 16+</v>
      </c>
      <c r="Q3">
        <f t="shared" si="3"/>
        <v>0</v>
      </c>
      <c r="R3">
        <f t="shared" si="4"/>
        <v>1</v>
      </c>
      <c r="S3">
        <f t="shared" si="5"/>
        <v>0</v>
      </c>
      <c r="V3" s="18">
        <f t="shared" si="6"/>
        <v>0.93975903614457834</v>
      </c>
      <c r="W3" s="18">
        <f t="shared" si="7"/>
        <v>0.97272727272727277</v>
      </c>
      <c r="X3" s="18">
        <f t="shared" si="8"/>
        <v>0.58992805755395683</v>
      </c>
      <c r="Y3" s="18">
        <f t="shared" si="9"/>
        <v>0.37662337662337664</v>
      </c>
      <c r="Z3" s="18">
        <f t="shared" si="10"/>
        <v>0.56634304207119746</v>
      </c>
      <c r="AA3" s="10">
        <f t="shared" si="11"/>
        <v>0.68907615700000002</v>
      </c>
      <c r="AB3" t="str">
        <f>IF(AA3&gt;=Como_Avaliar!$B$15,"Alta",IF(AA3&gt;=Como_Avaliar!$B$16,"Média","Baixa"))</f>
        <v>Alta</v>
      </c>
    </row>
    <row r="4" spans="1:28" x14ac:dyDescent="0.25">
      <c r="A4" t="s">
        <v>287</v>
      </c>
      <c r="B4" t="s">
        <v>288</v>
      </c>
      <c r="C4" t="s">
        <v>88</v>
      </c>
      <c r="D4" t="s">
        <v>57</v>
      </c>
      <c r="E4" t="s">
        <v>91</v>
      </c>
      <c r="F4">
        <v>29</v>
      </c>
      <c r="G4">
        <v>526</v>
      </c>
      <c r="H4">
        <v>80</v>
      </c>
      <c r="I4" t="s">
        <v>66</v>
      </c>
      <c r="J4" t="s">
        <v>98</v>
      </c>
      <c r="K4" t="s">
        <v>97</v>
      </c>
      <c r="L4" t="s">
        <v>289</v>
      </c>
      <c r="M4">
        <v>1</v>
      </c>
      <c r="N4" t="str">
        <f t="shared" si="0"/>
        <v>3. 16+ anos</v>
      </c>
      <c r="O4" t="str">
        <f t="shared" si="1"/>
        <v>4. 150+</v>
      </c>
      <c r="P4" t="str">
        <f t="shared" si="2"/>
        <v>4. 16+</v>
      </c>
      <c r="Q4">
        <f t="shared" si="3"/>
        <v>0</v>
      </c>
      <c r="R4">
        <f t="shared" si="4"/>
        <v>1</v>
      </c>
      <c r="S4">
        <f t="shared" si="5"/>
        <v>0</v>
      </c>
      <c r="V4" s="18">
        <f t="shared" si="6"/>
        <v>1</v>
      </c>
      <c r="W4" s="18">
        <f t="shared" si="7"/>
        <v>0.97272727272727277</v>
      </c>
      <c r="X4" s="18">
        <f t="shared" si="8"/>
        <v>0.97938144329896903</v>
      </c>
      <c r="Y4" s="18">
        <f t="shared" si="9"/>
        <v>1</v>
      </c>
      <c r="Z4" s="18">
        <f t="shared" si="10"/>
        <v>0.56634304207119746</v>
      </c>
      <c r="AA4" s="10">
        <f t="shared" si="11"/>
        <v>0.9036903516</v>
      </c>
      <c r="AB4" t="str">
        <f>IF(AA4&gt;=Como_Avaliar!$B$15,"Alta",IF(AA4&gt;=Como_Avaliar!$B$16,"Média","Baixa"))</f>
        <v>Alta</v>
      </c>
    </row>
    <row r="5" spans="1:28" x14ac:dyDescent="0.25">
      <c r="A5" t="s">
        <v>290</v>
      </c>
      <c r="B5" t="s">
        <v>288</v>
      </c>
      <c r="C5" t="s">
        <v>88</v>
      </c>
      <c r="D5" t="s">
        <v>59</v>
      </c>
      <c r="E5" t="s">
        <v>95</v>
      </c>
      <c r="F5">
        <v>15</v>
      </c>
      <c r="G5">
        <v>35</v>
      </c>
      <c r="H5">
        <v>4</v>
      </c>
      <c r="I5" t="s">
        <v>65</v>
      </c>
      <c r="J5" t="s">
        <v>97</v>
      </c>
      <c r="K5" t="s">
        <v>98</v>
      </c>
      <c r="L5" t="s">
        <v>284</v>
      </c>
      <c r="M5">
        <v>0</v>
      </c>
      <c r="N5" t="str">
        <f t="shared" si="0"/>
        <v>2. 8 a 15 anos</v>
      </c>
      <c r="O5" t="str">
        <f t="shared" si="1"/>
        <v>2. 20 a 49</v>
      </c>
      <c r="P5" t="str">
        <f t="shared" si="2"/>
        <v>2. 3 a 5</v>
      </c>
      <c r="Q5">
        <f t="shared" si="3"/>
        <v>0</v>
      </c>
      <c r="R5">
        <f t="shared" si="4"/>
        <v>0</v>
      </c>
      <c r="S5">
        <f t="shared" si="5"/>
        <v>1</v>
      </c>
      <c r="T5">
        <v>4</v>
      </c>
      <c r="U5" t="s">
        <v>137</v>
      </c>
      <c r="V5" s="18">
        <f t="shared" si="6"/>
        <v>0.43835616438356162</v>
      </c>
      <c r="W5" s="18">
        <f t="shared" si="7"/>
        <v>0.38095238095238093</v>
      </c>
      <c r="X5" s="18">
        <f t="shared" si="8"/>
        <v>0.25294117647058822</v>
      </c>
      <c r="Y5" s="18">
        <f t="shared" si="9"/>
        <v>0.39751552795031053</v>
      </c>
      <c r="Z5" s="18">
        <f t="shared" si="10"/>
        <v>0.22302158273381295</v>
      </c>
      <c r="AA5" s="10">
        <f t="shared" si="11"/>
        <v>0.33855736650000001</v>
      </c>
      <c r="AB5" t="str">
        <f>IF(AA5&gt;=Como_Avaliar!$B$15,"Alta",IF(AA5&gt;=Como_Avaliar!$B$16,"Média","Baixa"))</f>
        <v>Média</v>
      </c>
    </row>
    <row r="6" spans="1:28" x14ac:dyDescent="0.25">
      <c r="A6" t="s">
        <v>291</v>
      </c>
      <c r="B6" t="s">
        <v>292</v>
      </c>
      <c r="C6" t="s">
        <v>84</v>
      </c>
      <c r="D6" t="s">
        <v>58</v>
      </c>
      <c r="E6" t="s">
        <v>91</v>
      </c>
      <c r="F6">
        <v>11</v>
      </c>
      <c r="G6">
        <v>160</v>
      </c>
      <c r="H6">
        <v>29</v>
      </c>
      <c r="I6" t="s">
        <v>62</v>
      </c>
      <c r="J6" t="s">
        <v>98</v>
      </c>
      <c r="K6" t="s">
        <v>97</v>
      </c>
      <c r="L6" t="s">
        <v>293</v>
      </c>
      <c r="M6">
        <v>0</v>
      </c>
      <c r="N6" t="str">
        <f t="shared" si="0"/>
        <v>2. 8 a 15 anos</v>
      </c>
      <c r="O6" t="str">
        <f t="shared" si="1"/>
        <v>4. 150+</v>
      </c>
      <c r="P6" t="str">
        <f t="shared" si="2"/>
        <v>4. 16+</v>
      </c>
      <c r="Q6">
        <f t="shared" si="3"/>
        <v>0</v>
      </c>
      <c r="R6">
        <f t="shared" si="4"/>
        <v>1</v>
      </c>
      <c r="S6">
        <f t="shared" si="5"/>
        <v>1</v>
      </c>
      <c r="T6">
        <v>3</v>
      </c>
      <c r="U6" t="s">
        <v>138</v>
      </c>
      <c r="V6" s="18">
        <f t="shared" si="6"/>
        <v>0.93975903614457834</v>
      </c>
      <c r="W6" s="18">
        <f t="shared" si="7"/>
        <v>0.97272727272727277</v>
      </c>
      <c r="X6" s="18">
        <f t="shared" si="8"/>
        <v>0.97938144329896903</v>
      </c>
      <c r="Y6" s="18">
        <f t="shared" si="9"/>
        <v>0.37662337662337664</v>
      </c>
      <c r="Z6" s="18">
        <f t="shared" si="10"/>
        <v>0.22302158273381295</v>
      </c>
      <c r="AA6" s="10">
        <f t="shared" si="11"/>
        <v>0.6983025423</v>
      </c>
      <c r="AB6" t="str">
        <f>IF(AA6&gt;=Como_Avaliar!$B$15,"Alta",IF(AA6&gt;=Como_Avaliar!$B$16,"Média","Baixa"))</f>
        <v>Alta</v>
      </c>
    </row>
    <row r="7" spans="1:28" x14ac:dyDescent="0.25">
      <c r="A7" t="s">
        <v>294</v>
      </c>
      <c r="B7" t="s">
        <v>295</v>
      </c>
      <c r="C7" t="s">
        <v>84</v>
      </c>
      <c r="D7" t="s">
        <v>56</v>
      </c>
      <c r="E7" t="s">
        <v>95</v>
      </c>
      <c r="F7">
        <v>8</v>
      </c>
      <c r="G7">
        <v>22</v>
      </c>
      <c r="H7">
        <v>2</v>
      </c>
      <c r="I7" t="s">
        <v>61</v>
      </c>
      <c r="J7" t="s">
        <v>97</v>
      </c>
      <c r="K7" t="s">
        <v>97</v>
      </c>
      <c r="L7" t="s">
        <v>284</v>
      </c>
      <c r="M7">
        <v>0</v>
      </c>
      <c r="N7" t="str">
        <f t="shared" si="0"/>
        <v>2. 8 a 15 anos</v>
      </c>
      <c r="O7" t="str">
        <f t="shared" si="1"/>
        <v>2. 20 a 49</v>
      </c>
      <c r="P7" t="str">
        <f t="shared" si="2"/>
        <v>1. 1 a 2</v>
      </c>
      <c r="Q7">
        <f t="shared" si="3"/>
        <v>1</v>
      </c>
      <c r="R7">
        <f t="shared" si="4"/>
        <v>0</v>
      </c>
      <c r="S7">
        <f t="shared" si="5"/>
        <v>1</v>
      </c>
      <c r="T7">
        <v>2</v>
      </c>
      <c r="U7" t="s">
        <v>139</v>
      </c>
      <c r="V7" s="18">
        <f t="shared" si="6"/>
        <v>6.8273092369477914E-2</v>
      </c>
      <c r="W7" s="18">
        <f t="shared" si="7"/>
        <v>8.6792452830188674E-2</v>
      </c>
      <c r="X7" s="18">
        <f t="shared" si="8"/>
        <v>0.25294117647058822</v>
      </c>
      <c r="Y7" s="18">
        <f t="shared" si="9"/>
        <v>0</v>
      </c>
      <c r="Z7" s="18">
        <f t="shared" si="10"/>
        <v>0.22302158273381295</v>
      </c>
      <c r="AA7" s="10">
        <f t="shared" si="11"/>
        <v>0.12620566089999999</v>
      </c>
      <c r="AB7" t="str">
        <f>IF(AA7&gt;=Como_Avaliar!$B$15,"Alta",IF(AA7&gt;=Como_Avaliar!$B$16,"Média","Baixa"))</f>
        <v>Baixa</v>
      </c>
    </row>
    <row r="8" spans="1:28" x14ac:dyDescent="0.25">
      <c r="A8" t="s">
        <v>296</v>
      </c>
      <c r="B8" t="s">
        <v>297</v>
      </c>
      <c r="C8" t="s">
        <v>86</v>
      </c>
      <c r="D8" t="s">
        <v>56</v>
      </c>
      <c r="E8" t="s">
        <v>91</v>
      </c>
      <c r="F8">
        <v>29</v>
      </c>
      <c r="G8">
        <v>12</v>
      </c>
      <c r="H8">
        <v>1</v>
      </c>
      <c r="I8" t="s">
        <v>64</v>
      </c>
      <c r="J8" t="s">
        <v>97</v>
      </c>
      <c r="K8" t="s">
        <v>98</v>
      </c>
      <c r="L8" t="s">
        <v>298</v>
      </c>
      <c r="M8">
        <v>1</v>
      </c>
      <c r="N8" t="str">
        <f t="shared" si="0"/>
        <v>3. 16+ anos</v>
      </c>
      <c r="O8" t="str">
        <f t="shared" si="1"/>
        <v>1. &lt; 20</v>
      </c>
      <c r="P8" t="str">
        <f t="shared" si="2"/>
        <v>1. 1 a 2</v>
      </c>
      <c r="Q8">
        <f t="shared" si="3"/>
        <v>1</v>
      </c>
      <c r="R8">
        <f t="shared" si="4"/>
        <v>0</v>
      </c>
      <c r="S8">
        <f t="shared" si="5"/>
        <v>0</v>
      </c>
      <c r="V8" s="18">
        <f t="shared" si="6"/>
        <v>6.8273092369477914E-2</v>
      </c>
      <c r="W8" s="18">
        <f t="shared" si="7"/>
        <v>8.6792452830188674E-2</v>
      </c>
      <c r="X8" s="18">
        <f t="shared" si="8"/>
        <v>0.10309278350515463</v>
      </c>
      <c r="Y8" s="18">
        <f t="shared" si="9"/>
        <v>0.15625</v>
      </c>
      <c r="Z8" s="18">
        <f t="shared" si="10"/>
        <v>0.56634304207119746</v>
      </c>
      <c r="AA8" s="10">
        <f t="shared" si="11"/>
        <v>0.1961502742</v>
      </c>
      <c r="AB8" t="str">
        <f>IF(AA8&gt;=Como_Avaliar!$B$15,"Alta",IF(AA8&gt;=Como_Avaliar!$B$16,"Média","Baixa"))</f>
        <v>Baixa</v>
      </c>
    </row>
    <row r="9" spans="1:28" x14ac:dyDescent="0.25">
      <c r="A9" t="s">
        <v>299</v>
      </c>
      <c r="B9" t="s">
        <v>286</v>
      </c>
      <c r="C9" t="s">
        <v>88</v>
      </c>
      <c r="D9" t="s">
        <v>56</v>
      </c>
      <c r="E9" t="s">
        <v>94</v>
      </c>
      <c r="F9">
        <v>21</v>
      </c>
      <c r="G9">
        <v>21</v>
      </c>
      <c r="H9">
        <v>2</v>
      </c>
      <c r="I9" t="s">
        <v>64</v>
      </c>
      <c r="J9" t="s">
        <v>98</v>
      </c>
      <c r="K9" t="s">
        <v>98</v>
      </c>
      <c r="L9" t="s">
        <v>284</v>
      </c>
      <c r="M9">
        <v>0</v>
      </c>
      <c r="N9" t="str">
        <f t="shared" si="0"/>
        <v>3. 16+ anos</v>
      </c>
      <c r="O9" t="str">
        <f t="shared" si="1"/>
        <v>2. 20 a 49</v>
      </c>
      <c r="P9" t="str">
        <f t="shared" si="2"/>
        <v>1. 1 a 2</v>
      </c>
      <c r="Q9">
        <f t="shared" si="3"/>
        <v>1</v>
      </c>
      <c r="R9">
        <f t="shared" si="4"/>
        <v>0</v>
      </c>
      <c r="S9">
        <f t="shared" si="5"/>
        <v>1</v>
      </c>
      <c r="T9">
        <v>2</v>
      </c>
      <c r="U9" t="s">
        <v>139</v>
      </c>
      <c r="V9" s="18">
        <f t="shared" si="6"/>
        <v>6.8273092369477914E-2</v>
      </c>
      <c r="W9" s="18">
        <f t="shared" si="7"/>
        <v>8.6792452830188674E-2</v>
      </c>
      <c r="X9" s="18">
        <f t="shared" si="8"/>
        <v>0.25294117647058822</v>
      </c>
      <c r="Y9" s="18">
        <f t="shared" si="9"/>
        <v>0.15625</v>
      </c>
      <c r="Z9" s="18">
        <f t="shared" si="10"/>
        <v>0.56634304207119746</v>
      </c>
      <c r="AA9" s="10">
        <f t="shared" si="11"/>
        <v>0.22611995269999999</v>
      </c>
      <c r="AB9" t="str">
        <f>IF(AA9&gt;=Como_Avaliar!$B$15,"Alta",IF(AA9&gt;=Como_Avaliar!$B$16,"Média","Baixa"))</f>
        <v>Baixa</v>
      </c>
    </row>
    <row r="10" spans="1:28" x14ac:dyDescent="0.25">
      <c r="A10" t="s">
        <v>300</v>
      </c>
      <c r="B10" t="s">
        <v>301</v>
      </c>
      <c r="C10" t="s">
        <v>88</v>
      </c>
      <c r="D10" t="s">
        <v>56</v>
      </c>
      <c r="E10" t="s">
        <v>96</v>
      </c>
      <c r="F10">
        <v>7</v>
      </c>
      <c r="G10">
        <v>13</v>
      </c>
      <c r="H10">
        <v>1</v>
      </c>
      <c r="I10" t="s">
        <v>63</v>
      </c>
      <c r="J10" t="s">
        <v>97</v>
      </c>
      <c r="K10" t="s">
        <v>97</v>
      </c>
      <c r="L10" t="s">
        <v>289</v>
      </c>
      <c r="M10">
        <v>0</v>
      </c>
      <c r="N10" t="str">
        <f t="shared" si="0"/>
        <v>1. &lt; 8 anos</v>
      </c>
      <c r="O10" t="str">
        <f t="shared" si="1"/>
        <v>1. &lt; 20</v>
      </c>
      <c r="P10" t="str">
        <f t="shared" si="2"/>
        <v>1. 1 a 2</v>
      </c>
      <c r="Q10">
        <f t="shared" si="3"/>
        <v>1</v>
      </c>
      <c r="R10">
        <f t="shared" si="4"/>
        <v>0</v>
      </c>
      <c r="S10">
        <f t="shared" si="5"/>
        <v>1</v>
      </c>
      <c r="T10">
        <v>2</v>
      </c>
      <c r="U10" t="s">
        <v>139</v>
      </c>
      <c r="V10" s="18">
        <f t="shared" si="6"/>
        <v>6.8273092369477914E-2</v>
      </c>
      <c r="W10" s="18">
        <f t="shared" si="7"/>
        <v>8.6792452830188674E-2</v>
      </c>
      <c r="X10" s="18">
        <f t="shared" si="8"/>
        <v>0.10309278350515463</v>
      </c>
      <c r="Y10" s="18">
        <f t="shared" si="9"/>
        <v>6.5217391304347824E-2</v>
      </c>
      <c r="Z10" s="18">
        <f t="shared" si="10"/>
        <v>0.22368421052631579</v>
      </c>
      <c r="AA10" s="10">
        <f t="shared" si="11"/>
        <v>0.1094119861</v>
      </c>
      <c r="AB10" t="str">
        <f>IF(AA10&gt;=Como_Avaliar!$B$15,"Alta",IF(AA10&gt;=Como_Avaliar!$B$16,"Média","Baixa"))</f>
        <v>Baixa</v>
      </c>
    </row>
    <row r="11" spans="1:28" x14ac:dyDescent="0.25">
      <c r="A11" t="s">
        <v>302</v>
      </c>
      <c r="B11" t="s">
        <v>286</v>
      </c>
      <c r="C11" t="s">
        <v>88</v>
      </c>
      <c r="D11" t="s">
        <v>59</v>
      </c>
      <c r="E11" t="s">
        <v>94</v>
      </c>
      <c r="F11">
        <v>26</v>
      </c>
      <c r="G11">
        <v>79</v>
      </c>
      <c r="H11">
        <v>3</v>
      </c>
      <c r="I11" t="s">
        <v>60</v>
      </c>
      <c r="J11" t="s">
        <v>97</v>
      </c>
      <c r="K11" t="s">
        <v>97</v>
      </c>
      <c r="L11" t="s">
        <v>284</v>
      </c>
      <c r="M11">
        <v>1</v>
      </c>
      <c r="N11" t="str">
        <f t="shared" si="0"/>
        <v>3. 16+ anos</v>
      </c>
      <c r="O11" t="str">
        <f t="shared" si="1"/>
        <v>3. 50 a 149</v>
      </c>
      <c r="P11" t="str">
        <f t="shared" si="2"/>
        <v>2. 3 a 5</v>
      </c>
      <c r="Q11">
        <f t="shared" si="3"/>
        <v>0</v>
      </c>
      <c r="R11">
        <f t="shared" si="4"/>
        <v>0</v>
      </c>
      <c r="S11">
        <f t="shared" si="5"/>
        <v>0</v>
      </c>
      <c r="V11" s="18">
        <f t="shared" si="6"/>
        <v>0.43835616438356162</v>
      </c>
      <c r="W11" s="18">
        <f t="shared" si="7"/>
        <v>0.38095238095238093</v>
      </c>
      <c r="X11" s="18">
        <f t="shared" si="8"/>
        <v>0.58992805755395683</v>
      </c>
      <c r="Y11" s="18">
        <f t="shared" si="9"/>
        <v>0.65217391304347827</v>
      </c>
      <c r="Z11" s="18">
        <f t="shared" si="10"/>
        <v>0.56634304207119746</v>
      </c>
      <c r="AA11" s="10">
        <f t="shared" si="11"/>
        <v>0.5255507116</v>
      </c>
      <c r="AB11" t="str">
        <f>IF(AA11&gt;=Como_Avaliar!$B$15,"Alta",IF(AA11&gt;=Como_Avaliar!$B$16,"Média","Baixa"))</f>
        <v>Alta</v>
      </c>
    </row>
    <row r="12" spans="1:28" x14ac:dyDescent="0.25">
      <c r="A12" t="s">
        <v>303</v>
      </c>
      <c r="B12" t="s">
        <v>286</v>
      </c>
      <c r="C12" t="s">
        <v>88</v>
      </c>
      <c r="D12" t="s">
        <v>56</v>
      </c>
      <c r="E12" t="s">
        <v>93</v>
      </c>
      <c r="F12">
        <v>19</v>
      </c>
      <c r="G12">
        <v>19</v>
      </c>
      <c r="H12">
        <v>1</v>
      </c>
      <c r="I12" t="s">
        <v>61</v>
      </c>
      <c r="J12" t="s">
        <v>98</v>
      </c>
      <c r="K12" t="s">
        <v>97</v>
      </c>
      <c r="L12" t="s">
        <v>298</v>
      </c>
      <c r="M12">
        <v>0</v>
      </c>
      <c r="N12" t="str">
        <f t="shared" si="0"/>
        <v>3. 16+ anos</v>
      </c>
      <c r="O12" t="str">
        <f t="shared" si="1"/>
        <v>1. &lt; 20</v>
      </c>
      <c r="P12" t="str">
        <f t="shared" si="2"/>
        <v>1. 1 a 2</v>
      </c>
      <c r="Q12">
        <f t="shared" si="3"/>
        <v>1</v>
      </c>
      <c r="R12">
        <f t="shared" si="4"/>
        <v>0</v>
      </c>
      <c r="S12">
        <f t="shared" si="5"/>
        <v>1</v>
      </c>
      <c r="T12">
        <v>2</v>
      </c>
      <c r="U12" t="s">
        <v>139</v>
      </c>
      <c r="V12" s="18">
        <f t="shared" si="6"/>
        <v>6.8273092369477914E-2</v>
      </c>
      <c r="W12" s="18">
        <f t="shared" si="7"/>
        <v>8.6792452830188674E-2</v>
      </c>
      <c r="X12" s="18">
        <f t="shared" si="8"/>
        <v>0.10309278350515463</v>
      </c>
      <c r="Y12" s="18">
        <f t="shared" si="9"/>
        <v>0</v>
      </c>
      <c r="Z12" s="18">
        <f t="shared" si="10"/>
        <v>0.56634304207119746</v>
      </c>
      <c r="AA12" s="10">
        <f t="shared" si="11"/>
        <v>0.1649002742</v>
      </c>
      <c r="AB12" t="str">
        <f>IF(AA12&gt;=Como_Avaliar!$B$15,"Alta",IF(AA12&gt;=Como_Avaliar!$B$16,"Média","Baixa"))</f>
        <v>Baixa</v>
      </c>
    </row>
    <row r="13" spans="1:28" x14ac:dyDescent="0.25">
      <c r="A13" t="s">
        <v>304</v>
      </c>
      <c r="B13" t="s">
        <v>305</v>
      </c>
      <c r="C13" t="s">
        <v>89</v>
      </c>
      <c r="D13" t="s">
        <v>59</v>
      </c>
      <c r="E13" t="s">
        <v>90</v>
      </c>
      <c r="F13">
        <v>23</v>
      </c>
      <c r="G13">
        <v>77</v>
      </c>
      <c r="H13">
        <v>6</v>
      </c>
      <c r="I13" t="s">
        <v>64</v>
      </c>
      <c r="J13" t="s">
        <v>98</v>
      </c>
      <c r="K13" t="s">
        <v>98</v>
      </c>
      <c r="L13" t="s">
        <v>284</v>
      </c>
      <c r="M13">
        <v>1</v>
      </c>
      <c r="N13" t="str">
        <f t="shared" si="0"/>
        <v>3. 16+ anos</v>
      </c>
      <c r="O13" t="str">
        <f t="shared" si="1"/>
        <v>3. 50 a 149</v>
      </c>
      <c r="P13" t="str">
        <f t="shared" si="2"/>
        <v>3. 6 a 15</v>
      </c>
      <c r="Q13">
        <f t="shared" si="3"/>
        <v>1</v>
      </c>
      <c r="R13">
        <f t="shared" si="4"/>
        <v>0</v>
      </c>
      <c r="S13">
        <f t="shared" si="5"/>
        <v>0</v>
      </c>
      <c r="V13" s="18">
        <f t="shared" si="6"/>
        <v>0.43835616438356162</v>
      </c>
      <c r="W13" s="18">
        <f t="shared" si="7"/>
        <v>0.55319148936170215</v>
      </c>
      <c r="X13" s="18">
        <f t="shared" si="8"/>
        <v>0.58992805755395683</v>
      </c>
      <c r="Y13" s="18">
        <f t="shared" si="9"/>
        <v>0.15625</v>
      </c>
      <c r="Z13" s="18">
        <f t="shared" si="10"/>
        <v>0.56634304207119746</v>
      </c>
      <c r="AA13" s="10">
        <f t="shared" si="11"/>
        <v>0.46081375070000002</v>
      </c>
      <c r="AB13" t="str">
        <f>IF(AA13&gt;=Como_Avaliar!$B$15,"Alta",IF(AA13&gt;=Como_Avaliar!$B$16,"Média","Baixa"))</f>
        <v>Média</v>
      </c>
    </row>
    <row r="14" spans="1:28" x14ac:dyDescent="0.25">
      <c r="A14" t="s">
        <v>306</v>
      </c>
      <c r="B14" t="s">
        <v>286</v>
      </c>
      <c r="C14" t="s">
        <v>88</v>
      </c>
      <c r="D14" t="s">
        <v>58</v>
      </c>
      <c r="E14" t="s">
        <v>95</v>
      </c>
      <c r="F14">
        <v>11</v>
      </c>
      <c r="G14">
        <v>241</v>
      </c>
      <c r="H14">
        <v>12</v>
      </c>
      <c r="I14" t="s">
        <v>68</v>
      </c>
      <c r="J14" t="s">
        <v>97</v>
      </c>
      <c r="K14" t="s">
        <v>97</v>
      </c>
      <c r="L14" t="s">
        <v>289</v>
      </c>
      <c r="M14">
        <v>1</v>
      </c>
      <c r="N14" t="str">
        <f t="shared" si="0"/>
        <v>2. 8 a 15 anos</v>
      </c>
      <c r="O14" t="str">
        <f t="shared" si="1"/>
        <v>4. 150+</v>
      </c>
      <c r="P14" t="str">
        <f t="shared" si="2"/>
        <v>3. 6 a 15</v>
      </c>
      <c r="Q14">
        <f t="shared" si="3"/>
        <v>0</v>
      </c>
      <c r="R14">
        <f t="shared" si="4"/>
        <v>1</v>
      </c>
      <c r="S14">
        <f t="shared" si="5"/>
        <v>0</v>
      </c>
      <c r="V14" s="18">
        <f t="shared" si="6"/>
        <v>0.93975903614457834</v>
      </c>
      <c r="W14" s="18">
        <f t="shared" si="7"/>
        <v>0.55319148936170215</v>
      </c>
      <c r="X14" s="18">
        <f t="shared" si="8"/>
        <v>0.97938144329896903</v>
      </c>
      <c r="Y14" s="18">
        <f t="shared" si="9"/>
        <v>0.58333333333333337</v>
      </c>
      <c r="Z14" s="18">
        <f t="shared" si="10"/>
        <v>0.22302158273381295</v>
      </c>
      <c r="AA14" s="10">
        <f t="shared" si="11"/>
        <v>0.65573737700000001</v>
      </c>
      <c r="AB14" t="str">
        <f>IF(AA14&gt;=Como_Avaliar!$B$15,"Alta",IF(AA14&gt;=Como_Avaliar!$B$16,"Média","Baixa"))</f>
        <v>Alta</v>
      </c>
    </row>
    <row r="15" spans="1:28" x14ac:dyDescent="0.25">
      <c r="A15" t="s">
        <v>307</v>
      </c>
      <c r="B15" t="s">
        <v>286</v>
      </c>
      <c r="C15" t="s">
        <v>88</v>
      </c>
      <c r="D15" t="s">
        <v>56</v>
      </c>
      <c r="E15" t="s">
        <v>94</v>
      </c>
      <c r="F15">
        <v>11</v>
      </c>
      <c r="G15">
        <v>21</v>
      </c>
      <c r="H15">
        <v>2</v>
      </c>
      <c r="I15" t="s">
        <v>62</v>
      </c>
      <c r="J15" t="s">
        <v>98</v>
      </c>
      <c r="K15" t="s">
        <v>98</v>
      </c>
      <c r="L15" t="s">
        <v>289</v>
      </c>
      <c r="M15">
        <v>0</v>
      </c>
      <c r="N15" t="str">
        <f t="shared" si="0"/>
        <v>2. 8 a 15 anos</v>
      </c>
      <c r="O15" t="str">
        <f t="shared" si="1"/>
        <v>2. 20 a 49</v>
      </c>
      <c r="P15" t="str">
        <f t="shared" si="2"/>
        <v>1. 1 a 2</v>
      </c>
      <c r="Q15">
        <f t="shared" si="3"/>
        <v>0</v>
      </c>
      <c r="R15">
        <f t="shared" si="4"/>
        <v>0</v>
      </c>
      <c r="S15">
        <f t="shared" si="5"/>
        <v>1</v>
      </c>
      <c r="T15">
        <v>2</v>
      </c>
      <c r="U15" t="s">
        <v>139</v>
      </c>
      <c r="V15" s="18">
        <f t="shared" si="6"/>
        <v>6.8273092369477914E-2</v>
      </c>
      <c r="W15" s="18">
        <f t="shared" si="7"/>
        <v>8.6792452830188674E-2</v>
      </c>
      <c r="X15" s="18">
        <f t="shared" si="8"/>
        <v>0.25294117647058822</v>
      </c>
      <c r="Y15" s="18">
        <f t="shared" si="9"/>
        <v>0.37662337662337664</v>
      </c>
      <c r="Z15" s="18">
        <f t="shared" si="10"/>
        <v>0.22302158273381295</v>
      </c>
      <c r="AA15" s="10">
        <f t="shared" si="11"/>
        <v>0.20153033619999999</v>
      </c>
      <c r="AB15" t="str">
        <f>IF(AA15&gt;=Como_Avaliar!$B$15,"Alta",IF(AA15&gt;=Como_Avaliar!$B$16,"Média","Baixa"))</f>
        <v>Baixa</v>
      </c>
    </row>
    <row r="16" spans="1:28" x14ac:dyDescent="0.25">
      <c r="A16" t="s">
        <v>308</v>
      </c>
      <c r="B16" t="s">
        <v>283</v>
      </c>
      <c r="C16" t="s">
        <v>89</v>
      </c>
      <c r="D16" t="s">
        <v>59</v>
      </c>
      <c r="E16" t="s">
        <v>92</v>
      </c>
      <c r="F16">
        <v>24</v>
      </c>
      <c r="G16">
        <v>53</v>
      </c>
      <c r="H16">
        <v>4</v>
      </c>
      <c r="I16" t="s">
        <v>62</v>
      </c>
      <c r="J16" t="s">
        <v>98</v>
      </c>
      <c r="K16" t="s">
        <v>97</v>
      </c>
      <c r="L16" t="s">
        <v>284</v>
      </c>
      <c r="M16">
        <v>1</v>
      </c>
      <c r="N16" t="str">
        <f t="shared" si="0"/>
        <v>3. 16+ anos</v>
      </c>
      <c r="O16" t="str">
        <f t="shared" si="1"/>
        <v>3. 50 a 149</v>
      </c>
      <c r="P16" t="str">
        <f t="shared" si="2"/>
        <v>2. 3 a 5</v>
      </c>
      <c r="Q16">
        <f t="shared" si="3"/>
        <v>0</v>
      </c>
      <c r="R16">
        <f t="shared" si="4"/>
        <v>0</v>
      </c>
      <c r="S16">
        <f t="shared" si="5"/>
        <v>0</v>
      </c>
      <c r="V16" s="18">
        <f t="shared" si="6"/>
        <v>0.43835616438356162</v>
      </c>
      <c r="W16" s="18">
        <f t="shared" si="7"/>
        <v>0.38095238095238093</v>
      </c>
      <c r="X16" s="18">
        <f t="shared" si="8"/>
        <v>0.58992805755395683</v>
      </c>
      <c r="Y16" s="18">
        <f t="shared" si="9"/>
        <v>0.37662337662337664</v>
      </c>
      <c r="Z16" s="18">
        <f t="shared" si="10"/>
        <v>0.56634304207119746</v>
      </c>
      <c r="AA16" s="10">
        <f t="shared" si="11"/>
        <v>0.47044060430000001</v>
      </c>
      <c r="AB16" t="str">
        <f>IF(AA16&gt;=Como_Avaliar!$B$15,"Alta",IF(AA16&gt;=Como_Avaliar!$B$16,"Média","Baixa"))</f>
        <v>Média</v>
      </c>
    </row>
    <row r="17" spans="1:28" x14ac:dyDescent="0.25">
      <c r="A17" t="s">
        <v>309</v>
      </c>
      <c r="B17" t="s">
        <v>305</v>
      </c>
      <c r="C17" t="s">
        <v>89</v>
      </c>
      <c r="D17" t="s">
        <v>56</v>
      </c>
      <c r="E17" t="s">
        <v>93</v>
      </c>
      <c r="F17">
        <v>21</v>
      </c>
      <c r="G17">
        <v>18</v>
      </c>
      <c r="H17">
        <v>2</v>
      </c>
      <c r="I17" t="s">
        <v>62</v>
      </c>
      <c r="J17" t="s">
        <v>97</v>
      </c>
      <c r="K17" t="s">
        <v>98</v>
      </c>
      <c r="L17" t="s">
        <v>289</v>
      </c>
      <c r="M17">
        <v>1</v>
      </c>
      <c r="N17" t="str">
        <f t="shared" si="0"/>
        <v>3. 16+ anos</v>
      </c>
      <c r="O17" t="str">
        <f t="shared" si="1"/>
        <v>1. &lt; 20</v>
      </c>
      <c r="P17" t="str">
        <f t="shared" si="2"/>
        <v>1. 1 a 2</v>
      </c>
      <c r="Q17">
        <f t="shared" si="3"/>
        <v>0</v>
      </c>
      <c r="R17">
        <f t="shared" si="4"/>
        <v>0</v>
      </c>
      <c r="S17">
        <f t="shared" si="5"/>
        <v>0</v>
      </c>
      <c r="V17" s="18">
        <f t="shared" si="6"/>
        <v>6.8273092369477914E-2</v>
      </c>
      <c r="W17" s="18">
        <f t="shared" si="7"/>
        <v>8.6792452830188674E-2</v>
      </c>
      <c r="X17" s="18">
        <f t="shared" si="8"/>
        <v>0.10309278350515463</v>
      </c>
      <c r="Y17" s="18">
        <f t="shared" si="9"/>
        <v>0.37662337662337664</v>
      </c>
      <c r="Z17" s="18">
        <f t="shared" si="10"/>
        <v>0.56634304207119746</v>
      </c>
      <c r="AA17" s="10">
        <f t="shared" si="11"/>
        <v>0.24022494950000001</v>
      </c>
      <c r="AB17" t="str">
        <f>IF(AA17&gt;=Como_Avaliar!$B$15,"Alta",IF(AA17&gt;=Como_Avaliar!$B$16,"Média","Baixa"))</f>
        <v>Média</v>
      </c>
    </row>
    <row r="18" spans="1:28" x14ac:dyDescent="0.25">
      <c r="A18" t="s">
        <v>310</v>
      </c>
      <c r="B18" t="s">
        <v>288</v>
      </c>
      <c r="C18" t="s">
        <v>88</v>
      </c>
      <c r="D18" t="s">
        <v>56</v>
      </c>
      <c r="E18" t="s">
        <v>95</v>
      </c>
      <c r="F18">
        <v>4</v>
      </c>
      <c r="G18">
        <v>3</v>
      </c>
      <c r="H18">
        <v>2</v>
      </c>
      <c r="I18" t="s">
        <v>63</v>
      </c>
      <c r="J18" t="s">
        <v>97</v>
      </c>
      <c r="K18" t="s">
        <v>98</v>
      </c>
      <c r="L18" t="s">
        <v>284</v>
      </c>
      <c r="M18">
        <v>0</v>
      </c>
      <c r="N18" t="str">
        <f t="shared" si="0"/>
        <v>1. &lt; 8 anos</v>
      </c>
      <c r="O18" t="str">
        <f t="shared" si="1"/>
        <v>1. &lt; 20</v>
      </c>
      <c r="P18" t="str">
        <f t="shared" si="2"/>
        <v>1. 1 a 2</v>
      </c>
      <c r="Q18">
        <f t="shared" si="3"/>
        <v>1</v>
      </c>
      <c r="R18">
        <f t="shared" si="4"/>
        <v>0</v>
      </c>
      <c r="S18">
        <f t="shared" si="5"/>
        <v>1</v>
      </c>
      <c r="T18">
        <v>2</v>
      </c>
      <c r="U18" t="s">
        <v>139</v>
      </c>
      <c r="V18" s="18">
        <f t="shared" si="6"/>
        <v>6.8273092369477914E-2</v>
      </c>
      <c r="W18" s="18">
        <f t="shared" si="7"/>
        <v>8.6792452830188674E-2</v>
      </c>
      <c r="X18" s="18">
        <f t="shared" si="8"/>
        <v>0.10309278350515463</v>
      </c>
      <c r="Y18" s="18">
        <f t="shared" si="9"/>
        <v>6.5217391304347824E-2</v>
      </c>
      <c r="Z18" s="18">
        <f t="shared" si="10"/>
        <v>0.22368421052631579</v>
      </c>
      <c r="AA18" s="10">
        <f t="shared" si="11"/>
        <v>0.1094119861</v>
      </c>
      <c r="AB18" t="str">
        <f>IF(AA18&gt;=Como_Avaliar!$B$15,"Alta",IF(AA18&gt;=Como_Avaliar!$B$16,"Média","Baixa"))</f>
        <v>Baixa</v>
      </c>
    </row>
    <row r="19" spans="1:28" x14ac:dyDescent="0.25">
      <c r="A19" t="s">
        <v>311</v>
      </c>
      <c r="B19" t="s">
        <v>312</v>
      </c>
      <c r="C19" t="s">
        <v>89</v>
      </c>
      <c r="D19" t="s">
        <v>56</v>
      </c>
      <c r="E19" t="s">
        <v>93</v>
      </c>
      <c r="F19">
        <v>8</v>
      </c>
      <c r="G19">
        <v>14</v>
      </c>
      <c r="H19">
        <v>2</v>
      </c>
      <c r="I19" t="s">
        <v>65</v>
      </c>
      <c r="J19" t="s">
        <v>97</v>
      </c>
      <c r="K19" t="s">
        <v>98</v>
      </c>
      <c r="L19" t="s">
        <v>284</v>
      </c>
      <c r="M19">
        <v>0</v>
      </c>
      <c r="N19" t="str">
        <f t="shared" si="0"/>
        <v>2. 8 a 15 anos</v>
      </c>
      <c r="O19" t="str">
        <f t="shared" si="1"/>
        <v>1. &lt; 20</v>
      </c>
      <c r="P19" t="str">
        <f t="shared" si="2"/>
        <v>1. 1 a 2</v>
      </c>
      <c r="Q19">
        <f t="shared" si="3"/>
        <v>0</v>
      </c>
      <c r="R19">
        <f t="shared" si="4"/>
        <v>0</v>
      </c>
      <c r="S19">
        <f t="shared" si="5"/>
        <v>1</v>
      </c>
      <c r="T19">
        <v>3</v>
      </c>
      <c r="U19" t="s">
        <v>138</v>
      </c>
      <c r="V19" s="18">
        <f t="shared" si="6"/>
        <v>6.8273092369477914E-2</v>
      </c>
      <c r="W19" s="18">
        <f t="shared" si="7"/>
        <v>8.6792452830188674E-2</v>
      </c>
      <c r="X19" s="18">
        <f t="shared" si="8"/>
        <v>0.10309278350515463</v>
      </c>
      <c r="Y19" s="18">
        <f t="shared" si="9"/>
        <v>0.39751552795031053</v>
      </c>
      <c r="Z19" s="18">
        <f t="shared" si="10"/>
        <v>0.22302158273381295</v>
      </c>
      <c r="AA19" s="10">
        <f t="shared" si="11"/>
        <v>0.17573908790000001</v>
      </c>
      <c r="AB19" t="str">
        <f>IF(AA19&gt;=Como_Avaliar!$B$15,"Alta",IF(AA19&gt;=Como_Avaliar!$B$16,"Média","Baixa"))</f>
        <v>Baixa</v>
      </c>
    </row>
    <row r="20" spans="1:28" x14ac:dyDescent="0.25">
      <c r="A20" t="s">
        <v>313</v>
      </c>
      <c r="B20" t="s">
        <v>314</v>
      </c>
      <c r="C20" t="s">
        <v>84</v>
      </c>
      <c r="D20" t="s">
        <v>59</v>
      </c>
      <c r="E20" t="s">
        <v>96</v>
      </c>
      <c r="F20">
        <v>24</v>
      </c>
      <c r="G20">
        <v>57</v>
      </c>
      <c r="H20">
        <v>3</v>
      </c>
      <c r="I20" t="s">
        <v>68</v>
      </c>
      <c r="J20" t="s">
        <v>97</v>
      </c>
      <c r="K20" t="s">
        <v>97</v>
      </c>
      <c r="L20" t="s">
        <v>284</v>
      </c>
      <c r="M20">
        <v>1</v>
      </c>
      <c r="N20" t="str">
        <f t="shared" si="0"/>
        <v>3. 16+ anos</v>
      </c>
      <c r="O20" t="str">
        <f t="shared" si="1"/>
        <v>3. 50 a 149</v>
      </c>
      <c r="P20" t="str">
        <f t="shared" si="2"/>
        <v>2. 3 a 5</v>
      </c>
      <c r="Q20">
        <f t="shared" si="3"/>
        <v>0</v>
      </c>
      <c r="R20">
        <f t="shared" si="4"/>
        <v>0</v>
      </c>
      <c r="S20">
        <f t="shared" si="5"/>
        <v>0</v>
      </c>
      <c r="V20" s="18">
        <f t="shared" si="6"/>
        <v>0.43835616438356162</v>
      </c>
      <c r="W20" s="18">
        <f t="shared" si="7"/>
        <v>0.38095238095238093</v>
      </c>
      <c r="X20" s="18">
        <f t="shared" si="8"/>
        <v>0.58992805755395683</v>
      </c>
      <c r="Y20" s="18">
        <f t="shared" si="9"/>
        <v>0.58333333333333337</v>
      </c>
      <c r="Z20" s="18">
        <f t="shared" si="10"/>
        <v>0.56634304207119746</v>
      </c>
      <c r="AA20" s="10">
        <f t="shared" si="11"/>
        <v>0.51178259569999995</v>
      </c>
      <c r="AB20" t="str">
        <f>IF(AA20&gt;=Como_Avaliar!$B$15,"Alta",IF(AA20&gt;=Como_Avaliar!$B$16,"Média","Baixa"))</f>
        <v>Alta</v>
      </c>
    </row>
    <row r="21" spans="1:28" x14ac:dyDescent="0.25">
      <c r="A21" t="s">
        <v>315</v>
      </c>
      <c r="B21" t="s">
        <v>286</v>
      </c>
      <c r="C21" t="s">
        <v>88</v>
      </c>
      <c r="D21" t="s">
        <v>59</v>
      </c>
      <c r="E21" t="s">
        <v>90</v>
      </c>
      <c r="F21">
        <v>3</v>
      </c>
      <c r="G21">
        <v>29</v>
      </c>
      <c r="H21">
        <v>3</v>
      </c>
      <c r="I21" t="s">
        <v>62</v>
      </c>
      <c r="J21" t="s">
        <v>97</v>
      </c>
      <c r="K21" t="s">
        <v>97</v>
      </c>
      <c r="L21" t="s">
        <v>298</v>
      </c>
      <c r="M21">
        <v>0</v>
      </c>
      <c r="N21" t="str">
        <f t="shared" si="0"/>
        <v>1. &lt; 8 anos</v>
      </c>
      <c r="O21" t="str">
        <f t="shared" si="1"/>
        <v>2. 20 a 49</v>
      </c>
      <c r="P21" t="str">
        <f t="shared" si="2"/>
        <v>2. 3 a 5</v>
      </c>
      <c r="Q21">
        <f t="shared" si="3"/>
        <v>0</v>
      </c>
      <c r="R21">
        <f t="shared" si="4"/>
        <v>0</v>
      </c>
      <c r="S21">
        <f t="shared" si="5"/>
        <v>1</v>
      </c>
      <c r="T21">
        <v>3</v>
      </c>
      <c r="U21" t="s">
        <v>138</v>
      </c>
      <c r="V21" s="18">
        <f t="shared" si="6"/>
        <v>0.43835616438356162</v>
      </c>
      <c r="W21" s="18">
        <f t="shared" si="7"/>
        <v>0.38095238095238093</v>
      </c>
      <c r="X21" s="18">
        <f t="shared" si="8"/>
        <v>0.25294117647058822</v>
      </c>
      <c r="Y21" s="18">
        <f t="shared" si="9"/>
        <v>0.37662337662337664</v>
      </c>
      <c r="Z21" s="18">
        <f t="shared" si="10"/>
        <v>0.22368421052631579</v>
      </c>
      <c r="AA21" s="10">
        <f t="shared" si="11"/>
        <v>0.33451146180000002</v>
      </c>
      <c r="AB21" t="str">
        <f>IF(AA21&gt;=Como_Avaliar!$B$15,"Alta",IF(AA21&gt;=Como_Avaliar!$B$16,"Média","Baixa"))</f>
        <v>Média</v>
      </c>
    </row>
    <row r="22" spans="1:28" x14ac:dyDescent="0.25">
      <c r="A22" t="s">
        <v>316</v>
      </c>
      <c r="B22" t="s">
        <v>314</v>
      </c>
      <c r="C22" t="s">
        <v>84</v>
      </c>
      <c r="D22" t="s">
        <v>58</v>
      </c>
      <c r="E22" t="s">
        <v>96</v>
      </c>
      <c r="F22">
        <v>22</v>
      </c>
      <c r="G22">
        <v>166</v>
      </c>
      <c r="H22">
        <v>8</v>
      </c>
      <c r="I22" t="s">
        <v>62</v>
      </c>
      <c r="J22" t="s">
        <v>97</v>
      </c>
      <c r="K22" t="s">
        <v>97</v>
      </c>
      <c r="L22" t="s">
        <v>284</v>
      </c>
      <c r="M22">
        <v>1</v>
      </c>
      <c r="N22" t="str">
        <f t="shared" si="0"/>
        <v>3. 16+ anos</v>
      </c>
      <c r="O22" t="str">
        <f t="shared" si="1"/>
        <v>4. 150+</v>
      </c>
      <c r="P22" t="str">
        <f t="shared" si="2"/>
        <v>3. 6 a 15</v>
      </c>
      <c r="Q22">
        <f t="shared" si="3"/>
        <v>0</v>
      </c>
      <c r="R22">
        <f t="shared" si="4"/>
        <v>1</v>
      </c>
      <c r="S22">
        <f t="shared" si="5"/>
        <v>0</v>
      </c>
      <c r="V22" s="18">
        <f t="shared" si="6"/>
        <v>0.93975903614457834</v>
      </c>
      <c r="W22" s="18">
        <f t="shared" si="7"/>
        <v>0.55319148936170215</v>
      </c>
      <c r="X22" s="18">
        <f t="shared" si="8"/>
        <v>0.97938144329896903</v>
      </c>
      <c r="Y22" s="18">
        <f t="shared" si="9"/>
        <v>0.37662337662337664</v>
      </c>
      <c r="Z22" s="18">
        <f t="shared" si="10"/>
        <v>0.56634304207119746</v>
      </c>
      <c r="AA22" s="10">
        <f t="shared" si="11"/>
        <v>0.68305967749999996</v>
      </c>
      <c r="AB22" t="str">
        <f>IF(AA22&gt;=Como_Avaliar!$B$15,"Alta",IF(AA22&gt;=Como_Avaliar!$B$16,"Média","Baixa"))</f>
        <v>Alta</v>
      </c>
    </row>
    <row r="23" spans="1:28" x14ac:dyDescent="0.25">
      <c r="A23" t="s">
        <v>317</v>
      </c>
      <c r="B23" t="s">
        <v>295</v>
      </c>
      <c r="C23" t="s">
        <v>84</v>
      </c>
      <c r="D23" t="s">
        <v>59</v>
      </c>
      <c r="E23" t="s">
        <v>92</v>
      </c>
      <c r="F23">
        <v>21</v>
      </c>
      <c r="G23">
        <v>54</v>
      </c>
      <c r="H23">
        <v>6</v>
      </c>
      <c r="I23" t="s">
        <v>68</v>
      </c>
      <c r="J23" t="s">
        <v>98</v>
      </c>
      <c r="K23" t="s">
        <v>98</v>
      </c>
      <c r="L23" t="s">
        <v>284</v>
      </c>
      <c r="M23">
        <v>0</v>
      </c>
      <c r="N23" t="str">
        <f t="shared" si="0"/>
        <v>3. 16+ anos</v>
      </c>
      <c r="O23" t="str">
        <f t="shared" si="1"/>
        <v>3. 50 a 149</v>
      </c>
      <c r="P23" t="str">
        <f t="shared" si="2"/>
        <v>3. 6 a 15</v>
      </c>
      <c r="Q23">
        <f t="shared" si="3"/>
        <v>0</v>
      </c>
      <c r="R23">
        <f t="shared" si="4"/>
        <v>1</v>
      </c>
      <c r="S23">
        <f t="shared" si="5"/>
        <v>1</v>
      </c>
      <c r="T23">
        <v>3</v>
      </c>
      <c r="U23" t="s">
        <v>138</v>
      </c>
      <c r="V23" s="18">
        <f t="shared" si="6"/>
        <v>0.43835616438356162</v>
      </c>
      <c r="W23" s="18">
        <f t="shared" si="7"/>
        <v>0.55319148936170215</v>
      </c>
      <c r="X23" s="18">
        <f t="shared" si="8"/>
        <v>0.58992805755395683</v>
      </c>
      <c r="Y23" s="18">
        <f t="shared" si="9"/>
        <v>0.58333333333333337</v>
      </c>
      <c r="Z23" s="18">
        <f t="shared" si="10"/>
        <v>0.56634304207119746</v>
      </c>
      <c r="AA23" s="10">
        <f t="shared" si="11"/>
        <v>0.54623041729999999</v>
      </c>
      <c r="AB23" t="str">
        <f>IF(AA23&gt;=Como_Avaliar!$B$15,"Alta",IF(AA23&gt;=Como_Avaliar!$B$16,"Média","Baixa"))</f>
        <v>Alta</v>
      </c>
    </row>
    <row r="24" spans="1:28" x14ac:dyDescent="0.25">
      <c r="A24" t="s">
        <v>318</v>
      </c>
      <c r="B24" t="s">
        <v>301</v>
      </c>
      <c r="C24" t="s">
        <v>88</v>
      </c>
      <c r="D24" t="s">
        <v>59</v>
      </c>
      <c r="E24" t="s">
        <v>96</v>
      </c>
      <c r="F24">
        <v>2</v>
      </c>
      <c r="G24">
        <v>18</v>
      </c>
      <c r="H24">
        <v>9</v>
      </c>
      <c r="I24" t="s">
        <v>68</v>
      </c>
      <c r="J24" t="s">
        <v>97</v>
      </c>
      <c r="K24" t="s">
        <v>98</v>
      </c>
      <c r="L24" t="s">
        <v>289</v>
      </c>
      <c r="M24">
        <v>0</v>
      </c>
      <c r="N24" t="str">
        <f t="shared" si="0"/>
        <v>1. &lt; 8 anos</v>
      </c>
      <c r="O24" t="str">
        <f t="shared" si="1"/>
        <v>1. &lt; 20</v>
      </c>
      <c r="P24" t="str">
        <f t="shared" si="2"/>
        <v>3. 6 a 15</v>
      </c>
      <c r="Q24">
        <f t="shared" si="3"/>
        <v>0</v>
      </c>
      <c r="R24">
        <f t="shared" si="4"/>
        <v>0</v>
      </c>
      <c r="S24">
        <f t="shared" si="5"/>
        <v>1</v>
      </c>
      <c r="T24">
        <v>2</v>
      </c>
      <c r="U24" t="s">
        <v>139</v>
      </c>
      <c r="V24" s="18">
        <f t="shared" si="6"/>
        <v>0.43835616438356162</v>
      </c>
      <c r="W24" s="18">
        <f t="shared" si="7"/>
        <v>0.55319148936170215</v>
      </c>
      <c r="X24" s="18">
        <f t="shared" si="8"/>
        <v>0.10309278350515463</v>
      </c>
      <c r="Y24" s="18">
        <f t="shared" si="9"/>
        <v>0.58333333333333337</v>
      </c>
      <c r="Z24" s="18">
        <f t="shared" si="10"/>
        <v>0.22368421052631579</v>
      </c>
      <c r="AA24" s="10">
        <f t="shared" si="11"/>
        <v>0.38033159620000001</v>
      </c>
      <c r="AB24" t="str">
        <f>IF(AA24&gt;=Como_Avaliar!$B$15,"Alta",IF(AA24&gt;=Como_Avaliar!$B$16,"Média","Baixa"))</f>
        <v>Média</v>
      </c>
    </row>
    <row r="25" spans="1:28" x14ac:dyDescent="0.25">
      <c r="A25" t="s">
        <v>319</v>
      </c>
      <c r="B25" t="s">
        <v>286</v>
      </c>
      <c r="C25" t="s">
        <v>88</v>
      </c>
      <c r="D25" t="s">
        <v>59</v>
      </c>
      <c r="E25" t="s">
        <v>94</v>
      </c>
      <c r="F25">
        <v>24</v>
      </c>
      <c r="G25">
        <v>75</v>
      </c>
      <c r="H25">
        <v>7</v>
      </c>
      <c r="I25" t="s">
        <v>65</v>
      </c>
      <c r="J25" t="s">
        <v>97</v>
      </c>
      <c r="K25" t="s">
        <v>97</v>
      </c>
      <c r="L25" t="s">
        <v>289</v>
      </c>
      <c r="M25">
        <v>1</v>
      </c>
      <c r="N25" t="str">
        <f t="shared" si="0"/>
        <v>3. 16+ anos</v>
      </c>
      <c r="O25" t="str">
        <f t="shared" si="1"/>
        <v>3. 50 a 149</v>
      </c>
      <c r="P25" t="str">
        <f t="shared" si="2"/>
        <v>3. 6 a 15</v>
      </c>
      <c r="Q25">
        <f t="shared" si="3"/>
        <v>0</v>
      </c>
      <c r="R25">
        <f t="shared" si="4"/>
        <v>1</v>
      </c>
      <c r="S25">
        <f t="shared" si="5"/>
        <v>0</v>
      </c>
      <c r="V25" s="18">
        <f t="shared" si="6"/>
        <v>0.43835616438356162</v>
      </c>
      <c r="W25" s="18">
        <f t="shared" si="7"/>
        <v>0.55319148936170215</v>
      </c>
      <c r="X25" s="18">
        <f t="shared" si="8"/>
        <v>0.58992805755395683</v>
      </c>
      <c r="Y25" s="18">
        <f t="shared" si="9"/>
        <v>0.39751552795031053</v>
      </c>
      <c r="Z25" s="18">
        <f t="shared" si="10"/>
        <v>0.56634304207119746</v>
      </c>
      <c r="AA25" s="10">
        <f t="shared" si="11"/>
        <v>0.50906685630000004</v>
      </c>
      <c r="AB25" t="str">
        <f>IF(AA25&gt;=Como_Avaliar!$B$15,"Alta",IF(AA25&gt;=Como_Avaliar!$B$16,"Média","Baixa"))</f>
        <v>Alta</v>
      </c>
    </row>
    <row r="26" spans="1:28" x14ac:dyDescent="0.25">
      <c r="A26" t="s">
        <v>320</v>
      </c>
      <c r="B26" t="s">
        <v>321</v>
      </c>
      <c r="C26" t="s">
        <v>86</v>
      </c>
      <c r="D26" t="s">
        <v>59</v>
      </c>
      <c r="E26" t="s">
        <v>93</v>
      </c>
      <c r="F26">
        <v>12</v>
      </c>
      <c r="G26">
        <v>48</v>
      </c>
      <c r="H26">
        <v>6</v>
      </c>
      <c r="I26" t="s">
        <v>65</v>
      </c>
      <c r="J26" t="s">
        <v>97</v>
      </c>
      <c r="K26" t="s">
        <v>97</v>
      </c>
      <c r="L26" t="s">
        <v>322</v>
      </c>
      <c r="M26">
        <v>0</v>
      </c>
      <c r="N26" t="str">
        <f t="shared" si="0"/>
        <v>2. 8 a 15 anos</v>
      </c>
      <c r="O26" t="str">
        <f t="shared" si="1"/>
        <v>2. 20 a 49</v>
      </c>
      <c r="P26" t="str">
        <f t="shared" si="2"/>
        <v>3. 6 a 15</v>
      </c>
      <c r="Q26">
        <f t="shared" si="3"/>
        <v>0</v>
      </c>
      <c r="R26">
        <f t="shared" si="4"/>
        <v>0</v>
      </c>
      <c r="S26">
        <f t="shared" si="5"/>
        <v>0</v>
      </c>
      <c r="V26" s="18">
        <f t="shared" si="6"/>
        <v>0.43835616438356162</v>
      </c>
      <c r="W26" s="18">
        <f t="shared" si="7"/>
        <v>0.55319148936170215</v>
      </c>
      <c r="X26" s="18">
        <f t="shared" si="8"/>
        <v>0.25294117647058822</v>
      </c>
      <c r="Y26" s="18">
        <f t="shared" si="9"/>
        <v>0.39751552795031053</v>
      </c>
      <c r="Z26" s="18">
        <f t="shared" si="10"/>
        <v>0.22302158273381295</v>
      </c>
      <c r="AA26" s="10">
        <f t="shared" si="11"/>
        <v>0.3730051882</v>
      </c>
      <c r="AB26" t="str">
        <f>IF(AA26&gt;=Como_Avaliar!$B$15,"Alta",IF(AA26&gt;=Como_Avaliar!$B$16,"Média","Baixa"))</f>
        <v>Média</v>
      </c>
    </row>
    <row r="27" spans="1:28" x14ac:dyDescent="0.25">
      <c r="A27" t="s">
        <v>323</v>
      </c>
      <c r="B27" t="s">
        <v>288</v>
      </c>
      <c r="C27" t="s">
        <v>88</v>
      </c>
      <c r="D27" t="s">
        <v>59</v>
      </c>
      <c r="E27" t="s">
        <v>93</v>
      </c>
      <c r="F27">
        <v>6</v>
      </c>
      <c r="G27">
        <v>44</v>
      </c>
      <c r="H27">
        <v>3</v>
      </c>
      <c r="I27" t="s">
        <v>64</v>
      </c>
      <c r="J27" t="s">
        <v>97</v>
      </c>
      <c r="K27" t="s">
        <v>98</v>
      </c>
      <c r="L27" t="s">
        <v>284</v>
      </c>
      <c r="M27">
        <v>0</v>
      </c>
      <c r="N27" t="str">
        <f t="shared" si="0"/>
        <v>1. &lt; 8 anos</v>
      </c>
      <c r="O27" t="str">
        <f t="shared" si="1"/>
        <v>2. 20 a 49</v>
      </c>
      <c r="P27" t="str">
        <f t="shared" si="2"/>
        <v>2. 3 a 5</v>
      </c>
      <c r="Q27">
        <f t="shared" si="3"/>
        <v>1</v>
      </c>
      <c r="R27">
        <f t="shared" si="4"/>
        <v>0</v>
      </c>
      <c r="S27">
        <f t="shared" si="5"/>
        <v>1</v>
      </c>
      <c r="T27">
        <v>4</v>
      </c>
      <c r="U27" t="s">
        <v>137</v>
      </c>
      <c r="V27" s="18">
        <f t="shared" si="6"/>
        <v>0.43835616438356162</v>
      </c>
      <c r="W27" s="18">
        <f t="shared" si="7"/>
        <v>0.38095238095238093</v>
      </c>
      <c r="X27" s="18">
        <f t="shared" si="8"/>
        <v>0.25294117647058822</v>
      </c>
      <c r="Y27" s="18">
        <f t="shared" si="9"/>
        <v>0.15625</v>
      </c>
      <c r="Z27" s="18">
        <f t="shared" si="10"/>
        <v>0.22368421052631579</v>
      </c>
      <c r="AA27" s="10">
        <f t="shared" si="11"/>
        <v>0.29043678649999999</v>
      </c>
      <c r="AB27" t="str">
        <f>IF(AA27&gt;=Como_Avaliar!$B$15,"Alta",IF(AA27&gt;=Como_Avaliar!$B$16,"Média","Baixa"))</f>
        <v>Média</v>
      </c>
    </row>
    <row r="28" spans="1:28" x14ac:dyDescent="0.25">
      <c r="A28" t="s">
        <v>324</v>
      </c>
      <c r="B28" t="s">
        <v>286</v>
      </c>
      <c r="C28" t="s">
        <v>88</v>
      </c>
      <c r="D28" t="s">
        <v>59</v>
      </c>
      <c r="E28" t="s">
        <v>95</v>
      </c>
      <c r="F28">
        <v>2</v>
      </c>
      <c r="G28">
        <v>21</v>
      </c>
      <c r="H28">
        <v>4</v>
      </c>
      <c r="I28" t="s">
        <v>60</v>
      </c>
      <c r="J28" t="s">
        <v>98</v>
      </c>
      <c r="K28" t="s">
        <v>98</v>
      </c>
      <c r="L28" t="s">
        <v>284</v>
      </c>
      <c r="M28">
        <v>0</v>
      </c>
      <c r="N28" t="str">
        <f t="shared" si="0"/>
        <v>1. &lt; 8 anos</v>
      </c>
      <c r="O28" t="str">
        <f t="shared" si="1"/>
        <v>2. 20 a 49</v>
      </c>
      <c r="P28" t="str">
        <f t="shared" si="2"/>
        <v>2. 3 a 5</v>
      </c>
      <c r="Q28">
        <f t="shared" si="3"/>
        <v>0</v>
      </c>
      <c r="R28">
        <f t="shared" si="4"/>
        <v>0</v>
      </c>
      <c r="S28">
        <f t="shared" si="5"/>
        <v>1</v>
      </c>
      <c r="T28">
        <v>2</v>
      </c>
      <c r="U28" t="s">
        <v>139</v>
      </c>
      <c r="V28" s="18">
        <f t="shared" si="6"/>
        <v>0.43835616438356162</v>
      </c>
      <c r="W28" s="18">
        <f t="shared" si="7"/>
        <v>0.38095238095238093</v>
      </c>
      <c r="X28" s="18">
        <f t="shared" si="8"/>
        <v>0.25294117647058822</v>
      </c>
      <c r="Y28" s="18">
        <f t="shared" si="9"/>
        <v>0.65217391304347827</v>
      </c>
      <c r="Z28" s="18">
        <f t="shared" si="10"/>
        <v>0.22368421052631579</v>
      </c>
      <c r="AA28" s="10">
        <f t="shared" si="11"/>
        <v>0.38962156910000001</v>
      </c>
      <c r="AB28" t="str">
        <f>IF(AA28&gt;=Como_Avaliar!$B$15,"Alta",IF(AA28&gt;=Como_Avaliar!$B$16,"Média","Baixa"))</f>
        <v>Média</v>
      </c>
    </row>
    <row r="29" spans="1:28" x14ac:dyDescent="0.25">
      <c r="A29" t="s">
        <v>325</v>
      </c>
      <c r="B29" t="s">
        <v>286</v>
      </c>
      <c r="C29" t="s">
        <v>88</v>
      </c>
      <c r="D29" t="s">
        <v>56</v>
      </c>
      <c r="E29" t="s">
        <v>91</v>
      </c>
      <c r="F29">
        <v>28</v>
      </c>
      <c r="G29">
        <v>21</v>
      </c>
      <c r="H29">
        <v>1</v>
      </c>
      <c r="I29" t="s">
        <v>65</v>
      </c>
      <c r="J29" t="s">
        <v>97</v>
      </c>
      <c r="K29" t="s">
        <v>97</v>
      </c>
      <c r="L29" t="s">
        <v>284</v>
      </c>
      <c r="M29">
        <v>0</v>
      </c>
      <c r="N29" t="str">
        <f t="shared" si="0"/>
        <v>3. 16+ anos</v>
      </c>
      <c r="O29" t="str">
        <f t="shared" si="1"/>
        <v>2. 20 a 49</v>
      </c>
      <c r="P29" t="str">
        <f t="shared" si="2"/>
        <v>1. 1 a 2</v>
      </c>
      <c r="Q29">
        <f t="shared" si="3"/>
        <v>0</v>
      </c>
      <c r="R29">
        <f t="shared" si="4"/>
        <v>0</v>
      </c>
      <c r="S29">
        <f t="shared" si="5"/>
        <v>1</v>
      </c>
      <c r="T29">
        <v>2</v>
      </c>
      <c r="U29" t="s">
        <v>139</v>
      </c>
      <c r="V29" s="18">
        <f t="shared" si="6"/>
        <v>6.8273092369477914E-2</v>
      </c>
      <c r="W29" s="18">
        <f t="shared" si="7"/>
        <v>8.6792452830188674E-2</v>
      </c>
      <c r="X29" s="18">
        <f t="shared" si="8"/>
        <v>0.25294117647058822</v>
      </c>
      <c r="Y29" s="18">
        <f t="shared" si="9"/>
        <v>0.39751552795031053</v>
      </c>
      <c r="Z29" s="18">
        <f t="shared" si="10"/>
        <v>0.56634304207119746</v>
      </c>
      <c r="AA29" s="10">
        <f t="shared" si="11"/>
        <v>0.27437305829999997</v>
      </c>
      <c r="AB29" t="str">
        <f>IF(AA29&gt;=Como_Avaliar!$B$15,"Alta",IF(AA29&gt;=Como_Avaliar!$B$16,"Média","Baixa"))</f>
        <v>Média</v>
      </c>
    </row>
    <row r="30" spans="1:28" x14ac:dyDescent="0.25">
      <c r="A30" t="s">
        <v>326</v>
      </c>
      <c r="B30" t="s">
        <v>327</v>
      </c>
      <c r="C30" t="s">
        <v>86</v>
      </c>
      <c r="D30" t="s">
        <v>56</v>
      </c>
      <c r="E30" t="s">
        <v>96</v>
      </c>
      <c r="F30">
        <v>21</v>
      </c>
      <c r="G30">
        <v>18</v>
      </c>
      <c r="H30">
        <v>1</v>
      </c>
      <c r="I30" t="s">
        <v>62</v>
      </c>
      <c r="J30" t="s">
        <v>98</v>
      </c>
      <c r="K30" t="s">
        <v>98</v>
      </c>
      <c r="L30" t="s">
        <v>322</v>
      </c>
      <c r="M30">
        <v>0</v>
      </c>
      <c r="N30" t="str">
        <f t="shared" si="0"/>
        <v>3. 16+ anos</v>
      </c>
      <c r="O30" t="str">
        <f t="shared" si="1"/>
        <v>1. &lt; 20</v>
      </c>
      <c r="P30" t="str">
        <f t="shared" si="2"/>
        <v>1. 1 a 2</v>
      </c>
      <c r="Q30">
        <f t="shared" si="3"/>
        <v>0</v>
      </c>
      <c r="R30">
        <f t="shared" si="4"/>
        <v>0</v>
      </c>
      <c r="S30">
        <f t="shared" si="5"/>
        <v>0</v>
      </c>
      <c r="V30" s="18">
        <f t="shared" si="6"/>
        <v>6.8273092369477914E-2</v>
      </c>
      <c r="W30" s="18">
        <f t="shared" si="7"/>
        <v>8.6792452830188674E-2</v>
      </c>
      <c r="X30" s="18">
        <f t="shared" si="8"/>
        <v>0.10309278350515463</v>
      </c>
      <c r="Y30" s="18">
        <f t="shared" si="9"/>
        <v>0.37662337662337664</v>
      </c>
      <c r="Z30" s="18">
        <f t="shared" si="10"/>
        <v>0.56634304207119746</v>
      </c>
      <c r="AA30" s="10">
        <f t="shared" si="11"/>
        <v>0.24022494950000001</v>
      </c>
      <c r="AB30" t="str">
        <f>IF(AA30&gt;=Como_Avaliar!$B$15,"Alta",IF(AA30&gt;=Como_Avaliar!$B$16,"Média","Baixa"))</f>
        <v>Média</v>
      </c>
    </row>
    <row r="31" spans="1:28" x14ac:dyDescent="0.25">
      <c r="A31" t="s">
        <v>328</v>
      </c>
      <c r="B31" t="s">
        <v>283</v>
      </c>
      <c r="C31" t="s">
        <v>89</v>
      </c>
      <c r="D31" t="s">
        <v>58</v>
      </c>
      <c r="E31" t="s">
        <v>94</v>
      </c>
      <c r="F31">
        <v>1</v>
      </c>
      <c r="G31">
        <v>103</v>
      </c>
      <c r="H31">
        <v>21</v>
      </c>
      <c r="I31" t="s">
        <v>60</v>
      </c>
      <c r="J31" t="s">
        <v>97</v>
      </c>
      <c r="K31" t="s">
        <v>97</v>
      </c>
      <c r="L31" t="s">
        <v>329</v>
      </c>
      <c r="M31">
        <v>1</v>
      </c>
      <c r="N31" t="str">
        <f t="shared" si="0"/>
        <v>1. &lt; 8 anos</v>
      </c>
      <c r="O31" t="str">
        <f t="shared" si="1"/>
        <v>3. 50 a 149</v>
      </c>
      <c r="P31" t="str">
        <f t="shared" si="2"/>
        <v>4. 16+</v>
      </c>
      <c r="Q31">
        <f t="shared" si="3"/>
        <v>0</v>
      </c>
      <c r="R31">
        <f t="shared" si="4"/>
        <v>1</v>
      </c>
      <c r="S31">
        <f t="shared" si="5"/>
        <v>0</v>
      </c>
      <c r="V31" s="18">
        <f t="shared" si="6"/>
        <v>0.93975903614457834</v>
      </c>
      <c r="W31" s="18">
        <f t="shared" si="7"/>
        <v>0.97272727272727277</v>
      </c>
      <c r="X31" s="18">
        <f t="shared" si="8"/>
        <v>0.58992805755395683</v>
      </c>
      <c r="Y31" s="18">
        <f t="shared" si="9"/>
        <v>0.65217391304347827</v>
      </c>
      <c r="Z31" s="18">
        <f t="shared" si="10"/>
        <v>0.22368421052631579</v>
      </c>
      <c r="AA31" s="10">
        <f t="shared" si="11"/>
        <v>0.67565449799999999</v>
      </c>
      <c r="AB31" t="str">
        <f>IF(AA31&gt;=Como_Avaliar!$B$15,"Alta",IF(AA31&gt;=Como_Avaliar!$B$16,"Média","Baixa"))</f>
        <v>Alta</v>
      </c>
    </row>
    <row r="32" spans="1:28" x14ac:dyDescent="0.25">
      <c r="A32" t="s">
        <v>330</v>
      </c>
      <c r="B32" t="s">
        <v>314</v>
      </c>
      <c r="C32" t="s">
        <v>84</v>
      </c>
      <c r="D32" t="s">
        <v>58</v>
      </c>
      <c r="E32" t="s">
        <v>90</v>
      </c>
      <c r="F32">
        <v>12</v>
      </c>
      <c r="G32">
        <v>194</v>
      </c>
      <c r="H32">
        <v>22</v>
      </c>
      <c r="I32" t="s">
        <v>68</v>
      </c>
      <c r="J32" t="s">
        <v>97</v>
      </c>
      <c r="K32" t="s">
        <v>97</v>
      </c>
      <c r="L32" t="s">
        <v>293</v>
      </c>
      <c r="M32">
        <v>1</v>
      </c>
      <c r="N32" t="str">
        <f t="shared" si="0"/>
        <v>2. 8 a 15 anos</v>
      </c>
      <c r="O32" t="str">
        <f t="shared" si="1"/>
        <v>4. 150+</v>
      </c>
      <c r="P32" t="str">
        <f t="shared" si="2"/>
        <v>4. 16+</v>
      </c>
      <c r="Q32">
        <f t="shared" si="3"/>
        <v>0</v>
      </c>
      <c r="R32">
        <f t="shared" si="4"/>
        <v>1</v>
      </c>
      <c r="S32">
        <f t="shared" si="5"/>
        <v>0</v>
      </c>
      <c r="V32" s="18">
        <f t="shared" si="6"/>
        <v>0.93975903614457834</v>
      </c>
      <c r="W32" s="18">
        <f t="shared" si="7"/>
        <v>0.97272727272727277</v>
      </c>
      <c r="X32" s="18">
        <f t="shared" si="8"/>
        <v>0.97938144329896903</v>
      </c>
      <c r="Y32" s="18">
        <f t="shared" si="9"/>
        <v>0.58333333333333337</v>
      </c>
      <c r="Z32" s="18">
        <f t="shared" si="10"/>
        <v>0.22302158273381295</v>
      </c>
      <c r="AA32" s="10">
        <f t="shared" si="11"/>
        <v>0.73964453360000004</v>
      </c>
      <c r="AB32" t="str">
        <f>IF(AA32&gt;=Como_Avaliar!$B$15,"Alta",IF(AA32&gt;=Como_Avaliar!$B$16,"Média","Baixa"))</f>
        <v>Alta</v>
      </c>
    </row>
    <row r="33" spans="1:28" x14ac:dyDescent="0.25">
      <c r="A33" t="s">
        <v>331</v>
      </c>
      <c r="B33" t="s">
        <v>292</v>
      </c>
      <c r="C33" t="s">
        <v>84</v>
      </c>
      <c r="D33" t="s">
        <v>56</v>
      </c>
      <c r="E33" t="s">
        <v>90</v>
      </c>
      <c r="F33">
        <v>26</v>
      </c>
      <c r="G33">
        <v>23</v>
      </c>
      <c r="H33">
        <v>2</v>
      </c>
      <c r="I33" t="s">
        <v>65</v>
      </c>
      <c r="J33" t="s">
        <v>97</v>
      </c>
      <c r="K33" t="s">
        <v>97</v>
      </c>
      <c r="L33" t="s">
        <v>298</v>
      </c>
      <c r="M33">
        <v>0</v>
      </c>
      <c r="N33" t="str">
        <f t="shared" si="0"/>
        <v>3. 16+ anos</v>
      </c>
      <c r="O33" t="str">
        <f t="shared" si="1"/>
        <v>2. 20 a 49</v>
      </c>
      <c r="P33" t="str">
        <f t="shared" si="2"/>
        <v>1. 1 a 2</v>
      </c>
      <c r="Q33">
        <f t="shared" si="3"/>
        <v>0</v>
      </c>
      <c r="R33">
        <f t="shared" si="4"/>
        <v>0</v>
      </c>
      <c r="S33">
        <f t="shared" si="5"/>
        <v>1</v>
      </c>
      <c r="T33">
        <v>2</v>
      </c>
      <c r="U33" t="s">
        <v>139</v>
      </c>
      <c r="V33" s="18">
        <f t="shared" si="6"/>
        <v>6.8273092369477914E-2</v>
      </c>
      <c r="W33" s="18">
        <f t="shared" si="7"/>
        <v>8.6792452830188674E-2</v>
      </c>
      <c r="X33" s="18">
        <f t="shared" si="8"/>
        <v>0.25294117647058822</v>
      </c>
      <c r="Y33" s="18">
        <f t="shared" si="9"/>
        <v>0.39751552795031053</v>
      </c>
      <c r="Z33" s="18">
        <f t="shared" si="10"/>
        <v>0.56634304207119746</v>
      </c>
      <c r="AA33" s="10">
        <f t="shared" si="11"/>
        <v>0.27437305829999997</v>
      </c>
      <c r="AB33" t="str">
        <f>IF(AA33&gt;=Como_Avaliar!$B$15,"Alta",IF(AA33&gt;=Como_Avaliar!$B$16,"Média","Baixa"))</f>
        <v>Média</v>
      </c>
    </row>
    <row r="34" spans="1:28" x14ac:dyDescent="0.25">
      <c r="A34" t="s">
        <v>332</v>
      </c>
      <c r="B34" t="s">
        <v>305</v>
      </c>
      <c r="C34" t="s">
        <v>89</v>
      </c>
      <c r="D34" t="s">
        <v>56</v>
      </c>
      <c r="E34" t="s">
        <v>93</v>
      </c>
      <c r="F34">
        <v>22</v>
      </c>
      <c r="G34">
        <v>22</v>
      </c>
      <c r="H34">
        <v>1</v>
      </c>
      <c r="I34" t="s">
        <v>64</v>
      </c>
      <c r="J34" t="s">
        <v>97</v>
      </c>
      <c r="K34" t="s">
        <v>98</v>
      </c>
      <c r="L34" t="s">
        <v>298</v>
      </c>
      <c r="M34">
        <v>0</v>
      </c>
      <c r="N34" t="str">
        <f t="shared" si="0"/>
        <v>3. 16+ anos</v>
      </c>
      <c r="O34" t="str">
        <f t="shared" si="1"/>
        <v>2. 20 a 49</v>
      </c>
      <c r="P34" t="str">
        <f t="shared" si="2"/>
        <v>1. 1 a 2</v>
      </c>
      <c r="Q34">
        <f t="shared" si="3"/>
        <v>1</v>
      </c>
      <c r="R34">
        <f t="shared" si="4"/>
        <v>0</v>
      </c>
      <c r="S34">
        <f t="shared" si="5"/>
        <v>1</v>
      </c>
      <c r="T34">
        <v>2</v>
      </c>
      <c r="U34" t="s">
        <v>139</v>
      </c>
      <c r="V34" s="18">
        <f t="shared" si="6"/>
        <v>6.8273092369477914E-2</v>
      </c>
      <c r="W34" s="18">
        <f t="shared" si="7"/>
        <v>8.6792452830188674E-2</v>
      </c>
      <c r="X34" s="18">
        <f t="shared" si="8"/>
        <v>0.25294117647058822</v>
      </c>
      <c r="Y34" s="18">
        <f t="shared" si="9"/>
        <v>0.15625</v>
      </c>
      <c r="Z34" s="18">
        <f t="shared" si="10"/>
        <v>0.56634304207119746</v>
      </c>
      <c r="AA34" s="10">
        <f t="shared" si="11"/>
        <v>0.22611995269999999</v>
      </c>
      <c r="AB34" t="str">
        <f>IF(AA34&gt;=Como_Avaliar!$B$15,"Alta",IF(AA34&gt;=Como_Avaliar!$B$16,"Média","Baixa"))</f>
        <v>Baixa</v>
      </c>
    </row>
    <row r="35" spans="1:28" x14ac:dyDescent="0.25">
      <c r="A35" t="s">
        <v>333</v>
      </c>
      <c r="B35" t="s">
        <v>334</v>
      </c>
      <c r="C35" t="s">
        <v>87</v>
      </c>
      <c r="D35" t="s">
        <v>56</v>
      </c>
      <c r="E35" t="s">
        <v>94</v>
      </c>
      <c r="F35">
        <v>29</v>
      </c>
      <c r="G35">
        <v>15</v>
      </c>
      <c r="H35">
        <v>1</v>
      </c>
      <c r="I35" t="s">
        <v>62</v>
      </c>
      <c r="J35" t="s">
        <v>97</v>
      </c>
      <c r="K35" t="s">
        <v>98</v>
      </c>
      <c r="L35" t="s">
        <v>284</v>
      </c>
      <c r="M35">
        <v>0</v>
      </c>
      <c r="N35" t="str">
        <f t="shared" si="0"/>
        <v>3. 16+ anos</v>
      </c>
      <c r="O35" t="str">
        <f t="shared" si="1"/>
        <v>1. &lt; 20</v>
      </c>
      <c r="P35" t="str">
        <f t="shared" si="2"/>
        <v>1. 1 a 2</v>
      </c>
      <c r="Q35">
        <f t="shared" si="3"/>
        <v>0</v>
      </c>
      <c r="R35">
        <f t="shared" si="4"/>
        <v>0</v>
      </c>
      <c r="S35">
        <f t="shared" si="5"/>
        <v>1</v>
      </c>
      <c r="T35">
        <v>2</v>
      </c>
      <c r="U35" t="s">
        <v>139</v>
      </c>
      <c r="V35" s="18">
        <f t="shared" si="6"/>
        <v>6.8273092369477914E-2</v>
      </c>
      <c r="W35" s="18">
        <f t="shared" si="7"/>
        <v>8.6792452830188674E-2</v>
      </c>
      <c r="X35" s="18">
        <f t="shared" si="8"/>
        <v>0.10309278350515463</v>
      </c>
      <c r="Y35" s="18">
        <f t="shared" si="9"/>
        <v>0.37662337662337664</v>
      </c>
      <c r="Z35" s="18">
        <f t="shared" si="10"/>
        <v>0.56634304207119746</v>
      </c>
      <c r="AA35" s="10">
        <f t="shared" si="11"/>
        <v>0.24022494950000001</v>
      </c>
      <c r="AB35" t="str">
        <f>IF(AA35&gt;=Como_Avaliar!$B$15,"Alta",IF(AA35&gt;=Como_Avaliar!$B$16,"Média","Baixa"))</f>
        <v>Média</v>
      </c>
    </row>
    <row r="36" spans="1:28" x14ac:dyDescent="0.25">
      <c r="A36" t="s">
        <v>335</v>
      </c>
      <c r="B36" t="s">
        <v>301</v>
      </c>
      <c r="C36" t="s">
        <v>88</v>
      </c>
      <c r="D36" t="s">
        <v>59</v>
      </c>
      <c r="E36" t="s">
        <v>91</v>
      </c>
      <c r="F36">
        <v>12</v>
      </c>
      <c r="G36">
        <v>33</v>
      </c>
      <c r="H36">
        <v>3</v>
      </c>
      <c r="I36" t="s">
        <v>65</v>
      </c>
      <c r="J36" t="s">
        <v>97</v>
      </c>
      <c r="K36" t="s">
        <v>97</v>
      </c>
      <c r="L36" t="s">
        <v>289</v>
      </c>
      <c r="M36">
        <v>0</v>
      </c>
      <c r="N36" t="str">
        <f t="shared" si="0"/>
        <v>2. 8 a 15 anos</v>
      </c>
      <c r="O36" t="str">
        <f t="shared" si="1"/>
        <v>2. 20 a 49</v>
      </c>
      <c r="P36" t="str">
        <f t="shared" si="2"/>
        <v>2. 3 a 5</v>
      </c>
      <c r="Q36">
        <f t="shared" si="3"/>
        <v>0</v>
      </c>
      <c r="R36">
        <f t="shared" si="4"/>
        <v>0</v>
      </c>
      <c r="S36">
        <f t="shared" si="5"/>
        <v>1</v>
      </c>
      <c r="T36">
        <v>3</v>
      </c>
      <c r="U36" t="s">
        <v>138</v>
      </c>
      <c r="V36" s="18">
        <f t="shared" si="6"/>
        <v>0.43835616438356162</v>
      </c>
      <c r="W36" s="18">
        <f t="shared" si="7"/>
        <v>0.38095238095238093</v>
      </c>
      <c r="X36" s="18">
        <f t="shared" si="8"/>
        <v>0.25294117647058822</v>
      </c>
      <c r="Y36" s="18">
        <f t="shared" si="9"/>
        <v>0.39751552795031053</v>
      </c>
      <c r="Z36" s="18">
        <f t="shared" si="10"/>
        <v>0.22302158273381295</v>
      </c>
      <c r="AA36" s="10">
        <f t="shared" si="11"/>
        <v>0.33855736650000001</v>
      </c>
      <c r="AB36" t="str">
        <f>IF(AA36&gt;=Como_Avaliar!$B$15,"Alta",IF(AA36&gt;=Como_Avaliar!$B$16,"Média","Baixa"))</f>
        <v>Média</v>
      </c>
    </row>
    <row r="37" spans="1:28" x14ac:dyDescent="0.25">
      <c r="A37" t="s">
        <v>336</v>
      </c>
      <c r="B37" t="s">
        <v>312</v>
      </c>
      <c r="C37" t="s">
        <v>89</v>
      </c>
      <c r="D37" t="s">
        <v>56</v>
      </c>
      <c r="E37" t="s">
        <v>93</v>
      </c>
      <c r="F37">
        <v>25</v>
      </c>
      <c r="G37">
        <v>24</v>
      </c>
      <c r="H37">
        <v>2</v>
      </c>
      <c r="I37" t="s">
        <v>62</v>
      </c>
      <c r="J37" t="s">
        <v>97</v>
      </c>
      <c r="K37" t="s">
        <v>97</v>
      </c>
      <c r="L37" t="s">
        <v>289</v>
      </c>
      <c r="M37">
        <v>0</v>
      </c>
      <c r="N37" t="str">
        <f t="shared" si="0"/>
        <v>3. 16+ anos</v>
      </c>
      <c r="O37" t="str">
        <f t="shared" si="1"/>
        <v>2. 20 a 49</v>
      </c>
      <c r="P37" t="str">
        <f t="shared" si="2"/>
        <v>1. 1 a 2</v>
      </c>
      <c r="Q37">
        <f t="shared" si="3"/>
        <v>0</v>
      </c>
      <c r="R37">
        <f t="shared" si="4"/>
        <v>0</v>
      </c>
      <c r="S37">
        <f t="shared" si="5"/>
        <v>1</v>
      </c>
      <c r="T37">
        <v>2</v>
      </c>
      <c r="U37" t="s">
        <v>139</v>
      </c>
      <c r="V37" s="18">
        <f t="shared" si="6"/>
        <v>6.8273092369477914E-2</v>
      </c>
      <c r="W37" s="18">
        <f t="shared" si="7"/>
        <v>8.6792452830188674E-2</v>
      </c>
      <c r="X37" s="18">
        <f t="shared" si="8"/>
        <v>0.25294117647058822</v>
      </c>
      <c r="Y37" s="18">
        <f t="shared" si="9"/>
        <v>0.37662337662337664</v>
      </c>
      <c r="Z37" s="18">
        <f t="shared" si="10"/>
        <v>0.56634304207119746</v>
      </c>
      <c r="AA37" s="10">
        <f t="shared" si="11"/>
        <v>0.2701946281</v>
      </c>
      <c r="AB37" t="str">
        <f>IF(AA37&gt;=Como_Avaliar!$B$15,"Alta",IF(AA37&gt;=Como_Avaliar!$B$16,"Média","Baixa"))</f>
        <v>Média</v>
      </c>
    </row>
    <row r="38" spans="1:28" x14ac:dyDescent="0.25">
      <c r="A38" t="s">
        <v>337</v>
      </c>
      <c r="B38" t="s">
        <v>327</v>
      </c>
      <c r="C38" t="s">
        <v>86</v>
      </c>
      <c r="D38" t="s">
        <v>59</v>
      </c>
      <c r="E38" t="s">
        <v>96</v>
      </c>
      <c r="F38">
        <v>17</v>
      </c>
      <c r="G38">
        <v>46</v>
      </c>
      <c r="H38">
        <v>10</v>
      </c>
      <c r="I38" t="s">
        <v>68</v>
      </c>
      <c r="J38" t="s">
        <v>97</v>
      </c>
      <c r="K38" t="s">
        <v>98</v>
      </c>
      <c r="L38" t="s">
        <v>322</v>
      </c>
      <c r="M38">
        <v>1</v>
      </c>
      <c r="N38" t="str">
        <f t="shared" si="0"/>
        <v>3. 16+ anos</v>
      </c>
      <c r="O38" t="str">
        <f t="shared" si="1"/>
        <v>2. 20 a 49</v>
      </c>
      <c r="P38" t="str">
        <f t="shared" si="2"/>
        <v>3. 6 a 15</v>
      </c>
      <c r="Q38">
        <f t="shared" si="3"/>
        <v>0</v>
      </c>
      <c r="R38">
        <f t="shared" si="4"/>
        <v>0</v>
      </c>
      <c r="S38">
        <f t="shared" si="5"/>
        <v>0</v>
      </c>
      <c r="V38" s="18">
        <f t="shared" si="6"/>
        <v>0.43835616438356162</v>
      </c>
      <c r="W38" s="18">
        <f t="shared" si="7"/>
        <v>0.55319148936170215</v>
      </c>
      <c r="X38" s="18">
        <f t="shared" si="8"/>
        <v>0.25294117647058822</v>
      </c>
      <c r="Y38" s="18">
        <f t="shared" si="9"/>
        <v>0.58333333333333337</v>
      </c>
      <c r="Z38" s="18">
        <f t="shared" si="10"/>
        <v>0.56634304207119746</v>
      </c>
      <c r="AA38" s="10">
        <f t="shared" si="11"/>
        <v>0.47883304110000002</v>
      </c>
      <c r="AB38" t="str">
        <f>IF(AA38&gt;=Como_Avaliar!$B$15,"Alta",IF(AA38&gt;=Como_Avaliar!$B$16,"Média","Baixa"))</f>
        <v>Alta</v>
      </c>
    </row>
    <row r="39" spans="1:28" x14ac:dyDescent="0.25">
      <c r="A39" t="s">
        <v>338</v>
      </c>
      <c r="B39" t="s">
        <v>283</v>
      </c>
      <c r="C39" t="s">
        <v>89</v>
      </c>
      <c r="D39" t="s">
        <v>57</v>
      </c>
      <c r="E39" t="s">
        <v>91</v>
      </c>
      <c r="F39">
        <v>27</v>
      </c>
      <c r="G39">
        <v>232</v>
      </c>
      <c r="H39">
        <v>36</v>
      </c>
      <c r="I39" t="s">
        <v>60</v>
      </c>
      <c r="J39" t="s">
        <v>98</v>
      </c>
      <c r="K39" t="s">
        <v>98</v>
      </c>
      <c r="L39" t="s">
        <v>284</v>
      </c>
      <c r="M39">
        <v>1</v>
      </c>
      <c r="N39" t="str">
        <f t="shared" si="0"/>
        <v>3. 16+ anos</v>
      </c>
      <c r="O39" t="str">
        <f t="shared" si="1"/>
        <v>4. 150+</v>
      </c>
      <c r="P39" t="str">
        <f t="shared" si="2"/>
        <v>4. 16+</v>
      </c>
      <c r="Q39">
        <f t="shared" si="3"/>
        <v>0</v>
      </c>
      <c r="R39">
        <f t="shared" si="4"/>
        <v>1</v>
      </c>
      <c r="S39">
        <f t="shared" si="5"/>
        <v>0</v>
      </c>
      <c r="V39" s="18">
        <f t="shared" si="6"/>
        <v>1</v>
      </c>
      <c r="W39" s="18">
        <f t="shared" si="7"/>
        <v>0.97272727272727277</v>
      </c>
      <c r="X39" s="18">
        <f t="shared" si="8"/>
        <v>0.97938144329896903</v>
      </c>
      <c r="Y39" s="18">
        <f t="shared" si="9"/>
        <v>0.65217391304347827</v>
      </c>
      <c r="Z39" s="18">
        <f t="shared" si="10"/>
        <v>0.56634304207119746</v>
      </c>
      <c r="AA39" s="10">
        <f t="shared" si="11"/>
        <v>0.83412513420000001</v>
      </c>
      <c r="AB39" t="str">
        <f>IF(AA39&gt;=Como_Avaliar!$B$15,"Alta",IF(AA39&gt;=Como_Avaliar!$B$16,"Média","Baixa"))</f>
        <v>Alta</v>
      </c>
    </row>
    <row r="40" spans="1:28" x14ac:dyDescent="0.25">
      <c r="A40" t="s">
        <v>339</v>
      </c>
      <c r="B40" t="s">
        <v>327</v>
      </c>
      <c r="C40" t="s">
        <v>86</v>
      </c>
      <c r="D40" t="s">
        <v>56</v>
      </c>
      <c r="E40" t="s">
        <v>94</v>
      </c>
      <c r="F40">
        <v>27</v>
      </c>
      <c r="G40">
        <v>21</v>
      </c>
      <c r="H40">
        <v>2</v>
      </c>
      <c r="I40" t="s">
        <v>65</v>
      </c>
      <c r="J40" t="s">
        <v>97</v>
      </c>
      <c r="K40" t="s">
        <v>98</v>
      </c>
      <c r="L40" t="s">
        <v>289</v>
      </c>
      <c r="M40">
        <v>0</v>
      </c>
      <c r="N40" t="str">
        <f t="shared" si="0"/>
        <v>3. 16+ anos</v>
      </c>
      <c r="O40" t="str">
        <f t="shared" si="1"/>
        <v>2. 20 a 49</v>
      </c>
      <c r="P40" t="str">
        <f t="shared" si="2"/>
        <v>1. 1 a 2</v>
      </c>
      <c r="Q40">
        <f t="shared" si="3"/>
        <v>0</v>
      </c>
      <c r="R40">
        <f t="shared" si="4"/>
        <v>0</v>
      </c>
      <c r="S40">
        <f t="shared" si="5"/>
        <v>1</v>
      </c>
      <c r="T40">
        <v>2</v>
      </c>
      <c r="U40" t="s">
        <v>139</v>
      </c>
      <c r="V40" s="18">
        <f t="shared" si="6"/>
        <v>6.8273092369477914E-2</v>
      </c>
      <c r="W40" s="18">
        <f t="shared" si="7"/>
        <v>8.6792452830188674E-2</v>
      </c>
      <c r="X40" s="18">
        <f t="shared" si="8"/>
        <v>0.25294117647058822</v>
      </c>
      <c r="Y40" s="18">
        <f t="shared" si="9"/>
        <v>0.39751552795031053</v>
      </c>
      <c r="Z40" s="18">
        <f t="shared" si="10"/>
        <v>0.56634304207119746</v>
      </c>
      <c r="AA40" s="10">
        <f t="shared" si="11"/>
        <v>0.27437305829999997</v>
      </c>
      <c r="AB40" t="str">
        <f>IF(AA40&gt;=Como_Avaliar!$B$15,"Alta",IF(AA40&gt;=Como_Avaliar!$B$16,"Média","Baixa"))</f>
        <v>Média</v>
      </c>
    </row>
    <row r="41" spans="1:28" x14ac:dyDescent="0.25">
      <c r="A41" t="s">
        <v>340</v>
      </c>
      <c r="B41" t="s">
        <v>312</v>
      </c>
      <c r="C41" t="s">
        <v>89</v>
      </c>
      <c r="D41" t="s">
        <v>59</v>
      </c>
      <c r="E41" t="s">
        <v>94</v>
      </c>
      <c r="F41">
        <v>10</v>
      </c>
      <c r="G41">
        <v>29</v>
      </c>
      <c r="H41">
        <v>8</v>
      </c>
      <c r="I41" t="s">
        <v>68</v>
      </c>
      <c r="J41" t="s">
        <v>98</v>
      </c>
      <c r="K41" t="s">
        <v>97</v>
      </c>
      <c r="L41" t="s">
        <v>289</v>
      </c>
      <c r="M41">
        <v>0</v>
      </c>
      <c r="N41" t="str">
        <f t="shared" si="0"/>
        <v>2. 8 a 15 anos</v>
      </c>
      <c r="O41" t="str">
        <f t="shared" si="1"/>
        <v>2. 20 a 49</v>
      </c>
      <c r="P41" t="str">
        <f t="shared" si="2"/>
        <v>3. 6 a 15</v>
      </c>
      <c r="Q41">
        <f t="shared" si="3"/>
        <v>0</v>
      </c>
      <c r="R41">
        <f t="shared" si="4"/>
        <v>0</v>
      </c>
      <c r="S41">
        <f t="shared" si="5"/>
        <v>1</v>
      </c>
      <c r="T41">
        <v>3</v>
      </c>
      <c r="U41" t="s">
        <v>138</v>
      </c>
      <c r="V41" s="18">
        <f t="shared" si="6"/>
        <v>0.43835616438356162</v>
      </c>
      <c r="W41" s="18">
        <f t="shared" si="7"/>
        <v>0.55319148936170215</v>
      </c>
      <c r="X41" s="18">
        <f t="shared" si="8"/>
        <v>0.25294117647058822</v>
      </c>
      <c r="Y41" s="18">
        <f t="shared" si="9"/>
        <v>0.58333333333333337</v>
      </c>
      <c r="Z41" s="18">
        <f t="shared" si="10"/>
        <v>0.22302158273381295</v>
      </c>
      <c r="AA41" s="10">
        <f t="shared" si="11"/>
        <v>0.41016874930000002</v>
      </c>
      <c r="AB41" t="str">
        <f>IF(AA41&gt;=Como_Avaliar!$B$15,"Alta",IF(AA41&gt;=Como_Avaliar!$B$16,"Média","Baixa"))</f>
        <v>Média</v>
      </c>
    </row>
    <row r="42" spans="1:28" x14ac:dyDescent="0.25">
      <c r="A42" t="s">
        <v>341</v>
      </c>
      <c r="B42" t="s">
        <v>295</v>
      </c>
      <c r="C42" t="s">
        <v>84</v>
      </c>
      <c r="D42" t="s">
        <v>56</v>
      </c>
      <c r="E42" t="s">
        <v>94</v>
      </c>
      <c r="F42">
        <v>28</v>
      </c>
      <c r="G42">
        <v>9</v>
      </c>
      <c r="H42">
        <v>1</v>
      </c>
      <c r="I42" t="s">
        <v>65</v>
      </c>
      <c r="J42" t="s">
        <v>98</v>
      </c>
      <c r="K42" t="s">
        <v>97</v>
      </c>
      <c r="L42" t="s">
        <v>284</v>
      </c>
      <c r="M42">
        <v>0</v>
      </c>
      <c r="N42" t="str">
        <f t="shared" si="0"/>
        <v>3. 16+ anos</v>
      </c>
      <c r="O42" t="str">
        <f t="shared" si="1"/>
        <v>1. &lt; 20</v>
      </c>
      <c r="P42" t="str">
        <f t="shared" si="2"/>
        <v>1. 1 a 2</v>
      </c>
      <c r="Q42">
        <f t="shared" si="3"/>
        <v>0</v>
      </c>
      <c r="R42">
        <f t="shared" si="4"/>
        <v>0</v>
      </c>
      <c r="S42">
        <f t="shared" si="5"/>
        <v>1</v>
      </c>
      <c r="T42">
        <v>1</v>
      </c>
      <c r="U42" t="s">
        <v>139</v>
      </c>
      <c r="V42" s="18">
        <f t="shared" si="6"/>
        <v>6.8273092369477914E-2</v>
      </c>
      <c r="W42" s="18">
        <f t="shared" si="7"/>
        <v>8.6792452830188674E-2</v>
      </c>
      <c r="X42" s="18">
        <f t="shared" si="8"/>
        <v>0.10309278350515463</v>
      </c>
      <c r="Y42" s="18">
        <f t="shared" si="9"/>
        <v>0.39751552795031053</v>
      </c>
      <c r="Z42" s="18">
        <f t="shared" si="10"/>
        <v>0.56634304207119746</v>
      </c>
      <c r="AA42" s="10">
        <f t="shared" si="11"/>
        <v>0.24440337970000001</v>
      </c>
      <c r="AB42" t="str">
        <f>IF(AA42&gt;=Como_Avaliar!$B$15,"Alta",IF(AA42&gt;=Como_Avaliar!$B$16,"Média","Baixa"))</f>
        <v>Média</v>
      </c>
    </row>
    <row r="43" spans="1:28" x14ac:dyDescent="0.25">
      <c r="A43" t="s">
        <v>342</v>
      </c>
      <c r="B43" t="s">
        <v>286</v>
      </c>
      <c r="C43" t="s">
        <v>88</v>
      </c>
      <c r="D43" t="s">
        <v>59</v>
      </c>
      <c r="E43" t="s">
        <v>95</v>
      </c>
      <c r="F43">
        <v>28</v>
      </c>
      <c r="G43">
        <v>17</v>
      </c>
      <c r="H43">
        <v>6</v>
      </c>
      <c r="I43" t="s">
        <v>62</v>
      </c>
      <c r="J43" t="s">
        <v>97</v>
      </c>
      <c r="K43" t="s">
        <v>98</v>
      </c>
      <c r="L43" t="s">
        <v>289</v>
      </c>
      <c r="M43">
        <v>1</v>
      </c>
      <c r="N43" t="str">
        <f t="shared" si="0"/>
        <v>3. 16+ anos</v>
      </c>
      <c r="O43" t="str">
        <f t="shared" si="1"/>
        <v>1. &lt; 20</v>
      </c>
      <c r="P43" t="str">
        <f t="shared" si="2"/>
        <v>3. 6 a 15</v>
      </c>
      <c r="Q43">
        <f t="shared" si="3"/>
        <v>0</v>
      </c>
      <c r="R43">
        <f t="shared" si="4"/>
        <v>0</v>
      </c>
      <c r="S43">
        <f t="shared" si="5"/>
        <v>0</v>
      </c>
      <c r="V43" s="18">
        <f t="shared" si="6"/>
        <v>0.43835616438356162</v>
      </c>
      <c r="W43" s="18">
        <f t="shared" si="7"/>
        <v>0.55319148936170215</v>
      </c>
      <c r="X43" s="18">
        <f t="shared" si="8"/>
        <v>0.10309278350515463</v>
      </c>
      <c r="Y43" s="18">
        <f t="shared" si="9"/>
        <v>0.37662337662337664</v>
      </c>
      <c r="Z43" s="18">
        <f t="shared" si="10"/>
        <v>0.56634304207119746</v>
      </c>
      <c r="AA43" s="10">
        <f t="shared" si="11"/>
        <v>0.40752137119999998</v>
      </c>
      <c r="AB43" t="str">
        <f>IF(AA43&gt;=Como_Avaliar!$B$15,"Alta",IF(AA43&gt;=Como_Avaliar!$B$16,"Média","Baixa"))</f>
        <v>Média</v>
      </c>
    </row>
    <row r="44" spans="1:28" x14ac:dyDescent="0.25">
      <c r="A44" t="s">
        <v>343</v>
      </c>
      <c r="B44" t="s">
        <v>288</v>
      </c>
      <c r="C44" t="s">
        <v>88</v>
      </c>
      <c r="D44" t="s">
        <v>56</v>
      </c>
      <c r="E44" t="s">
        <v>90</v>
      </c>
      <c r="F44">
        <v>16</v>
      </c>
      <c r="G44">
        <v>17</v>
      </c>
      <c r="H44">
        <v>2</v>
      </c>
      <c r="I44" t="s">
        <v>65</v>
      </c>
      <c r="J44" t="s">
        <v>97</v>
      </c>
      <c r="K44" t="s">
        <v>97</v>
      </c>
      <c r="L44" t="s">
        <v>322</v>
      </c>
      <c r="M44">
        <v>0</v>
      </c>
      <c r="N44" t="str">
        <f t="shared" si="0"/>
        <v>3. 16+ anos</v>
      </c>
      <c r="O44" t="str">
        <f t="shared" si="1"/>
        <v>1. &lt; 20</v>
      </c>
      <c r="P44" t="str">
        <f t="shared" si="2"/>
        <v>1. 1 a 2</v>
      </c>
      <c r="Q44">
        <f t="shared" si="3"/>
        <v>0</v>
      </c>
      <c r="R44">
        <f t="shared" si="4"/>
        <v>0</v>
      </c>
      <c r="S44">
        <f t="shared" si="5"/>
        <v>0</v>
      </c>
      <c r="V44" s="18">
        <f t="shared" si="6"/>
        <v>6.8273092369477914E-2</v>
      </c>
      <c r="W44" s="18">
        <f t="shared" si="7"/>
        <v>8.6792452830188674E-2</v>
      </c>
      <c r="X44" s="18">
        <f t="shared" si="8"/>
        <v>0.10309278350515463</v>
      </c>
      <c r="Y44" s="18">
        <f t="shared" si="9"/>
        <v>0.39751552795031053</v>
      </c>
      <c r="Z44" s="18">
        <f t="shared" si="10"/>
        <v>0.56634304207119746</v>
      </c>
      <c r="AA44" s="10">
        <f t="shared" si="11"/>
        <v>0.24440337970000001</v>
      </c>
      <c r="AB44" t="str">
        <f>IF(AA44&gt;=Como_Avaliar!$B$15,"Alta",IF(AA44&gt;=Como_Avaliar!$B$16,"Média","Baixa"))</f>
        <v>Média</v>
      </c>
    </row>
    <row r="45" spans="1:28" x14ac:dyDescent="0.25">
      <c r="A45" t="s">
        <v>344</v>
      </c>
      <c r="B45" t="s">
        <v>288</v>
      </c>
      <c r="C45" t="s">
        <v>88</v>
      </c>
      <c r="D45" t="s">
        <v>56</v>
      </c>
      <c r="E45" t="s">
        <v>91</v>
      </c>
      <c r="F45">
        <v>15</v>
      </c>
      <c r="G45">
        <v>13</v>
      </c>
      <c r="H45">
        <v>2</v>
      </c>
      <c r="I45" t="s">
        <v>62</v>
      </c>
      <c r="J45" t="s">
        <v>98</v>
      </c>
      <c r="K45" t="s">
        <v>98</v>
      </c>
      <c r="L45" t="s">
        <v>284</v>
      </c>
      <c r="M45">
        <v>0</v>
      </c>
      <c r="N45" t="str">
        <f t="shared" si="0"/>
        <v>2. 8 a 15 anos</v>
      </c>
      <c r="O45" t="str">
        <f t="shared" si="1"/>
        <v>1. &lt; 20</v>
      </c>
      <c r="P45" t="str">
        <f t="shared" si="2"/>
        <v>1. 1 a 2</v>
      </c>
      <c r="Q45">
        <f t="shared" si="3"/>
        <v>0</v>
      </c>
      <c r="R45">
        <f t="shared" si="4"/>
        <v>0</v>
      </c>
      <c r="S45">
        <f t="shared" si="5"/>
        <v>1</v>
      </c>
      <c r="T45">
        <v>1</v>
      </c>
      <c r="U45" t="s">
        <v>139</v>
      </c>
      <c r="V45" s="18">
        <f t="shared" si="6"/>
        <v>6.8273092369477914E-2</v>
      </c>
      <c r="W45" s="18">
        <f t="shared" si="7"/>
        <v>8.6792452830188674E-2</v>
      </c>
      <c r="X45" s="18">
        <f t="shared" si="8"/>
        <v>0.10309278350515463</v>
      </c>
      <c r="Y45" s="18">
        <f t="shared" si="9"/>
        <v>0.37662337662337664</v>
      </c>
      <c r="Z45" s="18">
        <f t="shared" si="10"/>
        <v>0.22302158273381295</v>
      </c>
      <c r="AA45" s="10">
        <f t="shared" si="11"/>
        <v>0.1715606576</v>
      </c>
      <c r="AB45" t="str">
        <f>IF(AA45&gt;=Como_Avaliar!$B$15,"Alta",IF(AA45&gt;=Como_Avaliar!$B$16,"Média","Baixa"))</f>
        <v>Baixa</v>
      </c>
    </row>
    <row r="46" spans="1:28" x14ac:dyDescent="0.25">
      <c r="A46" t="s">
        <v>345</v>
      </c>
      <c r="B46" t="s">
        <v>286</v>
      </c>
      <c r="C46" t="s">
        <v>88</v>
      </c>
      <c r="D46" t="s">
        <v>56</v>
      </c>
      <c r="E46" t="s">
        <v>92</v>
      </c>
      <c r="F46">
        <v>15</v>
      </c>
      <c r="G46">
        <v>16</v>
      </c>
      <c r="H46">
        <v>1</v>
      </c>
      <c r="I46" t="s">
        <v>65</v>
      </c>
      <c r="J46" t="s">
        <v>97</v>
      </c>
      <c r="K46" t="s">
        <v>97</v>
      </c>
      <c r="L46" t="s">
        <v>289</v>
      </c>
      <c r="M46">
        <v>0</v>
      </c>
      <c r="N46" t="str">
        <f t="shared" si="0"/>
        <v>2. 8 a 15 anos</v>
      </c>
      <c r="O46" t="str">
        <f t="shared" si="1"/>
        <v>1. &lt; 20</v>
      </c>
      <c r="P46" t="str">
        <f t="shared" si="2"/>
        <v>1. 1 a 2</v>
      </c>
      <c r="Q46">
        <f t="shared" si="3"/>
        <v>0</v>
      </c>
      <c r="R46">
        <f t="shared" si="4"/>
        <v>0</v>
      </c>
      <c r="S46">
        <f t="shared" si="5"/>
        <v>1</v>
      </c>
      <c r="T46">
        <v>2</v>
      </c>
      <c r="U46" t="s">
        <v>139</v>
      </c>
      <c r="V46" s="18">
        <f t="shared" si="6"/>
        <v>6.8273092369477914E-2</v>
      </c>
      <c r="W46" s="18">
        <f t="shared" si="7"/>
        <v>8.6792452830188674E-2</v>
      </c>
      <c r="X46" s="18">
        <f t="shared" si="8"/>
        <v>0.10309278350515463</v>
      </c>
      <c r="Y46" s="18">
        <f t="shared" si="9"/>
        <v>0.39751552795031053</v>
      </c>
      <c r="Z46" s="18">
        <f t="shared" si="10"/>
        <v>0.22302158273381295</v>
      </c>
      <c r="AA46" s="10">
        <f t="shared" si="11"/>
        <v>0.17573908790000001</v>
      </c>
      <c r="AB46" t="str">
        <f>IF(AA46&gt;=Como_Avaliar!$B$15,"Alta",IF(AA46&gt;=Como_Avaliar!$B$16,"Média","Baixa"))</f>
        <v>Baixa</v>
      </c>
    </row>
    <row r="47" spans="1:28" x14ac:dyDescent="0.25">
      <c r="A47" t="s">
        <v>346</v>
      </c>
      <c r="B47" t="s">
        <v>288</v>
      </c>
      <c r="C47" t="s">
        <v>88</v>
      </c>
      <c r="D47" t="s">
        <v>57</v>
      </c>
      <c r="E47" t="s">
        <v>93</v>
      </c>
      <c r="F47">
        <v>19</v>
      </c>
      <c r="G47">
        <v>355</v>
      </c>
      <c r="H47">
        <v>96</v>
      </c>
      <c r="I47" t="s">
        <v>60</v>
      </c>
      <c r="J47" t="s">
        <v>97</v>
      </c>
      <c r="K47" t="s">
        <v>97</v>
      </c>
      <c r="L47" t="s">
        <v>284</v>
      </c>
      <c r="M47">
        <v>1</v>
      </c>
      <c r="N47" t="str">
        <f t="shared" si="0"/>
        <v>3. 16+ anos</v>
      </c>
      <c r="O47" t="str">
        <f t="shared" si="1"/>
        <v>4. 150+</v>
      </c>
      <c r="P47" t="str">
        <f t="shared" si="2"/>
        <v>4. 16+</v>
      </c>
      <c r="Q47">
        <f t="shared" si="3"/>
        <v>0</v>
      </c>
      <c r="R47">
        <f t="shared" si="4"/>
        <v>1</v>
      </c>
      <c r="S47">
        <f t="shared" si="5"/>
        <v>0</v>
      </c>
      <c r="V47" s="18">
        <f t="shared" si="6"/>
        <v>1</v>
      </c>
      <c r="W47" s="18">
        <f t="shared" si="7"/>
        <v>0.97272727272727277</v>
      </c>
      <c r="X47" s="18">
        <f t="shared" si="8"/>
        <v>0.97938144329896903</v>
      </c>
      <c r="Y47" s="18">
        <f t="shared" si="9"/>
        <v>0.65217391304347827</v>
      </c>
      <c r="Z47" s="18">
        <f t="shared" si="10"/>
        <v>0.56634304207119746</v>
      </c>
      <c r="AA47" s="10">
        <f t="shared" si="11"/>
        <v>0.83412513420000001</v>
      </c>
      <c r="AB47" t="str">
        <f>IF(AA47&gt;=Como_Avaliar!$B$15,"Alta",IF(AA47&gt;=Como_Avaliar!$B$16,"Média","Baixa"))</f>
        <v>Alta</v>
      </c>
    </row>
    <row r="48" spans="1:28" x14ac:dyDescent="0.25">
      <c r="A48" t="s">
        <v>347</v>
      </c>
      <c r="B48" t="s">
        <v>286</v>
      </c>
      <c r="C48" t="s">
        <v>88</v>
      </c>
      <c r="D48" t="s">
        <v>59</v>
      </c>
      <c r="E48" t="s">
        <v>93</v>
      </c>
      <c r="F48">
        <v>12</v>
      </c>
      <c r="G48">
        <v>67</v>
      </c>
      <c r="H48">
        <v>5</v>
      </c>
      <c r="I48" t="s">
        <v>65</v>
      </c>
      <c r="J48" t="s">
        <v>98</v>
      </c>
      <c r="K48" t="s">
        <v>98</v>
      </c>
      <c r="L48" t="s">
        <v>293</v>
      </c>
      <c r="M48">
        <v>1</v>
      </c>
      <c r="N48" t="str">
        <f t="shared" si="0"/>
        <v>2. 8 a 15 anos</v>
      </c>
      <c r="O48" t="str">
        <f t="shared" si="1"/>
        <v>3. 50 a 149</v>
      </c>
      <c r="P48" t="str">
        <f t="shared" si="2"/>
        <v>2. 3 a 5</v>
      </c>
      <c r="Q48">
        <f t="shared" si="3"/>
        <v>0</v>
      </c>
      <c r="R48">
        <f t="shared" si="4"/>
        <v>0</v>
      </c>
      <c r="S48">
        <f t="shared" si="5"/>
        <v>0</v>
      </c>
      <c r="V48" s="18">
        <f t="shared" si="6"/>
        <v>0.43835616438356162</v>
      </c>
      <c r="W48" s="18">
        <f t="shared" si="7"/>
        <v>0.38095238095238093</v>
      </c>
      <c r="X48" s="18">
        <f t="shared" si="8"/>
        <v>0.58992805755395683</v>
      </c>
      <c r="Y48" s="18">
        <f t="shared" si="9"/>
        <v>0.39751552795031053</v>
      </c>
      <c r="Z48" s="18">
        <f t="shared" si="10"/>
        <v>0.22302158273381295</v>
      </c>
      <c r="AA48" s="10">
        <f t="shared" si="11"/>
        <v>0.40595474269999998</v>
      </c>
      <c r="AB48" t="str">
        <f>IF(AA48&gt;=Como_Avaliar!$B$15,"Alta",IF(AA48&gt;=Como_Avaliar!$B$16,"Média","Baixa"))</f>
        <v>Média</v>
      </c>
    </row>
    <row r="49" spans="1:28" x14ac:dyDescent="0.25">
      <c r="A49" t="s">
        <v>348</v>
      </c>
      <c r="B49" t="s">
        <v>288</v>
      </c>
      <c r="C49" t="s">
        <v>88</v>
      </c>
      <c r="D49" t="s">
        <v>58</v>
      </c>
      <c r="E49" t="s">
        <v>96</v>
      </c>
      <c r="F49">
        <v>23</v>
      </c>
      <c r="G49">
        <v>236</v>
      </c>
      <c r="H49">
        <v>26</v>
      </c>
      <c r="I49" t="s">
        <v>68</v>
      </c>
      <c r="J49" t="s">
        <v>98</v>
      </c>
      <c r="K49" t="s">
        <v>97</v>
      </c>
      <c r="L49" t="s">
        <v>329</v>
      </c>
      <c r="M49">
        <v>1</v>
      </c>
      <c r="N49" t="str">
        <f t="shared" si="0"/>
        <v>3. 16+ anos</v>
      </c>
      <c r="O49" t="str">
        <f t="shared" si="1"/>
        <v>4. 150+</v>
      </c>
      <c r="P49" t="str">
        <f t="shared" si="2"/>
        <v>4. 16+</v>
      </c>
      <c r="Q49">
        <f t="shared" si="3"/>
        <v>0</v>
      </c>
      <c r="R49">
        <f t="shared" si="4"/>
        <v>1</v>
      </c>
      <c r="S49">
        <f t="shared" si="5"/>
        <v>0</v>
      </c>
      <c r="V49" s="18">
        <f t="shared" si="6"/>
        <v>0.93975903614457834</v>
      </c>
      <c r="W49" s="18">
        <f t="shared" si="7"/>
        <v>0.97272727272727277</v>
      </c>
      <c r="X49" s="18">
        <f t="shared" si="8"/>
        <v>0.97938144329896903</v>
      </c>
      <c r="Y49" s="18">
        <f t="shared" si="9"/>
        <v>0.58333333333333337</v>
      </c>
      <c r="Z49" s="18">
        <f t="shared" si="10"/>
        <v>0.56634304207119746</v>
      </c>
      <c r="AA49" s="10">
        <f t="shared" si="11"/>
        <v>0.80830882550000005</v>
      </c>
      <c r="AB49" t="str">
        <f>IF(AA49&gt;=Como_Avaliar!$B$15,"Alta",IF(AA49&gt;=Como_Avaliar!$B$16,"Média","Baixa"))</f>
        <v>Alta</v>
      </c>
    </row>
    <row r="50" spans="1:28" x14ac:dyDescent="0.25">
      <c r="A50" t="s">
        <v>349</v>
      </c>
      <c r="B50" t="s">
        <v>283</v>
      </c>
      <c r="C50" t="s">
        <v>89</v>
      </c>
      <c r="D50" t="s">
        <v>56</v>
      </c>
      <c r="E50" t="s">
        <v>95</v>
      </c>
      <c r="F50">
        <v>20</v>
      </c>
      <c r="G50">
        <v>9</v>
      </c>
      <c r="H50">
        <v>1</v>
      </c>
      <c r="I50" t="s">
        <v>62</v>
      </c>
      <c r="J50" t="s">
        <v>98</v>
      </c>
      <c r="K50" t="s">
        <v>97</v>
      </c>
      <c r="L50" t="s">
        <v>293</v>
      </c>
      <c r="M50">
        <v>0</v>
      </c>
      <c r="N50" t="str">
        <f t="shared" si="0"/>
        <v>3. 16+ anos</v>
      </c>
      <c r="O50" t="str">
        <f t="shared" si="1"/>
        <v>1. &lt; 20</v>
      </c>
      <c r="P50" t="str">
        <f t="shared" si="2"/>
        <v>1. 1 a 2</v>
      </c>
      <c r="Q50">
        <f t="shared" si="3"/>
        <v>0</v>
      </c>
      <c r="R50">
        <f t="shared" si="4"/>
        <v>0</v>
      </c>
      <c r="S50">
        <f t="shared" si="5"/>
        <v>1</v>
      </c>
      <c r="T50">
        <v>1</v>
      </c>
      <c r="U50" t="s">
        <v>139</v>
      </c>
      <c r="V50" s="18">
        <f t="shared" si="6"/>
        <v>6.8273092369477914E-2</v>
      </c>
      <c r="W50" s="18">
        <f t="shared" si="7"/>
        <v>8.6792452830188674E-2</v>
      </c>
      <c r="X50" s="18">
        <f t="shared" si="8"/>
        <v>0.10309278350515463</v>
      </c>
      <c r="Y50" s="18">
        <f t="shared" si="9"/>
        <v>0.37662337662337664</v>
      </c>
      <c r="Z50" s="18">
        <f t="shared" si="10"/>
        <v>0.56634304207119746</v>
      </c>
      <c r="AA50" s="10">
        <f t="shared" si="11"/>
        <v>0.24022494950000001</v>
      </c>
      <c r="AB50" t="str">
        <f>IF(AA50&gt;=Como_Avaliar!$B$15,"Alta",IF(AA50&gt;=Como_Avaliar!$B$16,"Média","Baixa"))</f>
        <v>Média</v>
      </c>
    </row>
    <row r="51" spans="1:28" x14ac:dyDescent="0.25">
      <c r="A51" t="s">
        <v>350</v>
      </c>
      <c r="B51" t="s">
        <v>301</v>
      </c>
      <c r="C51" t="s">
        <v>88</v>
      </c>
      <c r="D51" t="s">
        <v>58</v>
      </c>
      <c r="E51" t="s">
        <v>96</v>
      </c>
      <c r="F51">
        <v>25</v>
      </c>
      <c r="G51">
        <v>165</v>
      </c>
      <c r="H51">
        <v>29</v>
      </c>
      <c r="I51" t="s">
        <v>68</v>
      </c>
      <c r="J51" t="s">
        <v>98</v>
      </c>
      <c r="K51" t="s">
        <v>98</v>
      </c>
      <c r="L51" t="s">
        <v>293</v>
      </c>
      <c r="M51">
        <v>1</v>
      </c>
      <c r="N51" t="str">
        <f t="shared" si="0"/>
        <v>3. 16+ anos</v>
      </c>
      <c r="O51" t="str">
        <f t="shared" si="1"/>
        <v>4. 150+</v>
      </c>
      <c r="P51" t="str">
        <f t="shared" si="2"/>
        <v>4. 16+</v>
      </c>
      <c r="Q51">
        <f t="shared" si="3"/>
        <v>0</v>
      </c>
      <c r="R51">
        <f t="shared" si="4"/>
        <v>1</v>
      </c>
      <c r="S51">
        <f t="shared" si="5"/>
        <v>0</v>
      </c>
      <c r="V51" s="18">
        <f t="shared" si="6"/>
        <v>0.93975903614457834</v>
      </c>
      <c r="W51" s="18">
        <f t="shared" si="7"/>
        <v>0.97272727272727277</v>
      </c>
      <c r="X51" s="18">
        <f t="shared" si="8"/>
        <v>0.97938144329896903</v>
      </c>
      <c r="Y51" s="18">
        <f t="shared" si="9"/>
        <v>0.58333333333333337</v>
      </c>
      <c r="Z51" s="18">
        <f t="shared" si="10"/>
        <v>0.56634304207119746</v>
      </c>
      <c r="AA51" s="10">
        <f t="shared" si="11"/>
        <v>0.80830882550000005</v>
      </c>
      <c r="AB51" t="str">
        <f>IF(AA51&gt;=Como_Avaliar!$B$15,"Alta",IF(AA51&gt;=Como_Avaliar!$B$16,"Média","Baixa"))</f>
        <v>Alta</v>
      </c>
    </row>
    <row r="52" spans="1:28" x14ac:dyDescent="0.25">
      <c r="A52" t="s">
        <v>351</v>
      </c>
      <c r="B52" t="s">
        <v>301</v>
      </c>
      <c r="C52" t="s">
        <v>88</v>
      </c>
      <c r="D52" t="s">
        <v>56</v>
      </c>
      <c r="E52" t="s">
        <v>93</v>
      </c>
      <c r="F52">
        <v>3</v>
      </c>
      <c r="G52">
        <v>19</v>
      </c>
      <c r="H52">
        <v>2</v>
      </c>
      <c r="I52" t="s">
        <v>62</v>
      </c>
      <c r="J52" t="s">
        <v>98</v>
      </c>
      <c r="K52" t="s">
        <v>98</v>
      </c>
      <c r="L52" t="s">
        <v>289</v>
      </c>
      <c r="M52">
        <v>0</v>
      </c>
      <c r="N52" t="str">
        <f t="shared" si="0"/>
        <v>1. &lt; 8 anos</v>
      </c>
      <c r="O52" t="str">
        <f t="shared" si="1"/>
        <v>1. &lt; 20</v>
      </c>
      <c r="P52" t="str">
        <f t="shared" si="2"/>
        <v>1. 1 a 2</v>
      </c>
      <c r="Q52">
        <f t="shared" si="3"/>
        <v>0</v>
      </c>
      <c r="R52">
        <f t="shared" si="4"/>
        <v>0</v>
      </c>
      <c r="S52">
        <f t="shared" si="5"/>
        <v>1</v>
      </c>
      <c r="T52">
        <v>2</v>
      </c>
      <c r="U52" t="s">
        <v>139</v>
      </c>
      <c r="V52" s="18">
        <f t="shared" si="6"/>
        <v>6.8273092369477914E-2</v>
      </c>
      <c r="W52" s="18">
        <f t="shared" si="7"/>
        <v>8.6792452830188674E-2</v>
      </c>
      <c r="X52" s="18">
        <f t="shared" si="8"/>
        <v>0.10309278350515463</v>
      </c>
      <c r="Y52" s="18">
        <f t="shared" si="9"/>
        <v>0.37662337662337664</v>
      </c>
      <c r="Z52" s="18">
        <f t="shared" si="10"/>
        <v>0.22368421052631579</v>
      </c>
      <c r="AA52" s="10">
        <f t="shared" si="11"/>
        <v>0.17169318319999999</v>
      </c>
      <c r="AB52" t="str">
        <f>IF(AA52&gt;=Como_Avaliar!$B$15,"Alta",IF(AA52&gt;=Como_Avaliar!$B$16,"Média","Baixa"))</f>
        <v>Baixa</v>
      </c>
    </row>
    <row r="53" spans="1:28" x14ac:dyDescent="0.25">
      <c r="A53" t="s">
        <v>352</v>
      </c>
      <c r="B53" t="s">
        <v>286</v>
      </c>
      <c r="C53" t="s">
        <v>88</v>
      </c>
      <c r="D53" t="s">
        <v>56</v>
      </c>
      <c r="E53" t="s">
        <v>95</v>
      </c>
      <c r="F53">
        <v>5</v>
      </c>
      <c r="G53">
        <v>22</v>
      </c>
      <c r="H53">
        <v>1</v>
      </c>
      <c r="I53" t="s">
        <v>65</v>
      </c>
      <c r="J53" t="s">
        <v>97</v>
      </c>
      <c r="K53" t="s">
        <v>98</v>
      </c>
      <c r="L53" t="s">
        <v>284</v>
      </c>
      <c r="M53">
        <v>0</v>
      </c>
      <c r="N53" t="str">
        <f t="shared" si="0"/>
        <v>1. &lt; 8 anos</v>
      </c>
      <c r="O53" t="str">
        <f t="shared" si="1"/>
        <v>2. 20 a 49</v>
      </c>
      <c r="P53" t="str">
        <f t="shared" si="2"/>
        <v>1. 1 a 2</v>
      </c>
      <c r="Q53">
        <f t="shared" si="3"/>
        <v>0</v>
      </c>
      <c r="R53">
        <f t="shared" si="4"/>
        <v>0</v>
      </c>
      <c r="S53">
        <f t="shared" si="5"/>
        <v>1</v>
      </c>
      <c r="T53">
        <v>2</v>
      </c>
      <c r="U53" t="s">
        <v>139</v>
      </c>
      <c r="V53" s="18">
        <f t="shared" si="6"/>
        <v>6.8273092369477914E-2</v>
      </c>
      <c r="W53" s="18">
        <f t="shared" si="7"/>
        <v>8.6792452830188674E-2</v>
      </c>
      <c r="X53" s="18">
        <f t="shared" si="8"/>
        <v>0.25294117647058822</v>
      </c>
      <c r="Y53" s="18">
        <f t="shared" si="9"/>
        <v>0.39751552795031053</v>
      </c>
      <c r="Z53" s="18">
        <f t="shared" si="10"/>
        <v>0.22368421052631579</v>
      </c>
      <c r="AA53" s="10">
        <f t="shared" si="11"/>
        <v>0.20584129200000001</v>
      </c>
      <c r="AB53" t="str">
        <f>IF(AA53&gt;=Como_Avaliar!$B$15,"Alta",IF(AA53&gt;=Como_Avaliar!$B$16,"Média","Baixa"))</f>
        <v>Baixa</v>
      </c>
    </row>
    <row r="54" spans="1:28" x14ac:dyDescent="0.25">
      <c r="A54" t="s">
        <v>353</v>
      </c>
      <c r="B54" t="s">
        <v>288</v>
      </c>
      <c r="C54" t="s">
        <v>88</v>
      </c>
      <c r="D54" t="s">
        <v>59</v>
      </c>
      <c r="E54" t="s">
        <v>94</v>
      </c>
      <c r="F54">
        <v>19</v>
      </c>
      <c r="G54">
        <v>75</v>
      </c>
      <c r="H54">
        <v>4</v>
      </c>
      <c r="I54" t="s">
        <v>68</v>
      </c>
      <c r="J54" t="s">
        <v>98</v>
      </c>
      <c r="K54" t="s">
        <v>97</v>
      </c>
      <c r="L54" t="s">
        <v>329</v>
      </c>
      <c r="M54">
        <v>0</v>
      </c>
      <c r="N54" t="str">
        <f t="shared" si="0"/>
        <v>3. 16+ anos</v>
      </c>
      <c r="O54" t="str">
        <f t="shared" si="1"/>
        <v>3. 50 a 149</v>
      </c>
      <c r="P54" t="str">
        <f t="shared" si="2"/>
        <v>2. 3 a 5</v>
      </c>
      <c r="Q54">
        <f t="shared" si="3"/>
        <v>0</v>
      </c>
      <c r="R54">
        <f t="shared" si="4"/>
        <v>0</v>
      </c>
      <c r="S54">
        <f t="shared" si="5"/>
        <v>1</v>
      </c>
      <c r="T54">
        <v>3</v>
      </c>
      <c r="U54" t="s">
        <v>138</v>
      </c>
      <c r="V54" s="18">
        <f t="shared" si="6"/>
        <v>0.43835616438356162</v>
      </c>
      <c r="W54" s="18">
        <f t="shared" si="7"/>
        <v>0.38095238095238093</v>
      </c>
      <c r="X54" s="18">
        <f t="shared" si="8"/>
        <v>0.58992805755395683</v>
      </c>
      <c r="Y54" s="18">
        <f t="shared" si="9"/>
        <v>0.58333333333333337</v>
      </c>
      <c r="Z54" s="18">
        <f t="shared" si="10"/>
        <v>0.56634304207119746</v>
      </c>
      <c r="AA54" s="10">
        <f t="shared" si="11"/>
        <v>0.51178259569999995</v>
      </c>
      <c r="AB54" t="str">
        <f>IF(AA54&gt;=Como_Avaliar!$B$15,"Alta",IF(AA54&gt;=Como_Avaliar!$B$16,"Média","Baixa"))</f>
        <v>Alta</v>
      </c>
    </row>
    <row r="55" spans="1:28" x14ac:dyDescent="0.25">
      <c r="A55" t="s">
        <v>354</v>
      </c>
      <c r="B55" t="s">
        <v>355</v>
      </c>
      <c r="C55" t="s">
        <v>86</v>
      </c>
      <c r="D55" t="s">
        <v>59</v>
      </c>
      <c r="E55" t="s">
        <v>91</v>
      </c>
      <c r="F55">
        <v>7</v>
      </c>
      <c r="G55">
        <v>22</v>
      </c>
      <c r="H55">
        <v>6</v>
      </c>
      <c r="I55" t="s">
        <v>62</v>
      </c>
      <c r="J55" t="s">
        <v>97</v>
      </c>
      <c r="K55" t="s">
        <v>97</v>
      </c>
      <c r="L55" t="s">
        <v>322</v>
      </c>
      <c r="M55">
        <v>0</v>
      </c>
      <c r="N55" t="str">
        <f t="shared" si="0"/>
        <v>1. &lt; 8 anos</v>
      </c>
      <c r="O55" t="str">
        <f t="shared" si="1"/>
        <v>2. 20 a 49</v>
      </c>
      <c r="P55" t="str">
        <f t="shared" si="2"/>
        <v>3. 6 a 15</v>
      </c>
      <c r="Q55">
        <f t="shared" si="3"/>
        <v>0</v>
      </c>
      <c r="R55">
        <f t="shared" si="4"/>
        <v>0</v>
      </c>
      <c r="S55">
        <f t="shared" si="5"/>
        <v>0</v>
      </c>
      <c r="V55" s="18">
        <f t="shared" si="6"/>
        <v>0.43835616438356162</v>
      </c>
      <c r="W55" s="18">
        <f t="shared" si="7"/>
        <v>0.55319148936170215</v>
      </c>
      <c r="X55" s="18">
        <f t="shared" si="8"/>
        <v>0.25294117647058822</v>
      </c>
      <c r="Y55" s="18">
        <f t="shared" si="9"/>
        <v>0.37662337662337664</v>
      </c>
      <c r="Z55" s="18">
        <f t="shared" si="10"/>
        <v>0.22368421052631579</v>
      </c>
      <c r="AA55" s="10">
        <f t="shared" si="11"/>
        <v>0.36895928350000001</v>
      </c>
      <c r="AB55" t="str">
        <f>IF(AA55&gt;=Como_Avaliar!$B$15,"Alta",IF(AA55&gt;=Como_Avaliar!$B$16,"Média","Baixa"))</f>
        <v>Média</v>
      </c>
    </row>
    <row r="56" spans="1:28" x14ac:dyDescent="0.25">
      <c r="A56" t="s">
        <v>356</v>
      </c>
      <c r="B56" t="s">
        <v>283</v>
      </c>
      <c r="C56" t="s">
        <v>89</v>
      </c>
      <c r="D56" t="s">
        <v>59</v>
      </c>
      <c r="E56" t="s">
        <v>95</v>
      </c>
      <c r="F56">
        <v>21</v>
      </c>
      <c r="G56">
        <v>32</v>
      </c>
      <c r="H56">
        <v>6</v>
      </c>
      <c r="I56" t="s">
        <v>60</v>
      </c>
      <c r="J56" t="s">
        <v>98</v>
      </c>
      <c r="K56" t="s">
        <v>97</v>
      </c>
      <c r="L56" t="s">
        <v>289</v>
      </c>
      <c r="M56">
        <v>1</v>
      </c>
      <c r="N56" t="str">
        <f t="shared" si="0"/>
        <v>3. 16+ anos</v>
      </c>
      <c r="O56" t="str">
        <f t="shared" si="1"/>
        <v>2. 20 a 49</v>
      </c>
      <c r="P56" t="str">
        <f t="shared" si="2"/>
        <v>3. 6 a 15</v>
      </c>
      <c r="Q56">
        <f t="shared" si="3"/>
        <v>0</v>
      </c>
      <c r="R56">
        <f t="shared" si="4"/>
        <v>0</v>
      </c>
      <c r="S56">
        <f t="shared" si="5"/>
        <v>0</v>
      </c>
      <c r="V56" s="18">
        <f t="shared" si="6"/>
        <v>0.43835616438356162</v>
      </c>
      <c r="W56" s="18">
        <f t="shared" si="7"/>
        <v>0.55319148936170215</v>
      </c>
      <c r="X56" s="18">
        <f t="shared" si="8"/>
        <v>0.25294117647058822</v>
      </c>
      <c r="Y56" s="18">
        <f t="shared" si="9"/>
        <v>0.65217391304347827</v>
      </c>
      <c r="Z56" s="18">
        <f t="shared" si="10"/>
        <v>0.56634304207119746</v>
      </c>
      <c r="AA56" s="10">
        <f t="shared" si="11"/>
        <v>0.49260115710000002</v>
      </c>
      <c r="AB56" t="str">
        <f>IF(AA56&gt;=Como_Avaliar!$B$15,"Alta",IF(AA56&gt;=Como_Avaliar!$B$16,"Média","Baixa"))</f>
        <v>Alta</v>
      </c>
    </row>
    <row r="57" spans="1:28" x14ac:dyDescent="0.25">
      <c r="A57" t="s">
        <v>357</v>
      </c>
      <c r="B57" t="s">
        <v>283</v>
      </c>
      <c r="C57" t="s">
        <v>89</v>
      </c>
      <c r="D57" t="s">
        <v>59</v>
      </c>
      <c r="E57" t="s">
        <v>90</v>
      </c>
      <c r="F57">
        <v>9</v>
      </c>
      <c r="G57">
        <v>41</v>
      </c>
      <c r="H57">
        <v>6</v>
      </c>
      <c r="I57" t="s">
        <v>62</v>
      </c>
      <c r="J57" t="s">
        <v>98</v>
      </c>
      <c r="K57" t="s">
        <v>98</v>
      </c>
      <c r="L57" t="s">
        <v>289</v>
      </c>
      <c r="M57">
        <v>1</v>
      </c>
      <c r="N57" t="str">
        <f t="shared" si="0"/>
        <v>2. 8 a 15 anos</v>
      </c>
      <c r="O57" t="str">
        <f t="shared" si="1"/>
        <v>2. 20 a 49</v>
      </c>
      <c r="P57" t="str">
        <f t="shared" si="2"/>
        <v>3. 6 a 15</v>
      </c>
      <c r="Q57">
        <f t="shared" si="3"/>
        <v>0</v>
      </c>
      <c r="R57">
        <f t="shared" si="4"/>
        <v>0</v>
      </c>
      <c r="S57">
        <f t="shared" si="5"/>
        <v>0</v>
      </c>
      <c r="V57" s="18">
        <f t="shared" si="6"/>
        <v>0.43835616438356162</v>
      </c>
      <c r="W57" s="18">
        <f t="shared" si="7"/>
        <v>0.55319148936170215</v>
      </c>
      <c r="X57" s="18">
        <f t="shared" si="8"/>
        <v>0.25294117647058822</v>
      </c>
      <c r="Y57" s="18">
        <f t="shared" si="9"/>
        <v>0.37662337662337664</v>
      </c>
      <c r="Z57" s="18">
        <f t="shared" si="10"/>
        <v>0.22302158273381295</v>
      </c>
      <c r="AA57" s="10">
        <f t="shared" si="11"/>
        <v>0.36882675790000002</v>
      </c>
      <c r="AB57" t="str">
        <f>IF(AA57&gt;=Como_Avaliar!$B$15,"Alta",IF(AA57&gt;=Como_Avaliar!$B$16,"Média","Baixa"))</f>
        <v>Média</v>
      </c>
    </row>
    <row r="58" spans="1:28" x14ac:dyDescent="0.25">
      <c r="A58" t="s">
        <v>358</v>
      </c>
      <c r="B58" t="s">
        <v>286</v>
      </c>
      <c r="C58" t="s">
        <v>88</v>
      </c>
      <c r="D58" t="s">
        <v>56</v>
      </c>
      <c r="E58" t="s">
        <v>92</v>
      </c>
      <c r="F58">
        <v>7</v>
      </c>
      <c r="G58">
        <v>20</v>
      </c>
      <c r="H58">
        <v>2</v>
      </c>
      <c r="I58" t="s">
        <v>62</v>
      </c>
      <c r="J58" t="s">
        <v>98</v>
      </c>
      <c r="K58" t="s">
        <v>98</v>
      </c>
      <c r="L58" t="s">
        <v>289</v>
      </c>
      <c r="M58">
        <v>0</v>
      </c>
      <c r="N58" t="str">
        <f t="shared" si="0"/>
        <v>1. &lt; 8 anos</v>
      </c>
      <c r="O58" t="str">
        <f t="shared" si="1"/>
        <v>2. 20 a 49</v>
      </c>
      <c r="P58" t="str">
        <f t="shared" si="2"/>
        <v>1. 1 a 2</v>
      </c>
      <c r="Q58">
        <f t="shared" si="3"/>
        <v>0</v>
      </c>
      <c r="R58">
        <f t="shared" si="4"/>
        <v>0</v>
      </c>
      <c r="S58">
        <f t="shared" si="5"/>
        <v>1</v>
      </c>
      <c r="T58">
        <v>2</v>
      </c>
      <c r="U58" t="s">
        <v>139</v>
      </c>
      <c r="V58" s="18">
        <f t="shared" si="6"/>
        <v>6.8273092369477914E-2</v>
      </c>
      <c r="W58" s="18">
        <f t="shared" si="7"/>
        <v>8.6792452830188674E-2</v>
      </c>
      <c r="X58" s="18">
        <f t="shared" si="8"/>
        <v>0.25294117647058822</v>
      </c>
      <c r="Y58" s="18">
        <f t="shared" si="9"/>
        <v>0.37662337662337664</v>
      </c>
      <c r="Z58" s="18">
        <f t="shared" si="10"/>
        <v>0.22368421052631579</v>
      </c>
      <c r="AA58" s="10">
        <f t="shared" si="11"/>
        <v>0.20166286180000001</v>
      </c>
      <c r="AB58" t="str">
        <f>IF(AA58&gt;=Como_Avaliar!$B$15,"Alta",IF(AA58&gt;=Como_Avaliar!$B$16,"Média","Baixa"))</f>
        <v>Baixa</v>
      </c>
    </row>
    <row r="59" spans="1:28" x14ac:dyDescent="0.25">
      <c r="A59" t="s">
        <v>359</v>
      </c>
      <c r="B59" t="s">
        <v>292</v>
      </c>
      <c r="C59" t="s">
        <v>84</v>
      </c>
      <c r="D59" t="s">
        <v>59</v>
      </c>
      <c r="E59" t="s">
        <v>92</v>
      </c>
      <c r="F59">
        <v>18</v>
      </c>
      <c r="G59">
        <v>56</v>
      </c>
      <c r="H59">
        <v>4</v>
      </c>
      <c r="I59" t="s">
        <v>68</v>
      </c>
      <c r="J59" t="s">
        <v>98</v>
      </c>
      <c r="K59" t="s">
        <v>98</v>
      </c>
      <c r="L59" t="s">
        <v>322</v>
      </c>
      <c r="M59">
        <v>1</v>
      </c>
      <c r="N59" t="str">
        <f t="shared" si="0"/>
        <v>3. 16+ anos</v>
      </c>
      <c r="O59" t="str">
        <f t="shared" si="1"/>
        <v>3. 50 a 149</v>
      </c>
      <c r="P59" t="str">
        <f t="shared" si="2"/>
        <v>2. 3 a 5</v>
      </c>
      <c r="Q59">
        <f t="shared" si="3"/>
        <v>0</v>
      </c>
      <c r="R59">
        <f t="shared" si="4"/>
        <v>0</v>
      </c>
      <c r="S59">
        <f t="shared" si="5"/>
        <v>0</v>
      </c>
      <c r="V59" s="18">
        <f t="shared" si="6"/>
        <v>0.43835616438356162</v>
      </c>
      <c r="W59" s="18">
        <f t="shared" si="7"/>
        <v>0.38095238095238093</v>
      </c>
      <c r="X59" s="18">
        <f t="shared" si="8"/>
        <v>0.58992805755395683</v>
      </c>
      <c r="Y59" s="18">
        <f t="shared" si="9"/>
        <v>0.58333333333333337</v>
      </c>
      <c r="Z59" s="18">
        <f t="shared" si="10"/>
        <v>0.56634304207119746</v>
      </c>
      <c r="AA59" s="10">
        <f t="shared" si="11"/>
        <v>0.51178259569999995</v>
      </c>
      <c r="AB59" t="str">
        <f>IF(AA59&gt;=Como_Avaliar!$B$15,"Alta",IF(AA59&gt;=Como_Avaliar!$B$16,"Média","Baixa"))</f>
        <v>Alta</v>
      </c>
    </row>
    <row r="60" spans="1:28" x14ac:dyDescent="0.25">
      <c r="A60" t="s">
        <v>360</v>
      </c>
      <c r="B60" t="s">
        <v>286</v>
      </c>
      <c r="C60" t="s">
        <v>88</v>
      </c>
      <c r="D60" t="s">
        <v>56</v>
      </c>
      <c r="E60" t="s">
        <v>95</v>
      </c>
      <c r="F60">
        <v>4</v>
      </c>
      <c r="G60">
        <v>24</v>
      </c>
      <c r="H60">
        <v>1</v>
      </c>
      <c r="I60" t="s">
        <v>62</v>
      </c>
      <c r="J60" t="s">
        <v>98</v>
      </c>
      <c r="K60" t="s">
        <v>97</v>
      </c>
      <c r="L60" t="s">
        <v>298</v>
      </c>
      <c r="M60">
        <v>0</v>
      </c>
      <c r="N60" t="str">
        <f t="shared" si="0"/>
        <v>1. &lt; 8 anos</v>
      </c>
      <c r="O60" t="str">
        <f t="shared" si="1"/>
        <v>2. 20 a 49</v>
      </c>
      <c r="P60" t="str">
        <f t="shared" si="2"/>
        <v>1. 1 a 2</v>
      </c>
      <c r="Q60">
        <f t="shared" si="3"/>
        <v>0</v>
      </c>
      <c r="R60">
        <f t="shared" si="4"/>
        <v>0</v>
      </c>
      <c r="S60">
        <f t="shared" si="5"/>
        <v>1</v>
      </c>
      <c r="T60">
        <v>2</v>
      </c>
      <c r="U60" t="s">
        <v>139</v>
      </c>
      <c r="V60" s="18">
        <f t="shared" si="6"/>
        <v>6.8273092369477914E-2</v>
      </c>
      <c r="W60" s="18">
        <f t="shared" si="7"/>
        <v>8.6792452830188674E-2</v>
      </c>
      <c r="X60" s="18">
        <f t="shared" si="8"/>
        <v>0.25294117647058822</v>
      </c>
      <c r="Y60" s="18">
        <f t="shared" si="9"/>
        <v>0.37662337662337664</v>
      </c>
      <c r="Z60" s="18">
        <f t="shared" si="10"/>
        <v>0.22368421052631579</v>
      </c>
      <c r="AA60" s="10">
        <f t="shared" si="11"/>
        <v>0.20166286180000001</v>
      </c>
      <c r="AB60" t="str">
        <f>IF(AA60&gt;=Como_Avaliar!$B$15,"Alta",IF(AA60&gt;=Como_Avaliar!$B$16,"Média","Baixa"))</f>
        <v>Baixa</v>
      </c>
    </row>
    <row r="61" spans="1:28" x14ac:dyDescent="0.25">
      <c r="A61" t="s">
        <v>361</v>
      </c>
      <c r="B61" t="s">
        <v>301</v>
      </c>
      <c r="C61" t="s">
        <v>88</v>
      </c>
      <c r="D61" t="s">
        <v>56</v>
      </c>
      <c r="E61" t="s">
        <v>93</v>
      </c>
      <c r="F61">
        <v>25</v>
      </c>
      <c r="G61">
        <v>18</v>
      </c>
      <c r="H61">
        <v>1</v>
      </c>
      <c r="I61" t="s">
        <v>65</v>
      </c>
      <c r="J61" t="s">
        <v>97</v>
      </c>
      <c r="K61" t="s">
        <v>97</v>
      </c>
      <c r="L61" t="s">
        <v>284</v>
      </c>
      <c r="M61">
        <v>0</v>
      </c>
      <c r="N61" t="str">
        <f t="shared" si="0"/>
        <v>3. 16+ anos</v>
      </c>
      <c r="O61" t="str">
        <f t="shared" si="1"/>
        <v>1. &lt; 20</v>
      </c>
      <c r="P61" t="str">
        <f t="shared" si="2"/>
        <v>1. 1 a 2</v>
      </c>
      <c r="Q61">
        <f t="shared" si="3"/>
        <v>0</v>
      </c>
      <c r="R61">
        <f t="shared" si="4"/>
        <v>0</v>
      </c>
      <c r="S61">
        <f t="shared" si="5"/>
        <v>1</v>
      </c>
      <c r="T61">
        <v>2</v>
      </c>
      <c r="U61" t="s">
        <v>139</v>
      </c>
      <c r="V61" s="18">
        <f t="shared" si="6"/>
        <v>6.8273092369477914E-2</v>
      </c>
      <c r="W61" s="18">
        <f t="shared" si="7"/>
        <v>8.6792452830188674E-2</v>
      </c>
      <c r="X61" s="18">
        <f t="shared" si="8"/>
        <v>0.10309278350515463</v>
      </c>
      <c r="Y61" s="18">
        <f t="shared" si="9"/>
        <v>0.39751552795031053</v>
      </c>
      <c r="Z61" s="18">
        <f t="shared" si="10"/>
        <v>0.56634304207119746</v>
      </c>
      <c r="AA61" s="10">
        <f t="shared" si="11"/>
        <v>0.24440337970000001</v>
      </c>
      <c r="AB61" t="str">
        <f>IF(AA61&gt;=Como_Avaliar!$B$15,"Alta",IF(AA61&gt;=Como_Avaliar!$B$16,"Média","Baixa"))</f>
        <v>Média</v>
      </c>
    </row>
    <row r="62" spans="1:28" x14ac:dyDescent="0.25">
      <c r="A62" t="s">
        <v>362</v>
      </c>
      <c r="B62" t="s">
        <v>363</v>
      </c>
      <c r="C62" t="s">
        <v>87</v>
      </c>
      <c r="D62" t="s">
        <v>59</v>
      </c>
      <c r="E62" t="s">
        <v>96</v>
      </c>
      <c r="F62">
        <v>28</v>
      </c>
      <c r="G62">
        <v>63</v>
      </c>
      <c r="H62">
        <v>8</v>
      </c>
      <c r="I62" t="s">
        <v>65</v>
      </c>
      <c r="J62" t="s">
        <v>98</v>
      </c>
      <c r="K62" t="s">
        <v>98</v>
      </c>
      <c r="L62" t="s">
        <v>289</v>
      </c>
      <c r="M62">
        <v>1</v>
      </c>
      <c r="N62" t="str">
        <f t="shared" si="0"/>
        <v>3. 16+ anos</v>
      </c>
      <c r="O62" t="str">
        <f t="shared" si="1"/>
        <v>3. 50 a 149</v>
      </c>
      <c r="P62" t="str">
        <f t="shared" si="2"/>
        <v>3. 6 a 15</v>
      </c>
      <c r="Q62">
        <f t="shared" si="3"/>
        <v>0</v>
      </c>
      <c r="R62">
        <f t="shared" si="4"/>
        <v>1</v>
      </c>
      <c r="S62">
        <f t="shared" si="5"/>
        <v>0</v>
      </c>
      <c r="V62" s="18">
        <f t="shared" si="6"/>
        <v>0.43835616438356162</v>
      </c>
      <c r="W62" s="18">
        <f t="shared" si="7"/>
        <v>0.55319148936170215</v>
      </c>
      <c r="X62" s="18">
        <f t="shared" si="8"/>
        <v>0.58992805755395683</v>
      </c>
      <c r="Y62" s="18">
        <f t="shared" si="9"/>
        <v>0.39751552795031053</v>
      </c>
      <c r="Z62" s="18">
        <f t="shared" si="10"/>
        <v>0.56634304207119746</v>
      </c>
      <c r="AA62" s="10">
        <f t="shared" si="11"/>
        <v>0.50906685630000004</v>
      </c>
      <c r="AB62" t="str">
        <f>IF(AA62&gt;=Como_Avaliar!$B$15,"Alta",IF(AA62&gt;=Como_Avaliar!$B$16,"Média","Baixa"))</f>
        <v>Alta</v>
      </c>
    </row>
    <row r="63" spans="1:28" x14ac:dyDescent="0.25">
      <c r="A63" t="s">
        <v>364</v>
      </c>
      <c r="B63" t="s">
        <v>283</v>
      </c>
      <c r="C63" t="s">
        <v>89</v>
      </c>
      <c r="D63" t="s">
        <v>59</v>
      </c>
      <c r="E63" t="s">
        <v>94</v>
      </c>
      <c r="F63">
        <v>14</v>
      </c>
      <c r="G63">
        <v>55</v>
      </c>
      <c r="H63">
        <v>6</v>
      </c>
      <c r="I63" t="s">
        <v>68</v>
      </c>
      <c r="J63" t="s">
        <v>97</v>
      </c>
      <c r="K63" t="s">
        <v>97</v>
      </c>
      <c r="L63" t="s">
        <v>284</v>
      </c>
      <c r="M63">
        <v>1</v>
      </c>
      <c r="N63" t="str">
        <f t="shared" si="0"/>
        <v>2. 8 a 15 anos</v>
      </c>
      <c r="O63" t="str">
        <f t="shared" si="1"/>
        <v>3. 50 a 149</v>
      </c>
      <c r="P63" t="str">
        <f t="shared" si="2"/>
        <v>3. 6 a 15</v>
      </c>
      <c r="Q63">
        <f t="shared" si="3"/>
        <v>0</v>
      </c>
      <c r="R63">
        <f t="shared" si="4"/>
        <v>1</v>
      </c>
      <c r="S63">
        <f t="shared" si="5"/>
        <v>0</v>
      </c>
      <c r="V63" s="18">
        <f t="shared" si="6"/>
        <v>0.43835616438356162</v>
      </c>
      <c r="W63" s="18">
        <f t="shared" si="7"/>
        <v>0.55319148936170215</v>
      </c>
      <c r="X63" s="18">
        <f t="shared" si="8"/>
        <v>0.58992805755395683</v>
      </c>
      <c r="Y63" s="18">
        <f t="shared" si="9"/>
        <v>0.58333333333333337</v>
      </c>
      <c r="Z63" s="18">
        <f t="shared" si="10"/>
        <v>0.22302158273381295</v>
      </c>
      <c r="AA63" s="10">
        <f t="shared" si="11"/>
        <v>0.47756612549999999</v>
      </c>
      <c r="AB63" t="str">
        <f>IF(AA63&gt;=Como_Avaliar!$B$15,"Alta",IF(AA63&gt;=Como_Avaliar!$B$16,"Média","Baixa"))</f>
        <v>Média</v>
      </c>
    </row>
    <row r="64" spans="1:28" x14ac:dyDescent="0.25">
      <c r="A64" t="s">
        <v>365</v>
      </c>
      <c r="B64" t="s">
        <v>312</v>
      </c>
      <c r="C64" t="s">
        <v>89</v>
      </c>
      <c r="D64" t="s">
        <v>59</v>
      </c>
      <c r="E64" t="s">
        <v>93</v>
      </c>
      <c r="F64">
        <v>18</v>
      </c>
      <c r="G64">
        <v>37</v>
      </c>
      <c r="H64">
        <v>8</v>
      </c>
      <c r="I64" t="s">
        <v>68</v>
      </c>
      <c r="J64" t="s">
        <v>97</v>
      </c>
      <c r="K64" t="s">
        <v>97</v>
      </c>
      <c r="L64" t="s">
        <v>322</v>
      </c>
      <c r="M64">
        <v>1</v>
      </c>
      <c r="N64" t="str">
        <f t="shared" si="0"/>
        <v>3. 16+ anos</v>
      </c>
      <c r="O64" t="str">
        <f t="shared" si="1"/>
        <v>2. 20 a 49</v>
      </c>
      <c r="P64" t="str">
        <f t="shared" si="2"/>
        <v>3. 6 a 15</v>
      </c>
      <c r="Q64">
        <f t="shared" si="3"/>
        <v>0</v>
      </c>
      <c r="R64">
        <f t="shared" si="4"/>
        <v>0</v>
      </c>
      <c r="S64">
        <f t="shared" si="5"/>
        <v>0</v>
      </c>
      <c r="V64" s="18">
        <f t="shared" si="6"/>
        <v>0.43835616438356162</v>
      </c>
      <c r="W64" s="18">
        <f t="shared" si="7"/>
        <v>0.55319148936170215</v>
      </c>
      <c r="X64" s="18">
        <f t="shared" si="8"/>
        <v>0.25294117647058822</v>
      </c>
      <c r="Y64" s="18">
        <f t="shared" si="9"/>
        <v>0.58333333333333337</v>
      </c>
      <c r="Z64" s="18">
        <f t="shared" si="10"/>
        <v>0.56634304207119746</v>
      </c>
      <c r="AA64" s="10">
        <f t="shared" si="11"/>
        <v>0.47883304110000002</v>
      </c>
      <c r="AB64" t="str">
        <f>IF(AA64&gt;=Como_Avaliar!$B$15,"Alta",IF(AA64&gt;=Como_Avaliar!$B$16,"Média","Baixa"))</f>
        <v>Alta</v>
      </c>
    </row>
    <row r="65" spans="1:28" x14ac:dyDescent="0.25">
      <c r="A65" t="s">
        <v>366</v>
      </c>
      <c r="B65" t="s">
        <v>295</v>
      </c>
      <c r="C65" t="s">
        <v>84</v>
      </c>
      <c r="D65" t="s">
        <v>56</v>
      </c>
      <c r="E65" t="s">
        <v>94</v>
      </c>
      <c r="F65">
        <v>26</v>
      </c>
      <c r="G65">
        <v>17</v>
      </c>
      <c r="H65">
        <v>2</v>
      </c>
      <c r="I65" t="s">
        <v>64</v>
      </c>
      <c r="J65" t="s">
        <v>97</v>
      </c>
      <c r="K65" t="s">
        <v>98</v>
      </c>
      <c r="L65" t="s">
        <v>298</v>
      </c>
      <c r="M65">
        <v>0</v>
      </c>
      <c r="N65" t="str">
        <f t="shared" si="0"/>
        <v>3. 16+ anos</v>
      </c>
      <c r="O65" t="str">
        <f t="shared" si="1"/>
        <v>1. &lt; 20</v>
      </c>
      <c r="P65" t="str">
        <f t="shared" si="2"/>
        <v>1. 1 a 2</v>
      </c>
      <c r="Q65">
        <f t="shared" si="3"/>
        <v>1</v>
      </c>
      <c r="R65">
        <f t="shared" si="4"/>
        <v>0</v>
      </c>
      <c r="S65">
        <f t="shared" si="5"/>
        <v>1</v>
      </c>
      <c r="T65">
        <v>2</v>
      </c>
      <c r="U65" t="s">
        <v>139</v>
      </c>
      <c r="V65" s="18">
        <f t="shared" si="6"/>
        <v>6.8273092369477914E-2</v>
      </c>
      <c r="W65" s="18">
        <f t="shared" si="7"/>
        <v>8.6792452830188674E-2</v>
      </c>
      <c r="X65" s="18">
        <f t="shared" si="8"/>
        <v>0.10309278350515463</v>
      </c>
      <c r="Y65" s="18">
        <f t="shared" si="9"/>
        <v>0.15625</v>
      </c>
      <c r="Z65" s="18">
        <f t="shared" si="10"/>
        <v>0.56634304207119746</v>
      </c>
      <c r="AA65" s="10">
        <f t="shared" si="11"/>
        <v>0.1961502742</v>
      </c>
      <c r="AB65" t="str">
        <f>IF(AA65&gt;=Como_Avaliar!$B$15,"Alta",IF(AA65&gt;=Como_Avaliar!$B$16,"Média","Baixa"))</f>
        <v>Baixa</v>
      </c>
    </row>
    <row r="66" spans="1:28" x14ac:dyDescent="0.25">
      <c r="A66" t="s">
        <v>367</v>
      </c>
      <c r="B66" t="s">
        <v>327</v>
      </c>
      <c r="C66" t="s">
        <v>86</v>
      </c>
      <c r="D66" t="s">
        <v>56</v>
      </c>
      <c r="E66" t="s">
        <v>92</v>
      </c>
      <c r="F66">
        <v>9</v>
      </c>
      <c r="G66">
        <v>20</v>
      </c>
      <c r="H66">
        <v>2</v>
      </c>
      <c r="I66" t="s">
        <v>63</v>
      </c>
      <c r="J66" t="s">
        <v>98</v>
      </c>
      <c r="K66" t="s">
        <v>97</v>
      </c>
      <c r="L66" t="s">
        <v>289</v>
      </c>
      <c r="M66">
        <v>0</v>
      </c>
      <c r="N66" t="str">
        <f t="shared" ref="N66:N129" si="12">IF(F66&lt;8,"1. &lt; 8 anos",IF(F66&lt;16,"2. 8 a 15 anos","3. 16+ anos"))</f>
        <v>2. 8 a 15 anos</v>
      </c>
      <c r="O66" t="str">
        <f t="shared" ref="O66:O129" si="13">IF(G66&lt;20,"1. &lt; 20",IF(G66&lt;50,"2. 20 a 49",IF(G66&lt;150,"3. 50 a 149","4. 150+")))</f>
        <v>2. 20 a 49</v>
      </c>
      <c r="P66" t="str">
        <f t="shared" ref="P66:P129" si="14">IF(H66&lt;=2,"1. 1 a 2",IF(H66&lt;=5,"2. 3 a 5",IF(H66&lt;=15,"3. 6 a 15","4. 16+")))</f>
        <v>1. 1 a 2</v>
      </c>
      <c r="Q66">
        <f t="shared" ref="Q66:Q129" si="15">IF(OR(I66="Nenhum",I66="Planilha",I66="ContaAzul"),1,0)</f>
        <v>1</v>
      </c>
      <c r="R66">
        <f t="shared" ref="R66:R129" si="16">IF(AND(G66&gt;=50,H66&gt;=6,Q66=0),1,0)</f>
        <v>0</v>
      </c>
      <c r="S66">
        <f t="shared" ref="S66:S129" si="17">IF(AND(L66&lt;&gt;"Cliente Ativo",M66=0),1,0)</f>
        <v>1</v>
      </c>
      <c r="T66">
        <v>2</v>
      </c>
      <c r="U66" t="s">
        <v>139</v>
      </c>
      <c r="V66" s="18">
        <f t="shared" ref="V66:V129" si="18">AVERAGEIF($D$2:$D$601,D66,$M$2:$M$601)</f>
        <v>6.8273092369477914E-2</v>
      </c>
      <c r="W66" s="18">
        <f t="shared" ref="W66:W129" si="19">AVERAGEIF($P$2:$P$601,P66,$M$2:$M$601)</f>
        <v>8.6792452830188674E-2</v>
      </c>
      <c r="X66" s="18">
        <f t="shared" ref="X66:X129" si="20">AVERAGEIF($O$2:$O$601,O66,$M$2:$M$601)</f>
        <v>0.25294117647058822</v>
      </c>
      <c r="Y66" s="18">
        <f t="shared" ref="Y66:Y129" si="21">AVERAGEIF($I$2:$I$601,I66,$M$2:$M$601)</f>
        <v>6.5217391304347824E-2</v>
      </c>
      <c r="Z66" s="18">
        <f t="shared" ref="Z66:Z129" si="22">AVERAGEIF($N$2:$N$601,N66,$M$2:$M$601)</f>
        <v>0.22302158273381295</v>
      </c>
      <c r="AA66" s="10">
        <f t="shared" ref="AA66:AA129" si="23">ROUND(AVERAGE(V66:Z66),10)</f>
        <v>0.1392491391</v>
      </c>
      <c r="AB66" t="str">
        <f>IF(AA66&gt;=Como_Avaliar!$B$15,"Alta",IF(AA66&gt;=Como_Avaliar!$B$16,"Média","Baixa"))</f>
        <v>Baixa</v>
      </c>
    </row>
    <row r="67" spans="1:28" x14ac:dyDescent="0.25">
      <c r="A67" t="s">
        <v>368</v>
      </c>
      <c r="B67" t="s">
        <v>314</v>
      </c>
      <c r="C67" t="s">
        <v>84</v>
      </c>
      <c r="D67" t="s">
        <v>57</v>
      </c>
      <c r="E67" t="s">
        <v>91</v>
      </c>
      <c r="F67">
        <v>26</v>
      </c>
      <c r="G67">
        <v>550</v>
      </c>
      <c r="H67">
        <v>34</v>
      </c>
      <c r="I67" t="s">
        <v>66</v>
      </c>
      <c r="J67" t="s">
        <v>98</v>
      </c>
      <c r="K67" t="s">
        <v>97</v>
      </c>
      <c r="L67" t="s">
        <v>284</v>
      </c>
      <c r="M67">
        <v>1</v>
      </c>
      <c r="N67" t="str">
        <f t="shared" si="12"/>
        <v>3. 16+ anos</v>
      </c>
      <c r="O67" t="str">
        <f t="shared" si="13"/>
        <v>4. 150+</v>
      </c>
      <c r="P67" t="str">
        <f t="shared" si="14"/>
        <v>4. 16+</v>
      </c>
      <c r="Q67">
        <f t="shared" si="15"/>
        <v>0</v>
      </c>
      <c r="R67">
        <f t="shared" si="16"/>
        <v>1</v>
      </c>
      <c r="S67">
        <f t="shared" si="17"/>
        <v>0</v>
      </c>
      <c r="V67" s="18">
        <f t="shared" si="18"/>
        <v>1</v>
      </c>
      <c r="W67" s="18">
        <f t="shared" si="19"/>
        <v>0.97272727272727277</v>
      </c>
      <c r="X67" s="18">
        <f t="shared" si="20"/>
        <v>0.97938144329896903</v>
      </c>
      <c r="Y67" s="18">
        <f t="shared" si="21"/>
        <v>1</v>
      </c>
      <c r="Z67" s="18">
        <f t="shared" si="22"/>
        <v>0.56634304207119746</v>
      </c>
      <c r="AA67" s="10">
        <f t="shared" si="23"/>
        <v>0.9036903516</v>
      </c>
      <c r="AB67" t="str">
        <f>IF(AA67&gt;=Como_Avaliar!$B$15,"Alta",IF(AA67&gt;=Como_Avaliar!$B$16,"Média","Baixa"))</f>
        <v>Alta</v>
      </c>
    </row>
    <row r="68" spans="1:28" x14ac:dyDescent="0.25">
      <c r="A68" t="s">
        <v>369</v>
      </c>
      <c r="B68" t="s">
        <v>288</v>
      </c>
      <c r="C68" t="s">
        <v>88</v>
      </c>
      <c r="D68" t="s">
        <v>56</v>
      </c>
      <c r="E68" t="s">
        <v>92</v>
      </c>
      <c r="F68">
        <v>21</v>
      </c>
      <c r="G68">
        <v>20</v>
      </c>
      <c r="H68">
        <v>2</v>
      </c>
      <c r="I68" t="s">
        <v>65</v>
      </c>
      <c r="J68" t="s">
        <v>97</v>
      </c>
      <c r="K68" t="s">
        <v>97</v>
      </c>
      <c r="L68" t="s">
        <v>289</v>
      </c>
      <c r="M68">
        <v>0</v>
      </c>
      <c r="N68" t="str">
        <f t="shared" si="12"/>
        <v>3. 16+ anos</v>
      </c>
      <c r="O68" t="str">
        <f t="shared" si="13"/>
        <v>2. 20 a 49</v>
      </c>
      <c r="P68" t="str">
        <f t="shared" si="14"/>
        <v>1. 1 a 2</v>
      </c>
      <c r="Q68">
        <f t="shared" si="15"/>
        <v>0</v>
      </c>
      <c r="R68">
        <f t="shared" si="16"/>
        <v>0</v>
      </c>
      <c r="S68">
        <f t="shared" si="17"/>
        <v>1</v>
      </c>
      <c r="T68">
        <v>2</v>
      </c>
      <c r="U68" t="s">
        <v>139</v>
      </c>
      <c r="V68" s="18">
        <f t="shared" si="18"/>
        <v>6.8273092369477914E-2</v>
      </c>
      <c r="W68" s="18">
        <f t="shared" si="19"/>
        <v>8.6792452830188674E-2</v>
      </c>
      <c r="X68" s="18">
        <f t="shared" si="20"/>
        <v>0.25294117647058822</v>
      </c>
      <c r="Y68" s="18">
        <f t="shared" si="21"/>
        <v>0.39751552795031053</v>
      </c>
      <c r="Z68" s="18">
        <f t="shared" si="22"/>
        <v>0.56634304207119746</v>
      </c>
      <c r="AA68" s="10">
        <f t="shared" si="23"/>
        <v>0.27437305829999997</v>
      </c>
      <c r="AB68" t="str">
        <f>IF(AA68&gt;=Como_Avaliar!$B$15,"Alta",IF(AA68&gt;=Como_Avaliar!$B$16,"Média","Baixa"))</f>
        <v>Média</v>
      </c>
    </row>
    <row r="69" spans="1:28" x14ac:dyDescent="0.25">
      <c r="A69" t="s">
        <v>370</v>
      </c>
      <c r="B69" t="s">
        <v>286</v>
      </c>
      <c r="C69" t="s">
        <v>88</v>
      </c>
      <c r="D69" t="s">
        <v>56</v>
      </c>
      <c r="E69" t="s">
        <v>91</v>
      </c>
      <c r="F69">
        <v>2</v>
      </c>
      <c r="G69">
        <v>14</v>
      </c>
      <c r="H69">
        <v>2</v>
      </c>
      <c r="I69" t="s">
        <v>62</v>
      </c>
      <c r="J69" t="s">
        <v>98</v>
      </c>
      <c r="K69" t="s">
        <v>98</v>
      </c>
      <c r="L69" t="s">
        <v>284</v>
      </c>
      <c r="M69">
        <v>0</v>
      </c>
      <c r="N69" t="str">
        <f t="shared" si="12"/>
        <v>1. &lt; 8 anos</v>
      </c>
      <c r="O69" t="str">
        <f t="shared" si="13"/>
        <v>1. &lt; 20</v>
      </c>
      <c r="P69" t="str">
        <f t="shared" si="14"/>
        <v>1. 1 a 2</v>
      </c>
      <c r="Q69">
        <f t="shared" si="15"/>
        <v>0</v>
      </c>
      <c r="R69">
        <f t="shared" si="16"/>
        <v>0</v>
      </c>
      <c r="S69">
        <f t="shared" si="17"/>
        <v>1</v>
      </c>
      <c r="T69">
        <v>2</v>
      </c>
      <c r="U69" t="s">
        <v>139</v>
      </c>
      <c r="V69" s="18">
        <f t="shared" si="18"/>
        <v>6.8273092369477914E-2</v>
      </c>
      <c r="W69" s="18">
        <f t="shared" si="19"/>
        <v>8.6792452830188674E-2</v>
      </c>
      <c r="X69" s="18">
        <f t="shared" si="20"/>
        <v>0.10309278350515463</v>
      </c>
      <c r="Y69" s="18">
        <f t="shared" si="21"/>
        <v>0.37662337662337664</v>
      </c>
      <c r="Z69" s="18">
        <f t="shared" si="22"/>
        <v>0.22368421052631579</v>
      </c>
      <c r="AA69" s="10">
        <f t="shared" si="23"/>
        <v>0.17169318319999999</v>
      </c>
      <c r="AB69" t="str">
        <f>IF(AA69&gt;=Como_Avaliar!$B$15,"Alta",IF(AA69&gt;=Como_Avaliar!$B$16,"Média","Baixa"))</f>
        <v>Baixa</v>
      </c>
    </row>
    <row r="70" spans="1:28" x14ac:dyDescent="0.25">
      <c r="A70" t="s">
        <v>371</v>
      </c>
      <c r="B70" t="s">
        <v>288</v>
      </c>
      <c r="C70" t="s">
        <v>88</v>
      </c>
      <c r="D70" t="s">
        <v>57</v>
      </c>
      <c r="E70" t="s">
        <v>93</v>
      </c>
      <c r="F70">
        <v>20</v>
      </c>
      <c r="G70">
        <v>470</v>
      </c>
      <c r="H70">
        <v>56</v>
      </c>
      <c r="I70" t="s">
        <v>60</v>
      </c>
      <c r="J70" t="s">
        <v>97</v>
      </c>
      <c r="K70" t="s">
        <v>98</v>
      </c>
      <c r="L70" t="s">
        <v>329</v>
      </c>
      <c r="M70">
        <v>1</v>
      </c>
      <c r="N70" t="str">
        <f t="shared" si="12"/>
        <v>3. 16+ anos</v>
      </c>
      <c r="O70" t="str">
        <f t="shared" si="13"/>
        <v>4. 150+</v>
      </c>
      <c r="P70" t="str">
        <f t="shared" si="14"/>
        <v>4. 16+</v>
      </c>
      <c r="Q70">
        <f t="shared" si="15"/>
        <v>0</v>
      </c>
      <c r="R70">
        <f t="shared" si="16"/>
        <v>1</v>
      </c>
      <c r="S70">
        <f t="shared" si="17"/>
        <v>0</v>
      </c>
      <c r="V70" s="18">
        <f t="shared" si="18"/>
        <v>1</v>
      </c>
      <c r="W70" s="18">
        <f t="shared" si="19"/>
        <v>0.97272727272727277</v>
      </c>
      <c r="X70" s="18">
        <f t="shared" si="20"/>
        <v>0.97938144329896903</v>
      </c>
      <c r="Y70" s="18">
        <f t="shared" si="21"/>
        <v>0.65217391304347827</v>
      </c>
      <c r="Z70" s="18">
        <f t="shared" si="22"/>
        <v>0.56634304207119746</v>
      </c>
      <c r="AA70" s="10">
        <f t="shared" si="23"/>
        <v>0.83412513420000001</v>
      </c>
      <c r="AB70" t="str">
        <f>IF(AA70&gt;=Como_Avaliar!$B$15,"Alta",IF(AA70&gt;=Como_Avaliar!$B$16,"Média","Baixa"))</f>
        <v>Alta</v>
      </c>
    </row>
    <row r="71" spans="1:28" x14ac:dyDescent="0.25">
      <c r="A71" t="s">
        <v>372</v>
      </c>
      <c r="B71" t="s">
        <v>288</v>
      </c>
      <c r="C71" t="s">
        <v>88</v>
      </c>
      <c r="D71" t="s">
        <v>58</v>
      </c>
      <c r="E71" t="s">
        <v>96</v>
      </c>
      <c r="F71">
        <v>28</v>
      </c>
      <c r="G71">
        <v>216</v>
      </c>
      <c r="H71">
        <v>28</v>
      </c>
      <c r="I71" t="s">
        <v>65</v>
      </c>
      <c r="J71" t="s">
        <v>97</v>
      </c>
      <c r="K71" t="s">
        <v>97</v>
      </c>
      <c r="L71" t="s">
        <v>284</v>
      </c>
      <c r="M71">
        <v>1</v>
      </c>
      <c r="N71" t="str">
        <f t="shared" si="12"/>
        <v>3. 16+ anos</v>
      </c>
      <c r="O71" t="str">
        <f t="shared" si="13"/>
        <v>4. 150+</v>
      </c>
      <c r="P71" t="str">
        <f t="shared" si="14"/>
        <v>4. 16+</v>
      </c>
      <c r="Q71">
        <f t="shared" si="15"/>
        <v>0</v>
      </c>
      <c r="R71">
        <f t="shared" si="16"/>
        <v>1</v>
      </c>
      <c r="S71">
        <f t="shared" si="17"/>
        <v>0</v>
      </c>
      <c r="V71" s="18">
        <f t="shared" si="18"/>
        <v>0.93975903614457834</v>
      </c>
      <c r="W71" s="18">
        <f t="shared" si="19"/>
        <v>0.97272727272727277</v>
      </c>
      <c r="X71" s="18">
        <f t="shared" si="20"/>
        <v>0.97938144329896903</v>
      </c>
      <c r="Y71" s="18">
        <f t="shared" si="21"/>
        <v>0.39751552795031053</v>
      </c>
      <c r="Z71" s="18">
        <f t="shared" si="22"/>
        <v>0.56634304207119746</v>
      </c>
      <c r="AA71" s="10">
        <f t="shared" si="23"/>
        <v>0.77114526439999997</v>
      </c>
      <c r="AB71" t="str">
        <f>IF(AA71&gt;=Como_Avaliar!$B$15,"Alta",IF(AA71&gt;=Como_Avaliar!$B$16,"Média","Baixa"))</f>
        <v>Alta</v>
      </c>
    </row>
    <row r="72" spans="1:28" x14ac:dyDescent="0.25">
      <c r="A72" t="s">
        <v>373</v>
      </c>
      <c r="B72" t="s">
        <v>286</v>
      </c>
      <c r="C72" t="s">
        <v>88</v>
      </c>
      <c r="D72" t="s">
        <v>58</v>
      </c>
      <c r="E72" t="s">
        <v>93</v>
      </c>
      <c r="F72">
        <v>15</v>
      </c>
      <c r="G72">
        <v>183</v>
      </c>
      <c r="H72">
        <v>23</v>
      </c>
      <c r="I72" t="s">
        <v>60</v>
      </c>
      <c r="J72" t="s">
        <v>97</v>
      </c>
      <c r="K72" t="s">
        <v>97</v>
      </c>
      <c r="L72" t="s">
        <v>298</v>
      </c>
      <c r="M72">
        <v>1</v>
      </c>
      <c r="N72" t="str">
        <f t="shared" si="12"/>
        <v>2. 8 a 15 anos</v>
      </c>
      <c r="O72" t="str">
        <f t="shared" si="13"/>
        <v>4. 150+</v>
      </c>
      <c r="P72" t="str">
        <f t="shared" si="14"/>
        <v>4. 16+</v>
      </c>
      <c r="Q72">
        <f t="shared" si="15"/>
        <v>0</v>
      </c>
      <c r="R72">
        <f t="shared" si="16"/>
        <v>1</v>
      </c>
      <c r="S72">
        <f t="shared" si="17"/>
        <v>0</v>
      </c>
      <c r="V72" s="18">
        <f t="shared" si="18"/>
        <v>0.93975903614457834</v>
      </c>
      <c r="W72" s="18">
        <f t="shared" si="19"/>
        <v>0.97272727272727277</v>
      </c>
      <c r="X72" s="18">
        <f t="shared" si="20"/>
        <v>0.97938144329896903</v>
      </c>
      <c r="Y72" s="18">
        <f t="shared" si="21"/>
        <v>0.65217391304347827</v>
      </c>
      <c r="Z72" s="18">
        <f t="shared" si="22"/>
        <v>0.22302158273381295</v>
      </c>
      <c r="AA72" s="10">
        <f t="shared" si="23"/>
        <v>0.75341264959999998</v>
      </c>
      <c r="AB72" t="str">
        <f>IF(AA72&gt;=Como_Avaliar!$B$15,"Alta",IF(AA72&gt;=Como_Avaliar!$B$16,"Média","Baixa"))</f>
        <v>Alta</v>
      </c>
    </row>
    <row r="73" spans="1:28" x14ac:dyDescent="0.25">
      <c r="A73" t="s">
        <v>374</v>
      </c>
      <c r="B73" t="s">
        <v>321</v>
      </c>
      <c r="C73" t="s">
        <v>86</v>
      </c>
      <c r="D73" t="s">
        <v>56</v>
      </c>
      <c r="E73" t="s">
        <v>90</v>
      </c>
      <c r="F73">
        <v>28</v>
      </c>
      <c r="G73">
        <v>9</v>
      </c>
      <c r="H73">
        <v>1</v>
      </c>
      <c r="I73" t="s">
        <v>64</v>
      </c>
      <c r="J73" t="s">
        <v>97</v>
      </c>
      <c r="K73" t="s">
        <v>98</v>
      </c>
      <c r="L73" t="s">
        <v>284</v>
      </c>
      <c r="M73">
        <v>0</v>
      </c>
      <c r="N73" t="str">
        <f t="shared" si="12"/>
        <v>3. 16+ anos</v>
      </c>
      <c r="O73" t="str">
        <f t="shared" si="13"/>
        <v>1. &lt; 20</v>
      </c>
      <c r="P73" t="str">
        <f t="shared" si="14"/>
        <v>1. 1 a 2</v>
      </c>
      <c r="Q73">
        <f t="shared" si="15"/>
        <v>1</v>
      </c>
      <c r="R73">
        <f t="shared" si="16"/>
        <v>0</v>
      </c>
      <c r="S73">
        <f t="shared" si="17"/>
        <v>1</v>
      </c>
      <c r="T73">
        <v>1</v>
      </c>
      <c r="U73" t="s">
        <v>139</v>
      </c>
      <c r="V73" s="18">
        <f t="shared" si="18"/>
        <v>6.8273092369477914E-2</v>
      </c>
      <c r="W73" s="18">
        <f t="shared" si="19"/>
        <v>8.6792452830188674E-2</v>
      </c>
      <c r="X73" s="18">
        <f t="shared" si="20"/>
        <v>0.10309278350515463</v>
      </c>
      <c r="Y73" s="18">
        <f t="shared" si="21"/>
        <v>0.15625</v>
      </c>
      <c r="Z73" s="18">
        <f t="shared" si="22"/>
        <v>0.56634304207119746</v>
      </c>
      <c r="AA73" s="10">
        <f t="shared" si="23"/>
        <v>0.1961502742</v>
      </c>
      <c r="AB73" t="str">
        <f>IF(AA73&gt;=Como_Avaliar!$B$15,"Alta",IF(AA73&gt;=Como_Avaliar!$B$16,"Média","Baixa"))</f>
        <v>Baixa</v>
      </c>
    </row>
    <row r="74" spans="1:28" x14ac:dyDescent="0.25">
      <c r="A74" t="s">
        <v>375</v>
      </c>
      <c r="B74" t="s">
        <v>297</v>
      </c>
      <c r="C74" t="s">
        <v>86</v>
      </c>
      <c r="D74" t="s">
        <v>56</v>
      </c>
      <c r="E74" t="s">
        <v>94</v>
      </c>
      <c r="F74">
        <v>7</v>
      </c>
      <c r="G74">
        <v>10</v>
      </c>
      <c r="H74">
        <v>2</v>
      </c>
      <c r="I74" t="s">
        <v>62</v>
      </c>
      <c r="J74" t="s">
        <v>97</v>
      </c>
      <c r="K74" t="s">
        <v>98</v>
      </c>
      <c r="L74" t="s">
        <v>289</v>
      </c>
      <c r="M74">
        <v>0</v>
      </c>
      <c r="N74" t="str">
        <f t="shared" si="12"/>
        <v>1. &lt; 8 anos</v>
      </c>
      <c r="O74" t="str">
        <f t="shared" si="13"/>
        <v>1. &lt; 20</v>
      </c>
      <c r="P74" t="str">
        <f t="shared" si="14"/>
        <v>1. 1 a 2</v>
      </c>
      <c r="Q74">
        <f t="shared" si="15"/>
        <v>0</v>
      </c>
      <c r="R74">
        <f t="shared" si="16"/>
        <v>0</v>
      </c>
      <c r="S74">
        <f t="shared" si="17"/>
        <v>1</v>
      </c>
      <c r="T74">
        <v>1</v>
      </c>
      <c r="U74" t="s">
        <v>139</v>
      </c>
      <c r="V74" s="18">
        <f t="shared" si="18"/>
        <v>6.8273092369477914E-2</v>
      </c>
      <c r="W74" s="18">
        <f t="shared" si="19"/>
        <v>8.6792452830188674E-2</v>
      </c>
      <c r="X74" s="18">
        <f t="shared" si="20"/>
        <v>0.10309278350515463</v>
      </c>
      <c r="Y74" s="18">
        <f t="shared" si="21"/>
        <v>0.37662337662337664</v>
      </c>
      <c r="Z74" s="18">
        <f t="shared" si="22"/>
        <v>0.22368421052631579</v>
      </c>
      <c r="AA74" s="10">
        <f t="shared" si="23"/>
        <v>0.17169318319999999</v>
      </c>
      <c r="AB74" t="str">
        <f>IF(AA74&gt;=Como_Avaliar!$B$15,"Alta",IF(AA74&gt;=Como_Avaliar!$B$16,"Média","Baixa"))</f>
        <v>Baixa</v>
      </c>
    </row>
    <row r="75" spans="1:28" x14ac:dyDescent="0.25">
      <c r="A75" t="s">
        <v>376</v>
      </c>
      <c r="B75" t="s">
        <v>288</v>
      </c>
      <c r="C75" t="s">
        <v>88</v>
      </c>
      <c r="D75" t="s">
        <v>59</v>
      </c>
      <c r="E75" t="s">
        <v>90</v>
      </c>
      <c r="F75">
        <v>12</v>
      </c>
      <c r="G75">
        <v>50</v>
      </c>
      <c r="H75">
        <v>3</v>
      </c>
      <c r="I75" t="s">
        <v>68</v>
      </c>
      <c r="J75" t="s">
        <v>97</v>
      </c>
      <c r="K75" t="s">
        <v>97</v>
      </c>
      <c r="L75" t="s">
        <v>298</v>
      </c>
      <c r="M75">
        <v>0</v>
      </c>
      <c r="N75" t="str">
        <f t="shared" si="12"/>
        <v>2. 8 a 15 anos</v>
      </c>
      <c r="O75" t="str">
        <f t="shared" si="13"/>
        <v>3. 50 a 149</v>
      </c>
      <c r="P75" t="str">
        <f t="shared" si="14"/>
        <v>2. 3 a 5</v>
      </c>
      <c r="Q75">
        <f t="shared" si="15"/>
        <v>0</v>
      </c>
      <c r="R75">
        <f t="shared" si="16"/>
        <v>0</v>
      </c>
      <c r="S75">
        <f t="shared" si="17"/>
        <v>1</v>
      </c>
      <c r="T75">
        <v>5</v>
      </c>
      <c r="U75" t="s">
        <v>137</v>
      </c>
      <c r="V75" s="18">
        <f t="shared" si="18"/>
        <v>0.43835616438356162</v>
      </c>
      <c r="W75" s="18">
        <f t="shared" si="19"/>
        <v>0.38095238095238093</v>
      </c>
      <c r="X75" s="18">
        <f t="shared" si="20"/>
        <v>0.58992805755395683</v>
      </c>
      <c r="Y75" s="18">
        <f t="shared" si="21"/>
        <v>0.58333333333333337</v>
      </c>
      <c r="Z75" s="18">
        <f t="shared" si="22"/>
        <v>0.22302158273381295</v>
      </c>
      <c r="AA75" s="10">
        <f t="shared" si="23"/>
        <v>0.4431183038</v>
      </c>
      <c r="AB75" t="str">
        <f>IF(AA75&gt;=Como_Avaliar!$B$15,"Alta",IF(AA75&gt;=Como_Avaliar!$B$16,"Média","Baixa"))</f>
        <v>Média</v>
      </c>
    </row>
    <row r="76" spans="1:28" x14ac:dyDescent="0.25">
      <c r="A76" t="s">
        <v>377</v>
      </c>
      <c r="B76" t="s">
        <v>283</v>
      </c>
      <c r="C76" t="s">
        <v>89</v>
      </c>
      <c r="D76" t="s">
        <v>59</v>
      </c>
      <c r="E76" t="s">
        <v>94</v>
      </c>
      <c r="F76">
        <v>29</v>
      </c>
      <c r="G76">
        <v>53</v>
      </c>
      <c r="H76">
        <v>4</v>
      </c>
      <c r="I76" t="s">
        <v>65</v>
      </c>
      <c r="J76" t="s">
        <v>98</v>
      </c>
      <c r="K76" t="s">
        <v>98</v>
      </c>
      <c r="L76" t="s">
        <v>298</v>
      </c>
      <c r="M76">
        <v>1</v>
      </c>
      <c r="N76" t="str">
        <f t="shared" si="12"/>
        <v>3. 16+ anos</v>
      </c>
      <c r="O76" t="str">
        <f t="shared" si="13"/>
        <v>3. 50 a 149</v>
      </c>
      <c r="P76" t="str">
        <f t="shared" si="14"/>
        <v>2. 3 a 5</v>
      </c>
      <c r="Q76">
        <f t="shared" si="15"/>
        <v>0</v>
      </c>
      <c r="R76">
        <f t="shared" si="16"/>
        <v>0</v>
      </c>
      <c r="S76">
        <f t="shared" si="17"/>
        <v>0</v>
      </c>
      <c r="V76" s="18">
        <f t="shared" si="18"/>
        <v>0.43835616438356162</v>
      </c>
      <c r="W76" s="18">
        <f t="shared" si="19"/>
        <v>0.38095238095238093</v>
      </c>
      <c r="X76" s="18">
        <f t="shared" si="20"/>
        <v>0.58992805755395683</v>
      </c>
      <c r="Y76" s="18">
        <f t="shared" si="21"/>
        <v>0.39751552795031053</v>
      </c>
      <c r="Z76" s="18">
        <f t="shared" si="22"/>
        <v>0.56634304207119746</v>
      </c>
      <c r="AA76" s="10">
        <f t="shared" si="23"/>
        <v>0.47461903459999999</v>
      </c>
      <c r="AB76" t="str">
        <f>IF(AA76&gt;=Como_Avaliar!$B$15,"Alta",IF(AA76&gt;=Como_Avaliar!$B$16,"Média","Baixa"))</f>
        <v>Média</v>
      </c>
    </row>
    <row r="77" spans="1:28" x14ac:dyDescent="0.25">
      <c r="A77" t="s">
        <v>378</v>
      </c>
      <c r="B77" t="s">
        <v>301</v>
      </c>
      <c r="C77" t="s">
        <v>88</v>
      </c>
      <c r="D77" t="s">
        <v>56</v>
      </c>
      <c r="E77" t="s">
        <v>94</v>
      </c>
      <c r="F77">
        <v>8</v>
      </c>
      <c r="G77">
        <v>10</v>
      </c>
      <c r="H77">
        <v>2</v>
      </c>
      <c r="I77" t="s">
        <v>64</v>
      </c>
      <c r="J77" t="s">
        <v>97</v>
      </c>
      <c r="K77" t="s">
        <v>97</v>
      </c>
      <c r="L77" t="s">
        <v>329</v>
      </c>
      <c r="M77">
        <v>0</v>
      </c>
      <c r="N77" t="str">
        <f t="shared" si="12"/>
        <v>2. 8 a 15 anos</v>
      </c>
      <c r="O77" t="str">
        <f t="shared" si="13"/>
        <v>1. &lt; 20</v>
      </c>
      <c r="P77" t="str">
        <f t="shared" si="14"/>
        <v>1. 1 a 2</v>
      </c>
      <c r="Q77">
        <f t="shared" si="15"/>
        <v>1</v>
      </c>
      <c r="R77">
        <f t="shared" si="16"/>
        <v>0</v>
      </c>
      <c r="S77">
        <f t="shared" si="17"/>
        <v>1</v>
      </c>
      <c r="T77">
        <v>1</v>
      </c>
      <c r="U77" t="s">
        <v>139</v>
      </c>
      <c r="V77" s="18">
        <f t="shared" si="18"/>
        <v>6.8273092369477914E-2</v>
      </c>
      <c r="W77" s="18">
        <f t="shared" si="19"/>
        <v>8.6792452830188674E-2</v>
      </c>
      <c r="X77" s="18">
        <f t="shared" si="20"/>
        <v>0.10309278350515463</v>
      </c>
      <c r="Y77" s="18">
        <f t="shared" si="21"/>
        <v>0.15625</v>
      </c>
      <c r="Z77" s="18">
        <f t="shared" si="22"/>
        <v>0.22302158273381295</v>
      </c>
      <c r="AA77" s="10">
        <f t="shared" si="23"/>
        <v>0.12748598229999999</v>
      </c>
      <c r="AB77" t="str">
        <f>IF(AA77&gt;=Como_Avaliar!$B$15,"Alta",IF(AA77&gt;=Como_Avaliar!$B$16,"Média","Baixa"))</f>
        <v>Baixa</v>
      </c>
    </row>
    <row r="78" spans="1:28" x14ac:dyDescent="0.25">
      <c r="A78" t="s">
        <v>379</v>
      </c>
      <c r="B78" t="s">
        <v>355</v>
      </c>
      <c r="C78" t="s">
        <v>86</v>
      </c>
      <c r="D78" t="s">
        <v>59</v>
      </c>
      <c r="E78" t="s">
        <v>94</v>
      </c>
      <c r="F78">
        <v>15</v>
      </c>
      <c r="G78">
        <v>53</v>
      </c>
      <c r="H78">
        <v>2</v>
      </c>
      <c r="I78" t="s">
        <v>60</v>
      </c>
      <c r="J78" t="s">
        <v>97</v>
      </c>
      <c r="K78" t="s">
        <v>98</v>
      </c>
      <c r="L78" t="s">
        <v>289</v>
      </c>
      <c r="M78">
        <v>0</v>
      </c>
      <c r="N78" t="str">
        <f t="shared" si="12"/>
        <v>2. 8 a 15 anos</v>
      </c>
      <c r="O78" t="str">
        <f t="shared" si="13"/>
        <v>3. 50 a 149</v>
      </c>
      <c r="P78" t="str">
        <f t="shared" si="14"/>
        <v>1. 1 a 2</v>
      </c>
      <c r="Q78">
        <f t="shared" si="15"/>
        <v>0</v>
      </c>
      <c r="R78">
        <f t="shared" si="16"/>
        <v>0</v>
      </c>
      <c r="S78">
        <f t="shared" si="17"/>
        <v>1</v>
      </c>
      <c r="T78">
        <v>3</v>
      </c>
      <c r="U78" t="s">
        <v>138</v>
      </c>
      <c r="V78" s="18">
        <f t="shared" si="18"/>
        <v>0.43835616438356162</v>
      </c>
      <c r="W78" s="18">
        <f t="shared" si="19"/>
        <v>8.6792452830188674E-2</v>
      </c>
      <c r="X78" s="18">
        <f t="shared" si="20"/>
        <v>0.58992805755395683</v>
      </c>
      <c r="Y78" s="18">
        <f t="shared" si="21"/>
        <v>0.65217391304347827</v>
      </c>
      <c r="Z78" s="18">
        <f t="shared" si="22"/>
        <v>0.22302158273381295</v>
      </c>
      <c r="AA78" s="10">
        <f t="shared" si="23"/>
        <v>0.39805443410000002</v>
      </c>
      <c r="AB78" t="str">
        <f>IF(AA78&gt;=Como_Avaliar!$B$15,"Alta",IF(AA78&gt;=Como_Avaliar!$B$16,"Média","Baixa"))</f>
        <v>Média</v>
      </c>
    </row>
    <row r="79" spans="1:28" x14ac:dyDescent="0.25">
      <c r="A79" t="s">
        <v>380</v>
      </c>
      <c r="B79" t="s">
        <v>381</v>
      </c>
      <c r="C79" t="s">
        <v>88</v>
      </c>
      <c r="D79" t="s">
        <v>56</v>
      </c>
      <c r="E79" t="s">
        <v>95</v>
      </c>
      <c r="F79">
        <v>3</v>
      </c>
      <c r="G79">
        <v>12</v>
      </c>
      <c r="H79">
        <v>2</v>
      </c>
      <c r="I79" t="s">
        <v>63</v>
      </c>
      <c r="J79" t="s">
        <v>97</v>
      </c>
      <c r="K79" t="s">
        <v>97</v>
      </c>
      <c r="L79" t="s">
        <v>284</v>
      </c>
      <c r="M79">
        <v>0</v>
      </c>
      <c r="N79" t="str">
        <f t="shared" si="12"/>
        <v>1. &lt; 8 anos</v>
      </c>
      <c r="O79" t="str">
        <f t="shared" si="13"/>
        <v>1. &lt; 20</v>
      </c>
      <c r="P79" t="str">
        <f t="shared" si="14"/>
        <v>1. 1 a 2</v>
      </c>
      <c r="Q79">
        <f t="shared" si="15"/>
        <v>1</v>
      </c>
      <c r="R79">
        <f t="shared" si="16"/>
        <v>0</v>
      </c>
      <c r="S79">
        <f t="shared" si="17"/>
        <v>1</v>
      </c>
      <c r="T79">
        <v>1</v>
      </c>
      <c r="U79" t="s">
        <v>139</v>
      </c>
      <c r="V79" s="18">
        <f t="shared" si="18"/>
        <v>6.8273092369477914E-2</v>
      </c>
      <c r="W79" s="18">
        <f t="shared" si="19"/>
        <v>8.6792452830188674E-2</v>
      </c>
      <c r="X79" s="18">
        <f t="shared" si="20"/>
        <v>0.10309278350515463</v>
      </c>
      <c r="Y79" s="18">
        <f t="shared" si="21"/>
        <v>6.5217391304347824E-2</v>
      </c>
      <c r="Z79" s="18">
        <f t="shared" si="22"/>
        <v>0.22368421052631579</v>
      </c>
      <c r="AA79" s="10">
        <f t="shared" si="23"/>
        <v>0.1094119861</v>
      </c>
      <c r="AB79" t="str">
        <f>IF(AA79&gt;=Como_Avaliar!$B$15,"Alta",IF(AA79&gt;=Como_Avaliar!$B$16,"Média","Baixa"))</f>
        <v>Baixa</v>
      </c>
    </row>
    <row r="80" spans="1:28" x14ac:dyDescent="0.25">
      <c r="A80" t="s">
        <v>382</v>
      </c>
      <c r="B80" t="s">
        <v>288</v>
      </c>
      <c r="C80" t="s">
        <v>88</v>
      </c>
      <c r="D80" t="s">
        <v>59</v>
      </c>
      <c r="E80" t="s">
        <v>91</v>
      </c>
      <c r="F80">
        <v>14</v>
      </c>
      <c r="G80">
        <v>41</v>
      </c>
      <c r="H80">
        <v>7</v>
      </c>
      <c r="I80" t="s">
        <v>68</v>
      </c>
      <c r="J80" t="s">
        <v>97</v>
      </c>
      <c r="K80" t="s">
        <v>97</v>
      </c>
      <c r="L80" t="s">
        <v>322</v>
      </c>
      <c r="M80">
        <v>0</v>
      </c>
      <c r="N80" t="str">
        <f t="shared" si="12"/>
        <v>2. 8 a 15 anos</v>
      </c>
      <c r="O80" t="str">
        <f t="shared" si="13"/>
        <v>2. 20 a 49</v>
      </c>
      <c r="P80" t="str">
        <f t="shared" si="14"/>
        <v>3. 6 a 15</v>
      </c>
      <c r="Q80">
        <f t="shared" si="15"/>
        <v>0</v>
      </c>
      <c r="R80">
        <f t="shared" si="16"/>
        <v>0</v>
      </c>
      <c r="S80">
        <f t="shared" si="17"/>
        <v>0</v>
      </c>
      <c r="V80" s="18">
        <f t="shared" si="18"/>
        <v>0.43835616438356162</v>
      </c>
      <c r="W80" s="18">
        <f t="shared" si="19"/>
        <v>0.55319148936170215</v>
      </c>
      <c r="X80" s="18">
        <f t="shared" si="20"/>
        <v>0.25294117647058822</v>
      </c>
      <c r="Y80" s="18">
        <f t="shared" si="21"/>
        <v>0.58333333333333337</v>
      </c>
      <c r="Z80" s="18">
        <f t="shared" si="22"/>
        <v>0.22302158273381295</v>
      </c>
      <c r="AA80" s="10">
        <f t="shared" si="23"/>
        <v>0.41016874930000002</v>
      </c>
      <c r="AB80" t="str">
        <f>IF(AA80&gt;=Como_Avaliar!$B$15,"Alta",IF(AA80&gt;=Como_Avaliar!$B$16,"Média","Baixa"))</f>
        <v>Média</v>
      </c>
    </row>
    <row r="81" spans="1:28" x14ac:dyDescent="0.25">
      <c r="A81" t="s">
        <v>383</v>
      </c>
      <c r="B81" t="s">
        <v>288</v>
      </c>
      <c r="C81" t="s">
        <v>88</v>
      </c>
      <c r="D81" t="s">
        <v>59</v>
      </c>
      <c r="E81" t="s">
        <v>95</v>
      </c>
      <c r="F81">
        <v>17</v>
      </c>
      <c r="G81">
        <v>77</v>
      </c>
      <c r="H81">
        <v>8</v>
      </c>
      <c r="I81" t="s">
        <v>65</v>
      </c>
      <c r="J81" t="s">
        <v>98</v>
      </c>
      <c r="K81" t="s">
        <v>97</v>
      </c>
      <c r="L81" t="s">
        <v>284</v>
      </c>
      <c r="M81">
        <v>1</v>
      </c>
      <c r="N81" t="str">
        <f t="shared" si="12"/>
        <v>3. 16+ anos</v>
      </c>
      <c r="O81" t="str">
        <f t="shared" si="13"/>
        <v>3. 50 a 149</v>
      </c>
      <c r="P81" t="str">
        <f t="shared" si="14"/>
        <v>3. 6 a 15</v>
      </c>
      <c r="Q81">
        <f t="shared" si="15"/>
        <v>0</v>
      </c>
      <c r="R81">
        <f t="shared" si="16"/>
        <v>1</v>
      </c>
      <c r="S81">
        <f t="shared" si="17"/>
        <v>0</v>
      </c>
      <c r="V81" s="18">
        <f t="shared" si="18"/>
        <v>0.43835616438356162</v>
      </c>
      <c r="W81" s="18">
        <f t="shared" si="19"/>
        <v>0.55319148936170215</v>
      </c>
      <c r="X81" s="18">
        <f t="shared" si="20"/>
        <v>0.58992805755395683</v>
      </c>
      <c r="Y81" s="18">
        <f t="shared" si="21"/>
        <v>0.39751552795031053</v>
      </c>
      <c r="Z81" s="18">
        <f t="shared" si="22"/>
        <v>0.56634304207119746</v>
      </c>
      <c r="AA81" s="10">
        <f t="shared" si="23"/>
        <v>0.50906685630000004</v>
      </c>
      <c r="AB81" t="str">
        <f>IF(AA81&gt;=Como_Avaliar!$B$15,"Alta",IF(AA81&gt;=Como_Avaliar!$B$16,"Média","Baixa"))</f>
        <v>Alta</v>
      </c>
    </row>
    <row r="82" spans="1:28" x14ac:dyDescent="0.25">
      <c r="A82" t="s">
        <v>384</v>
      </c>
      <c r="B82" t="s">
        <v>312</v>
      </c>
      <c r="C82" t="s">
        <v>89</v>
      </c>
      <c r="D82" t="s">
        <v>56</v>
      </c>
      <c r="E82" t="s">
        <v>92</v>
      </c>
      <c r="F82">
        <v>4</v>
      </c>
      <c r="G82">
        <v>13</v>
      </c>
      <c r="H82">
        <v>2</v>
      </c>
      <c r="I82" t="s">
        <v>62</v>
      </c>
      <c r="J82" t="s">
        <v>97</v>
      </c>
      <c r="K82" t="s">
        <v>97</v>
      </c>
      <c r="L82" t="s">
        <v>322</v>
      </c>
      <c r="M82">
        <v>0</v>
      </c>
      <c r="N82" t="str">
        <f t="shared" si="12"/>
        <v>1. &lt; 8 anos</v>
      </c>
      <c r="O82" t="str">
        <f t="shared" si="13"/>
        <v>1. &lt; 20</v>
      </c>
      <c r="P82" t="str">
        <f t="shared" si="14"/>
        <v>1. 1 a 2</v>
      </c>
      <c r="Q82">
        <f t="shared" si="15"/>
        <v>0</v>
      </c>
      <c r="R82">
        <f t="shared" si="16"/>
        <v>0</v>
      </c>
      <c r="S82">
        <f t="shared" si="17"/>
        <v>0</v>
      </c>
      <c r="V82" s="18">
        <f t="shared" si="18"/>
        <v>6.8273092369477914E-2</v>
      </c>
      <c r="W82" s="18">
        <f t="shared" si="19"/>
        <v>8.6792452830188674E-2</v>
      </c>
      <c r="X82" s="18">
        <f t="shared" si="20"/>
        <v>0.10309278350515463</v>
      </c>
      <c r="Y82" s="18">
        <f t="shared" si="21"/>
        <v>0.37662337662337664</v>
      </c>
      <c r="Z82" s="18">
        <f t="shared" si="22"/>
        <v>0.22368421052631579</v>
      </c>
      <c r="AA82" s="10">
        <f t="shared" si="23"/>
        <v>0.17169318319999999</v>
      </c>
      <c r="AB82" t="str">
        <f>IF(AA82&gt;=Como_Avaliar!$B$15,"Alta",IF(AA82&gt;=Como_Avaliar!$B$16,"Média","Baixa"))</f>
        <v>Baixa</v>
      </c>
    </row>
    <row r="83" spans="1:28" x14ac:dyDescent="0.25">
      <c r="A83" t="s">
        <v>385</v>
      </c>
      <c r="B83" t="s">
        <v>288</v>
      </c>
      <c r="C83" t="s">
        <v>88</v>
      </c>
      <c r="D83" t="s">
        <v>56</v>
      </c>
      <c r="E83" t="s">
        <v>92</v>
      </c>
      <c r="F83">
        <v>18</v>
      </c>
      <c r="G83">
        <v>18</v>
      </c>
      <c r="H83">
        <v>2</v>
      </c>
      <c r="I83" t="s">
        <v>62</v>
      </c>
      <c r="J83" t="s">
        <v>97</v>
      </c>
      <c r="K83" t="s">
        <v>97</v>
      </c>
      <c r="L83" t="s">
        <v>298</v>
      </c>
      <c r="M83">
        <v>0</v>
      </c>
      <c r="N83" t="str">
        <f t="shared" si="12"/>
        <v>3. 16+ anos</v>
      </c>
      <c r="O83" t="str">
        <f t="shared" si="13"/>
        <v>1. &lt; 20</v>
      </c>
      <c r="P83" t="str">
        <f t="shared" si="14"/>
        <v>1. 1 a 2</v>
      </c>
      <c r="Q83">
        <f t="shared" si="15"/>
        <v>0</v>
      </c>
      <c r="R83">
        <f t="shared" si="16"/>
        <v>0</v>
      </c>
      <c r="S83">
        <f t="shared" si="17"/>
        <v>1</v>
      </c>
      <c r="T83">
        <v>2</v>
      </c>
      <c r="U83" t="s">
        <v>139</v>
      </c>
      <c r="V83" s="18">
        <f t="shared" si="18"/>
        <v>6.8273092369477914E-2</v>
      </c>
      <c r="W83" s="18">
        <f t="shared" si="19"/>
        <v>8.6792452830188674E-2</v>
      </c>
      <c r="X83" s="18">
        <f t="shared" si="20"/>
        <v>0.10309278350515463</v>
      </c>
      <c r="Y83" s="18">
        <f t="shared" si="21"/>
        <v>0.37662337662337664</v>
      </c>
      <c r="Z83" s="18">
        <f t="shared" si="22"/>
        <v>0.56634304207119746</v>
      </c>
      <c r="AA83" s="10">
        <f t="shared" si="23"/>
        <v>0.24022494950000001</v>
      </c>
      <c r="AB83" t="str">
        <f>IF(AA83&gt;=Como_Avaliar!$B$15,"Alta",IF(AA83&gt;=Como_Avaliar!$B$16,"Média","Baixa"))</f>
        <v>Média</v>
      </c>
    </row>
    <row r="84" spans="1:28" x14ac:dyDescent="0.25">
      <c r="A84" t="s">
        <v>386</v>
      </c>
      <c r="B84" t="s">
        <v>312</v>
      </c>
      <c r="C84" t="s">
        <v>89</v>
      </c>
      <c r="D84" t="s">
        <v>59</v>
      </c>
      <c r="E84" t="s">
        <v>96</v>
      </c>
      <c r="F84">
        <v>8</v>
      </c>
      <c r="G84">
        <v>59</v>
      </c>
      <c r="H84">
        <v>7</v>
      </c>
      <c r="I84" t="s">
        <v>65</v>
      </c>
      <c r="J84" t="s">
        <v>97</v>
      </c>
      <c r="K84" t="s">
        <v>97</v>
      </c>
      <c r="L84" t="s">
        <v>322</v>
      </c>
      <c r="M84">
        <v>1</v>
      </c>
      <c r="N84" t="str">
        <f t="shared" si="12"/>
        <v>2. 8 a 15 anos</v>
      </c>
      <c r="O84" t="str">
        <f t="shared" si="13"/>
        <v>3. 50 a 149</v>
      </c>
      <c r="P84" t="str">
        <f t="shared" si="14"/>
        <v>3. 6 a 15</v>
      </c>
      <c r="Q84">
        <f t="shared" si="15"/>
        <v>0</v>
      </c>
      <c r="R84">
        <f t="shared" si="16"/>
        <v>1</v>
      </c>
      <c r="S84">
        <f t="shared" si="17"/>
        <v>0</v>
      </c>
      <c r="V84" s="18">
        <f t="shared" si="18"/>
        <v>0.43835616438356162</v>
      </c>
      <c r="W84" s="18">
        <f t="shared" si="19"/>
        <v>0.55319148936170215</v>
      </c>
      <c r="X84" s="18">
        <f t="shared" si="20"/>
        <v>0.58992805755395683</v>
      </c>
      <c r="Y84" s="18">
        <f t="shared" si="21"/>
        <v>0.39751552795031053</v>
      </c>
      <c r="Z84" s="18">
        <f t="shared" si="22"/>
        <v>0.22302158273381295</v>
      </c>
      <c r="AA84" s="10">
        <f t="shared" si="23"/>
        <v>0.44040256439999997</v>
      </c>
      <c r="AB84" t="str">
        <f>IF(AA84&gt;=Como_Avaliar!$B$15,"Alta",IF(AA84&gt;=Como_Avaliar!$B$16,"Média","Baixa"))</f>
        <v>Média</v>
      </c>
    </row>
    <row r="85" spans="1:28" x14ac:dyDescent="0.25">
      <c r="A85" t="s">
        <v>387</v>
      </c>
      <c r="B85" t="s">
        <v>297</v>
      </c>
      <c r="C85" t="s">
        <v>86</v>
      </c>
      <c r="D85" t="s">
        <v>59</v>
      </c>
      <c r="E85" t="s">
        <v>95</v>
      </c>
      <c r="F85">
        <v>4</v>
      </c>
      <c r="G85">
        <v>50</v>
      </c>
      <c r="H85">
        <v>8</v>
      </c>
      <c r="I85" t="s">
        <v>65</v>
      </c>
      <c r="J85" t="s">
        <v>97</v>
      </c>
      <c r="K85" t="s">
        <v>97</v>
      </c>
      <c r="L85" t="s">
        <v>284</v>
      </c>
      <c r="M85">
        <v>0</v>
      </c>
      <c r="N85" t="str">
        <f t="shared" si="12"/>
        <v>1. &lt; 8 anos</v>
      </c>
      <c r="O85" t="str">
        <f t="shared" si="13"/>
        <v>3. 50 a 149</v>
      </c>
      <c r="P85" t="str">
        <f t="shared" si="14"/>
        <v>3. 6 a 15</v>
      </c>
      <c r="Q85">
        <f t="shared" si="15"/>
        <v>0</v>
      </c>
      <c r="R85">
        <f t="shared" si="16"/>
        <v>1</v>
      </c>
      <c r="S85">
        <f t="shared" si="17"/>
        <v>1</v>
      </c>
      <c r="T85">
        <v>3</v>
      </c>
      <c r="U85" t="s">
        <v>138</v>
      </c>
      <c r="V85" s="18">
        <f t="shared" si="18"/>
        <v>0.43835616438356162</v>
      </c>
      <c r="W85" s="18">
        <f t="shared" si="19"/>
        <v>0.55319148936170215</v>
      </c>
      <c r="X85" s="18">
        <f t="shared" si="20"/>
        <v>0.58992805755395683</v>
      </c>
      <c r="Y85" s="18">
        <f t="shared" si="21"/>
        <v>0.39751552795031053</v>
      </c>
      <c r="Z85" s="18">
        <f t="shared" si="22"/>
        <v>0.22368421052631579</v>
      </c>
      <c r="AA85" s="10">
        <f t="shared" si="23"/>
        <v>0.44053509000000002</v>
      </c>
      <c r="AB85" t="str">
        <f>IF(AA85&gt;=Como_Avaliar!$B$15,"Alta",IF(AA85&gt;=Como_Avaliar!$B$16,"Média","Baixa"))</f>
        <v>Média</v>
      </c>
    </row>
    <row r="86" spans="1:28" x14ac:dyDescent="0.25">
      <c r="A86" t="s">
        <v>388</v>
      </c>
      <c r="B86" t="s">
        <v>301</v>
      </c>
      <c r="C86" t="s">
        <v>88</v>
      </c>
      <c r="D86" t="s">
        <v>59</v>
      </c>
      <c r="E86" t="s">
        <v>90</v>
      </c>
      <c r="F86">
        <v>2</v>
      </c>
      <c r="G86">
        <v>51</v>
      </c>
      <c r="H86">
        <v>4</v>
      </c>
      <c r="I86" t="s">
        <v>68</v>
      </c>
      <c r="J86" t="s">
        <v>98</v>
      </c>
      <c r="K86" t="s">
        <v>98</v>
      </c>
      <c r="L86" t="s">
        <v>298</v>
      </c>
      <c r="M86">
        <v>0</v>
      </c>
      <c r="N86" t="str">
        <f t="shared" si="12"/>
        <v>1. &lt; 8 anos</v>
      </c>
      <c r="O86" t="str">
        <f t="shared" si="13"/>
        <v>3. 50 a 149</v>
      </c>
      <c r="P86" t="str">
        <f t="shared" si="14"/>
        <v>2. 3 a 5</v>
      </c>
      <c r="Q86">
        <f t="shared" si="15"/>
        <v>0</v>
      </c>
      <c r="R86">
        <f t="shared" si="16"/>
        <v>0</v>
      </c>
      <c r="S86">
        <f t="shared" si="17"/>
        <v>1</v>
      </c>
      <c r="T86">
        <v>3</v>
      </c>
      <c r="U86" t="s">
        <v>138</v>
      </c>
      <c r="V86" s="18">
        <f t="shared" si="18"/>
        <v>0.43835616438356162</v>
      </c>
      <c r="W86" s="18">
        <f t="shared" si="19"/>
        <v>0.38095238095238093</v>
      </c>
      <c r="X86" s="18">
        <f t="shared" si="20"/>
        <v>0.58992805755395683</v>
      </c>
      <c r="Y86" s="18">
        <f t="shared" si="21"/>
        <v>0.58333333333333337</v>
      </c>
      <c r="Z86" s="18">
        <f t="shared" si="22"/>
        <v>0.22368421052631579</v>
      </c>
      <c r="AA86" s="10">
        <f t="shared" si="23"/>
        <v>0.44325082929999998</v>
      </c>
      <c r="AB86" t="str">
        <f>IF(AA86&gt;=Como_Avaliar!$B$15,"Alta",IF(AA86&gt;=Como_Avaliar!$B$16,"Média","Baixa"))</f>
        <v>Média</v>
      </c>
    </row>
    <row r="87" spans="1:28" x14ac:dyDescent="0.25">
      <c r="A87" t="s">
        <v>389</v>
      </c>
      <c r="B87" t="s">
        <v>286</v>
      </c>
      <c r="C87" t="s">
        <v>88</v>
      </c>
      <c r="D87" t="s">
        <v>56</v>
      </c>
      <c r="E87" t="s">
        <v>95</v>
      </c>
      <c r="F87">
        <v>6</v>
      </c>
      <c r="G87">
        <v>6</v>
      </c>
      <c r="H87">
        <v>2</v>
      </c>
      <c r="I87" t="s">
        <v>62</v>
      </c>
      <c r="J87" t="s">
        <v>98</v>
      </c>
      <c r="K87" t="s">
        <v>98</v>
      </c>
      <c r="L87" t="s">
        <v>289</v>
      </c>
      <c r="M87">
        <v>0</v>
      </c>
      <c r="N87" t="str">
        <f t="shared" si="12"/>
        <v>1. &lt; 8 anos</v>
      </c>
      <c r="O87" t="str">
        <f t="shared" si="13"/>
        <v>1. &lt; 20</v>
      </c>
      <c r="P87" t="str">
        <f t="shared" si="14"/>
        <v>1. 1 a 2</v>
      </c>
      <c r="Q87">
        <f t="shared" si="15"/>
        <v>0</v>
      </c>
      <c r="R87">
        <f t="shared" si="16"/>
        <v>0</v>
      </c>
      <c r="S87">
        <f t="shared" si="17"/>
        <v>1</v>
      </c>
      <c r="T87">
        <v>1</v>
      </c>
      <c r="U87" t="s">
        <v>139</v>
      </c>
      <c r="V87" s="18">
        <f t="shared" si="18"/>
        <v>6.8273092369477914E-2</v>
      </c>
      <c r="W87" s="18">
        <f t="shared" si="19"/>
        <v>8.6792452830188674E-2</v>
      </c>
      <c r="X87" s="18">
        <f t="shared" si="20"/>
        <v>0.10309278350515463</v>
      </c>
      <c r="Y87" s="18">
        <f t="shared" si="21"/>
        <v>0.37662337662337664</v>
      </c>
      <c r="Z87" s="18">
        <f t="shared" si="22"/>
        <v>0.22368421052631579</v>
      </c>
      <c r="AA87" s="10">
        <f t="shared" si="23"/>
        <v>0.17169318319999999</v>
      </c>
      <c r="AB87" t="str">
        <f>IF(AA87&gt;=Como_Avaliar!$B$15,"Alta",IF(AA87&gt;=Como_Avaliar!$B$16,"Média","Baixa"))</f>
        <v>Baixa</v>
      </c>
    </row>
    <row r="88" spans="1:28" x14ac:dyDescent="0.25">
      <c r="A88" t="s">
        <v>390</v>
      </c>
      <c r="B88" t="s">
        <v>391</v>
      </c>
      <c r="C88" t="s">
        <v>87</v>
      </c>
      <c r="D88" t="s">
        <v>56</v>
      </c>
      <c r="E88" t="s">
        <v>95</v>
      </c>
      <c r="F88">
        <v>22</v>
      </c>
      <c r="G88">
        <v>21</v>
      </c>
      <c r="H88">
        <v>2</v>
      </c>
      <c r="I88" t="s">
        <v>61</v>
      </c>
      <c r="J88" t="s">
        <v>97</v>
      </c>
      <c r="K88" t="s">
        <v>97</v>
      </c>
      <c r="L88" t="s">
        <v>298</v>
      </c>
      <c r="M88">
        <v>0</v>
      </c>
      <c r="N88" t="str">
        <f t="shared" si="12"/>
        <v>3. 16+ anos</v>
      </c>
      <c r="O88" t="str">
        <f t="shared" si="13"/>
        <v>2. 20 a 49</v>
      </c>
      <c r="P88" t="str">
        <f t="shared" si="14"/>
        <v>1. 1 a 2</v>
      </c>
      <c r="Q88">
        <f t="shared" si="15"/>
        <v>1</v>
      </c>
      <c r="R88">
        <f t="shared" si="16"/>
        <v>0</v>
      </c>
      <c r="S88">
        <f t="shared" si="17"/>
        <v>1</v>
      </c>
      <c r="T88">
        <v>2</v>
      </c>
      <c r="U88" t="s">
        <v>139</v>
      </c>
      <c r="V88" s="18">
        <f t="shared" si="18"/>
        <v>6.8273092369477914E-2</v>
      </c>
      <c r="W88" s="18">
        <f t="shared" si="19"/>
        <v>8.6792452830188674E-2</v>
      </c>
      <c r="X88" s="18">
        <f t="shared" si="20"/>
        <v>0.25294117647058822</v>
      </c>
      <c r="Y88" s="18">
        <f t="shared" si="21"/>
        <v>0</v>
      </c>
      <c r="Z88" s="18">
        <f t="shared" si="22"/>
        <v>0.56634304207119746</v>
      </c>
      <c r="AA88" s="10">
        <f t="shared" si="23"/>
        <v>0.19486995269999999</v>
      </c>
      <c r="AB88" t="str">
        <f>IF(AA88&gt;=Como_Avaliar!$B$15,"Alta",IF(AA88&gt;=Como_Avaliar!$B$16,"Média","Baixa"))</f>
        <v>Baixa</v>
      </c>
    </row>
    <row r="89" spans="1:28" x14ac:dyDescent="0.25">
      <c r="A89" t="s">
        <v>392</v>
      </c>
      <c r="B89" t="s">
        <v>305</v>
      </c>
      <c r="C89" t="s">
        <v>89</v>
      </c>
      <c r="D89" t="s">
        <v>59</v>
      </c>
      <c r="E89" t="s">
        <v>92</v>
      </c>
      <c r="F89">
        <v>10</v>
      </c>
      <c r="G89">
        <v>63</v>
      </c>
      <c r="H89">
        <v>5</v>
      </c>
      <c r="I89" t="s">
        <v>68</v>
      </c>
      <c r="J89" t="s">
        <v>98</v>
      </c>
      <c r="K89" t="s">
        <v>97</v>
      </c>
      <c r="L89" t="s">
        <v>289</v>
      </c>
      <c r="M89">
        <v>1</v>
      </c>
      <c r="N89" t="str">
        <f t="shared" si="12"/>
        <v>2. 8 a 15 anos</v>
      </c>
      <c r="O89" t="str">
        <f t="shared" si="13"/>
        <v>3. 50 a 149</v>
      </c>
      <c r="P89" t="str">
        <f t="shared" si="14"/>
        <v>2. 3 a 5</v>
      </c>
      <c r="Q89">
        <f t="shared" si="15"/>
        <v>0</v>
      </c>
      <c r="R89">
        <f t="shared" si="16"/>
        <v>0</v>
      </c>
      <c r="S89">
        <f t="shared" si="17"/>
        <v>0</v>
      </c>
      <c r="V89" s="18">
        <f t="shared" si="18"/>
        <v>0.43835616438356162</v>
      </c>
      <c r="W89" s="18">
        <f t="shared" si="19"/>
        <v>0.38095238095238093</v>
      </c>
      <c r="X89" s="18">
        <f t="shared" si="20"/>
        <v>0.58992805755395683</v>
      </c>
      <c r="Y89" s="18">
        <f t="shared" si="21"/>
        <v>0.58333333333333337</v>
      </c>
      <c r="Z89" s="18">
        <f t="shared" si="22"/>
        <v>0.22302158273381295</v>
      </c>
      <c r="AA89" s="10">
        <f t="shared" si="23"/>
        <v>0.4431183038</v>
      </c>
      <c r="AB89" t="str">
        <f>IF(AA89&gt;=Como_Avaliar!$B$15,"Alta",IF(AA89&gt;=Como_Avaliar!$B$16,"Média","Baixa"))</f>
        <v>Média</v>
      </c>
    </row>
    <row r="90" spans="1:28" x14ac:dyDescent="0.25">
      <c r="A90" t="s">
        <v>393</v>
      </c>
      <c r="B90" t="s">
        <v>286</v>
      </c>
      <c r="C90" t="s">
        <v>88</v>
      </c>
      <c r="D90" t="s">
        <v>59</v>
      </c>
      <c r="E90" t="s">
        <v>94</v>
      </c>
      <c r="F90">
        <v>4</v>
      </c>
      <c r="G90">
        <v>65</v>
      </c>
      <c r="H90">
        <v>9</v>
      </c>
      <c r="I90" t="s">
        <v>62</v>
      </c>
      <c r="J90" t="s">
        <v>98</v>
      </c>
      <c r="K90" t="s">
        <v>98</v>
      </c>
      <c r="L90" t="s">
        <v>284</v>
      </c>
      <c r="M90">
        <v>0</v>
      </c>
      <c r="N90" t="str">
        <f t="shared" si="12"/>
        <v>1. &lt; 8 anos</v>
      </c>
      <c r="O90" t="str">
        <f t="shared" si="13"/>
        <v>3. 50 a 149</v>
      </c>
      <c r="P90" t="str">
        <f t="shared" si="14"/>
        <v>3. 6 a 15</v>
      </c>
      <c r="Q90">
        <f t="shared" si="15"/>
        <v>0</v>
      </c>
      <c r="R90">
        <f t="shared" si="16"/>
        <v>1</v>
      </c>
      <c r="S90">
        <f t="shared" si="17"/>
        <v>1</v>
      </c>
      <c r="T90">
        <v>3</v>
      </c>
      <c r="U90" t="s">
        <v>138</v>
      </c>
      <c r="V90" s="18">
        <f t="shared" si="18"/>
        <v>0.43835616438356162</v>
      </c>
      <c r="W90" s="18">
        <f t="shared" si="19"/>
        <v>0.55319148936170215</v>
      </c>
      <c r="X90" s="18">
        <f t="shared" si="20"/>
        <v>0.58992805755395683</v>
      </c>
      <c r="Y90" s="18">
        <f t="shared" si="21"/>
        <v>0.37662337662337664</v>
      </c>
      <c r="Z90" s="18">
        <f t="shared" si="22"/>
        <v>0.22368421052631579</v>
      </c>
      <c r="AA90" s="10">
        <f t="shared" si="23"/>
        <v>0.43635665969999998</v>
      </c>
      <c r="AB90" t="str">
        <f>IF(AA90&gt;=Como_Avaliar!$B$15,"Alta",IF(AA90&gt;=Como_Avaliar!$B$16,"Média","Baixa"))</f>
        <v>Média</v>
      </c>
    </row>
    <row r="91" spans="1:28" x14ac:dyDescent="0.25">
      <c r="A91" t="s">
        <v>394</v>
      </c>
      <c r="B91" t="s">
        <v>286</v>
      </c>
      <c r="C91" t="s">
        <v>88</v>
      </c>
      <c r="D91" t="s">
        <v>59</v>
      </c>
      <c r="E91" t="s">
        <v>96</v>
      </c>
      <c r="F91">
        <v>22</v>
      </c>
      <c r="G91">
        <v>59</v>
      </c>
      <c r="H91">
        <v>7</v>
      </c>
      <c r="I91" t="s">
        <v>65</v>
      </c>
      <c r="J91" t="s">
        <v>98</v>
      </c>
      <c r="K91" t="s">
        <v>97</v>
      </c>
      <c r="L91" t="s">
        <v>322</v>
      </c>
      <c r="M91">
        <v>1</v>
      </c>
      <c r="N91" t="str">
        <f t="shared" si="12"/>
        <v>3. 16+ anos</v>
      </c>
      <c r="O91" t="str">
        <f t="shared" si="13"/>
        <v>3. 50 a 149</v>
      </c>
      <c r="P91" t="str">
        <f t="shared" si="14"/>
        <v>3. 6 a 15</v>
      </c>
      <c r="Q91">
        <f t="shared" si="15"/>
        <v>0</v>
      </c>
      <c r="R91">
        <f t="shared" si="16"/>
        <v>1</v>
      </c>
      <c r="S91">
        <f t="shared" si="17"/>
        <v>0</v>
      </c>
      <c r="V91" s="18">
        <f t="shared" si="18"/>
        <v>0.43835616438356162</v>
      </c>
      <c r="W91" s="18">
        <f t="shared" si="19"/>
        <v>0.55319148936170215</v>
      </c>
      <c r="X91" s="18">
        <f t="shared" si="20"/>
        <v>0.58992805755395683</v>
      </c>
      <c r="Y91" s="18">
        <f t="shared" si="21"/>
        <v>0.39751552795031053</v>
      </c>
      <c r="Z91" s="18">
        <f t="shared" si="22"/>
        <v>0.56634304207119746</v>
      </c>
      <c r="AA91" s="10">
        <f t="shared" si="23"/>
        <v>0.50906685630000004</v>
      </c>
      <c r="AB91" t="str">
        <f>IF(AA91&gt;=Como_Avaliar!$B$15,"Alta",IF(AA91&gt;=Como_Avaliar!$B$16,"Média","Baixa"))</f>
        <v>Alta</v>
      </c>
    </row>
    <row r="92" spans="1:28" x14ac:dyDescent="0.25">
      <c r="A92" t="s">
        <v>395</v>
      </c>
      <c r="B92" t="s">
        <v>286</v>
      </c>
      <c r="C92" t="s">
        <v>88</v>
      </c>
      <c r="D92" t="s">
        <v>56</v>
      </c>
      <c r="E92" t="s">
        <v>95</v>
      </c>
      <c r="F92">
        <v>29</v>
      </c>
      <c r="G92">
        <v>7</v>
      </c>
      <c r="H92">
        <v>1</v>
      </c>
      <c r="I92" t="s">
        <v>63</v>
      </c>
      <c r="J92" t="s">
        <v>98</v>
      </c>
      <c r="K92" t="s">
        <v>97</v>
      </c>
      <c r="L92" t="s">
        <v>298</v>
      </c>
      <c r="M92">
        <v>1</v>
      </c>
      <c r="N92" t="str">
        <f t="shared" si="12"/>
        <v>3. 16+ anos</v>
      </c>
      <c r="O92" t="str">
        <f t="shared" si="13"/>
        <v>1. &lt; 20</v>
      </c>
      <c r="P92" t="str">
        <f t="shared" si="14"/>
        <v>1. 1 a 2</v>
      </c>
      <c r="Q92">
        <f t="shared" si="15"/>
        <v>1</v>
      </c>
      <c r="R92">
        <f t="shared" si="16"/>
        <v>0</v>
      </c>
      <c r="S92">
        <f t="shared" si="17"/>
        <v>0</v>
      </c>
      <c r="V92" s="18">
        <f t="shared" si="18"/>
        <v>6.8273092369477914E-2</v>
      </c>
      <c r="W92" s="18">
        <f t="shared" si="19"/>
        <v>8.6792452830188674E-2</v>
      </c>
      <c r="X92" s="18">
        <f t="shared" si="20"/>
        <v>0.10309278350515463</v>
      </c>
      <c r="Y92" s="18">
        <f t="shared" si="21"/>
        <v>6.5217391304347824E-2</v>
      </c>
      <c r="Z92" s="18">
        <f t="shared" si="22"/>
        <v>0.56634304207119746</v>
      </c>
      <c r="AA92" s="10">
        <f t="shared" si="23"/>
        <v>0.17794375239999999</v>
      </c>
      <c r="AB92" t="str">
        <f>IF(AA92&gt;=Como_Avaliar!$B$15,"Alta",IF(AA92&gt;=Como_Avaliar!$B$16,"Média","Baixa"))</f>
        <v>Baixa</v>
      </c>
    </row>
    <row r="93" spans="1:28" x14ac:dyDescent="0.25">
      <c r="A93" t="s">
        <v>396</v>
      </c>
      <c r="B93" t="s">
        <v>283</v>
      </c>
      <c r="C93" t="s">
        <v>89</v>
      </c>
      <c r="D93" t="s">
        <v>59</v>
      </c>
      <c r="E93" t="s">
        <v>96</v>
      </c>
      <c r="F93">
        <v>18</v>
      </c>
      <c r="G93">
        <v>52</v>
      </c>
      <c r="H93">
        <v>8</v>
      </c>
      <c r="I93" t="s">
        <v>62</v>
      </c>
      <c r="J93" t="s">
        <v>97</v>
      </c>
      <c r="K93" t="s">
        <v>97</v>
      </c>
      <c r="L93" t="s">
        <v>298</v>
      </c>
      <c r="M93">
        <v>1</v>
      </c>
      <c r="N93" t="str">
        <f t="shared" si="12"/>
        <v>3. 16+ anos</v>
      </c>
      <c r="O93" t="str">
        <f t="shared" si="13"/>
        <v>3. 50 a 149</v>
      </c>
      <c r="P93" t="str">
        <f t="shared" si="14"/>
        <v>3. 6 a 15</v>
      </c>
      <c r="Q93">
        <f t="shared" si="15"/>
        <v>0</v>
      </c>
      <c r="R93">
        <f t="shared" si="16"/>
        <v>1</v>
      </c>
      <c r="S93">
        <f t="shared" si="17"/>
        <v>0</v>
      </c>
      <c r="V93" s="18">
        <f t="shared" si="18"/>
        <v>0.43835616438356162</v>
      </c>
      <c r="W93" s="18">
        <f t="shared" si="19"/>
        <v>0.55319148936170215</v>
      </c>
      <c r="X93" s="18">
        <f t="shared" si="20"/>
        <v>0.58992805755395683</v>
      </c>
      <c r="Y93" s="18">
        <f t="shared" si="21"/>
        <v>0.37662337662337664</v>
      </c>
      <c r="Z93" s="18">
        <f t="shared" si="22"/>
        <v>0.56634304207119746</v>
      </c>
      <c r="AA93" s="10">
        <f t="shared" si="23"/>
        <v>0.50488842599999995</v>
      </c>
      <c r="AB93" t="str">
        <f>IF(AA93&gt;=Como_Avaliar!$B$15,"Alta",IF(AA93&gt;=Como_Avaliar!$B$16,"Média","Baixa"))</f>
        <v>Alta</v>
      </c>
    </row>
    <row r="94" spans="1:28" x14ac:dyDescent="0.25">
      <c r="A94" t="s">
        <v>397</v>
      </c>
      <c r="B94" t="s">
        <v>314</v>
      </c>
      <c r="C94" t="s">
        <v>84</v>
      </c>
      <c r="D94" t="s">
        <v>57</v>
      </c>
      <c r="E94" t="s">
        <v>90</v>
      </c>
      <c r="F94">
        <v>26</v>
      </c>
      <c r="G94">
        <v>243</v>
      </c>
      <c r="H94">
        <v>65</v>
      </c>
      <c r="I94" t="s">
        <v>60</v>
      </c>
      <c r="J94" t="s">
        <v>97</v>
      </c>
      <c r="K94" t="s">
        <v>98</v>
      </c>
      <c r="L94" t="s">
        <v>298</v>
      </c>
      <c r="M94">
        <v>1</v>
      </c>
      <c r="N94" t="str">
        <f t="shared" si="12"/>
        <v>3. 16+ anos</v>
      </c>
      <c r="O94" t="str">
        <f t="shared" si="13"/>
        <v>4. 150+</v>
      </c>
      <c r="P94" t="str">
        <f t="shared" si="14"/>
        <v>4. 16+</v>
      </c>
      <c r="Q94">
        <f t="shared" si="15"/>
        <v>0</v>
      </c>
      <c r="R94">
        <f t="shared" si="16"/>
        <v>1</v>
      </c>
      <c r="S94">
        <f t="shared" si="17"/>
        <v>0</v>
      </c>
      <c r="V94" s="18">
        <f t="shared" si="18"/>
        <v>1</v>
      </c>
      <c r="W94" s="18">
        <f t="shared" si="19"/>
        <v>0.97272727272727277</v>
      </c>
      <c r="X94" s="18">
        <f t="shared" si="20"/>
        <v>0.97938144329896903</v>
      </c>
      <c r="Y94" s="18">
        <f t="shared" si="21"/>
        <v>0.65217391304347827</v>
      </c>
      <c r="Z94" s="18">
        <f t="shared" si="22"/>
        <v>0.56634304207119746</v>
      </c>
      <c r="AA94" s="10">
        <f t="shared" si="23"/>
        <v>0.83412513420000001</v>
      </c>
      <c r="AB94" t="str">
        <f>IF(AA94&gt;=Como_Avaliar!$B$15,"Alta",IF(AA94&gt;=Como_Avaliar!$B$16,"Média","Baixa"))</f>
        <v>Alta</v>
      </c>
    </row>
    <row r="95" spans="1:28" x14ac:dyDescent="0.25">
      <c r="A95" t="s">
        <v>398</v>
      </c>
      <c r="B95" t="s">
        <v>301</v>
      </c>
      <c r="C95" t="s">
        <v>88</v>
      </c>
      <c r="D95" t="s">
        <v>56</v>
      </c>
      <c r="E95" t="s">
        <v>93</v>
      </c>
      <c r="F95">
        <v>12</v>
      </c>
      <c r="G95">
        <v>12</v>
      </c>
      <c r="H95">
        <v>2</v>
      </c>
      <c r="I95" t="s">
        <v>65</v>
      </c>
      <c r="J95" t="s">
        <v>97</v>
      </c>
      <c r="K95" t="s">
        <v>97</v>
      </c>
      <c r="L95" t="s">
        <v>284</v>
      </c>
      <c r="M95">
        <v>0</v>
      </c>
      <c r="N95" t="str">
        <f t="shared" si="12"/>
        <v>2. 8 a 15 anos</v>
      </c>
      <c r="O95" t="str">
        <f t="shared" si="13"/>
        <v>1. &lt; 20</v>
      </c>
      <c r="P95" t="str">
        <f t="shared" si="14"/>
        <v>1. 1 a 2</v>
      </c>
      <c r="Q95">
        <f t="shared" si="15"/>
        <v>0</v>
      </c>
      <c r="R95">
        <f t="shared" si="16"/>
        <v>0</v>
      </c>
      <c r="S95">
        <f t="shared" si="17"/>
        <v>1</v>
      </c>
      <c r="T95">
        <v>1</v>
      </c>
      <c r="U95" t="s">
        <v>139</v>
      </c>
      <c r="V95" s="18">
        <f t="shared" si="18"/>
        <v>6.8273092369477914E-2</v>
      </c>
      <c r="W95" s="18">
        <f t="shared" si="19"/>
        <v>8.6792452830188674E-2</v>
      </c>
      <c r="X95" s="18">
        <f t="shared" si="20"/>
        <v>0.10309278350515463</v>
      </c>
      <c r="Y95" s="18">
        <f t="shared" si="21"/>
        <v>0.39751552795031053</v>
      </c>
      <c r="Z95" s="18">
        <f t="shared" si="22"/>
        <v>0.22302158273381295</v>
      </c>
      <c r="AA95" s="10">
        <f t="shared" si="23"/>
        <v>0.17573908790000001</v>
      </c>
      <c r="AB95" t="str">
        <f>IF(AA95&gt;=Como_Avaliar!$B$15,"Alta",IF(AA95&gt;=Como_Avaliar!$B$16,"Média","Baixa"))</f>
        <v>Baixa</v>
      </c>
    </row>
    <row r="96" spans="1:28" x14ac:dyDescent="0.25">
      <c r="A96" t="s">
        <v>399</v>
      </c>
      <c r="B96" t="s">
        <v>286</v>
      </c>
      <c r="C96" t="s">
        <v>88</v>
      </c>
      <c r="D96" t="s">
        <v>57</v>
      </c>
      <c r="E96" t="s">
        <v>94</v>
      </c>
      <c r="F96">
        <v>2</v>
      </c>
      <c r="G96">
        <v>280</v>
      </c>
      <c r="H96">
        <v>87</v>
      </c>
      <c r="I96" t="s">
        <v>68</v>
      </c>
      <c r="J96" t="s">
        <v>97</v>
      </c>
      <c r="K96" t="s">
        <v>97</v>
      </c>
      <c r="L96" t="s">
        <v>298</v>
      </c>
      <c r="M96">
        <v>1</v>
      </c>
      <c r="N96" t="str">
        <f t="shared" si="12"/>
        <v>1. &lt; 8 anos</v>
      </c>
      <c r="O96" t="str">
        <f t="shared" si="13"/>
        <v>4. 150+</v>
      </c>
      <c r="P96" t="str">
        <f t="shared" si="14"/>
        <v>4. 16+</v>
      </c>
      <c r="Q96">
        <f t="shared" si="15"/>
        <v>0</v>
      </c>
      <c r="R96">
        <f t="shared" si="16"/>
        <v>1</v>
      </c>
      <c r="S96">
        <f t="shared" si="17"/>
        <v>0</v>
      </c>
      <c r="V96" s="18">
        <f t="shared" si="18"/>
        <v>1</v>
      </c>
      <c r="W96" s="18">
        <f t="shared" si="19"/>
        <v>0.97272727272727277</v>
      </c>
      <c r="X96" s="18">
        <f t="shared" si="20"/>
        <v>0.97938144329896903</v>
      </c>
      <c r="Y96" s="18">
        <f t="shared" si="21"/>
        <v>0.58333333333333337</v>
      </c>
      <c r="Z96" s="18">
        <f t="shared" si="22"/>
        <v>0.22368421052631579</v>
      </c>
      <c r="AA96" s="10">
        <f t="shared" si="23"/>
        <v>0.75182525200000005</v>
      </c>
      <c r="AB96" t="str">
        <f>IF(AA96&gt;=Como_Avaliar!$B$15,"Alta",IF(AA96&gt;=Como_Avaliar!$B$16,"Média","Baixa"))</f>
        <v>Alta</v>
      </c>
    </row>
    <row r="97" spans="1:28" x14ac:dyDescent="0.25">
      <c r="A97" t="s">
        <v>400</v>
      </c>
      <c r="B97" t="s">
        <v>301</v>
      </c>
      <c r="C97" t="s">
        <v>88</v>
      </c>
      <c r="D97" t="s">
        <v>59</v>
      </c>
      <c r="E97" t="s">
        <v>94</v>
      </c>
      <c r="F97">
        <v>10</v>
      </c>
      <c r="G97">
        <v>59</v>
      </c>
      <c r="H97">
        <v>5</v>
      </c>
      <c r="I97" t="s">
        <v>60</v>
      </c>
      <c r="J97" t="s">
        <v>97</v>
      </c>
      <c r="K97" t="s">
        <v>98</v>
      </c>
      <c r="L97" t="s">
        <v>298</v>
      </c>
      <c r="M97">
        <v>0</v>
      </c>
      <c r="N97" t="str">
        <f t="shared" si="12"/>
        <v>2. 8 a 15 anos</v>
      </c>
      <c r="O97" t="str">
        <f t="shared" si="13"/>
        <v>3. 50 a 149</v>
      </c>
      <c r="P97" t="str">
        <f t="shared" si="14"/>
        <v>2. 3 a 5</v>
      </c>
      <c r="Q97">
        <f t="shared" si="15"/>
        <v>0</v>
      </c>
      <c r="R97">
        <f t="shared" si="16"/>
        <v>0</v>
      </c>
      <c r="S97">
        <f t="shared" si="17"/>
        <v>1</v>
      </c>
      <c r="T97">
        <v>3</v>
      </c>
      <c r="U97" t="s">
        <v>138</v>
      </c>
      <c r="V97" s="18">
        <f t="shared" si="18"/>
        <v>0.43835616438356162</v>
      </c>
      <c r="W97" s="18">
        <f t="shared" si="19"/>
        <v>0.38095238095238093</v>
      </c>
      <c r="X97" s="18">
        <f t="shared" si="20"/>
        <v>0.58992805755395683</v>
      </c>
      <c r="Y97" s="18">
        <f t="shared" si="21"/>
        <v>0.65217391304347827</v>
      </c>
      <c r="Z97" s="18">
        <f t="shared" si="22"/>
        <v>0.22302158273381295</v>
      </c>
      <c r="AA97" s="10">
        <f t="shared" si="23"/>
        <v>0.45688641969999999</v>
      </c>
      <c r="AB97" t="str">
        <f>IF(AA97&gt;=Como_Avaliar!$B$15,"Alta",IF(AA97&gt;=Como_Avaliar!$B$16,"Média","Baixa"))</f>
        <v>Média</v>
      </c>
    </row>
    <row r="98" spans="1:28" x14ac:dyDescent="0.25">
      <c r="A98" t="s">
        <v>401</v>
      </c>
      <c r="B98" t="s">
        <v>391</v>
      </c>
      <c r="C98" t="s">
        <v>87</v>
      </c>
      <c r="D98" t="s">
        <v>59</v>
      </c>
      <c r="E98" t="s">
        <v>93</v>
      </c>
      <c r="F98">
        <v>4</v>
      </c>
      <c r="G98">
        <v>71</v>
      </c>
      <c r="H98">
        <v>7</v>
      </c>
      <c r="I98" t="s">
        <v>65</v>
      </c>
      <c r="J98" t="s">
        <v>97</v>
      </c>
      <c r="K98" t="s">
        <v>98</v>
      </c>
      <c r="L98" t="s">
        <v>284</v>
      </c>
      <c r="M98">
        <v>0</v>
      </c>
      <c r="N98" t="str">
        <f t="shared" si="12"/>
        <v>1. &lt; 8 anos</v>
      </c>
      <c r="O98" t="str">
        <f t="shared" si="13"/>
        <v>3. 50 a 149</v>
      </c>
      <c r="P98" t="str">
        <f t="shared" si="14"/>
        <v>3. 6 a 15</v>
      </c>
      <c r="Q98">
        <f t="shared" si="15"/>
        <v>0</v>
      </c>
      <c r="R98">
        <f t="shared" si="16"/>
        <v>1</v>
      </c>
      <c r="S98">
        <f t="shared" si="17"/>
        <v>1</v>
      </c>
      <c r="T98">
        <v>4</v>
      </c>
      <c r="U98" t="s">
        <v>137</v>
      </c>
      <c r="V98" s="18">
        <f t="shared" si="18"/>
        <v>0.43835616438356162</v>
      </c>
      <c r="W98" s="18">
        <f t="shared" si="19"/>
        <v>0.55319148936170215</v>
      </c>
      <c r="X98" s="18">
        <f t="shared" si="20"/>
        <v>0.58992805755395683</v>
      </c>
      <c r="Y98" s="18">
        <f t="shared" si="21"/>
        <v>0.39751552795031053</v>
      </c>
      <c r="Z98" s="18">
        <f t="shared" si="22"/>
        <v>0.22368421052631579</v>
      </c>
      <c r="AA98" s="10">
        <f t="shared" si="23"/>
        <v>0.44053509000000002</v>
      </c>
      <c r="AB98" t="str">
        <f>IF(AA98&gt;=Como_Avaliar!$B$15,"Alta",IF(AA98&gt;=Como_Avaliar!$B$16,"Média","Baixa"))</f>
        <v>Média</v>
      </c>
    </row>
    <row r="99" spans="1:28" x14ac:dyDescent="0.25">
      <c r="A99" t="s">
        <v>402</v>
      </c>
      <c r="B99" t="s">
        <v>305</v>
      </c>
      <c r="C99" t="s">
        <v>89</v>
      </c>
      <c r="D99" t="s">
        <v>56</v>
      </c>
      <c r="E99" t="s">
        <v>90</v>
      </c>
      <c r="F99">
        <v>14</v>
      </c>
      <c r="G99">
        <v>23</v>
      </c>
      <c r="H99">
        <v>2</v>
      </c>
      <c r="I99" t="s">
        <v>62</v>
      </c>
      <c r="J99" t="s">
        <v>97</v>
      </c>
      <c r="K99" t="s">
        <v>97</v>
      </c>
      <c r="L99" t="s">
        <v>329</v>
      </c>
      <c r="M99">
        <v>0</v>
      </c>
      <c r="N99" t="str">
        <f t="shared" si="12"/>
        <v>2. 8 a 15 anos</v>
      </c>
      <c r="O99" t="str">
        <f t="shared" si="13"/>
        <v>2. 20 a 49</v>
      </c>
      <c r="P99" t="str">
        <f t="shared" si="14"/>
        <v>1. 1 a 2</v>
      </c>
      <c r="Q99">
        <f t="shared" si="15"/>
        <v>0</v>
      </c>
      <c r="R99">
        <f t="shared" si="16"/>
        <v>0</v>
      </c>
      <c r="S99">
        <f t="shared" si="17"/>
        <v>1</v>
      </c>
      <c r="T99">
        <v>2</v>
      </c>
      <c r="U99" t="s">
        <v>139</v>
      </c>
      <c r="V99" s="18">
        <f t="shared" si="18"/>
        <v>6.8273092369477914E-2</v>
      </c>
      <c r="W99" s="18">
        <f t="shared" si="19"/>
        <v>8.6792452830188674E-2</v>
      </c>
      <c r="X99" s="18">
        <f t="shared" si="20"/>
        <v>0.25294117647058822</v>
      </c>
      <c r="Y99" s="18">
        <f t="shared" si="21"/>
        <v>0.37662337662337664</v>
      </c>
      <c r="Z99" s="18">
        <f t="shared" si="22"/>
        <v>0.22302158273381295</v>
      </c>
      <c r="AA99" s="10">
        <f t="shared" si="23"/>
        <v>0.20153033619999999</v>
      </c>
      <c r="AB99" t="str">
        <f>IF(AA99&gt;=Como_Avaliar!$B$15,"Alta",IF(AA99&gt;=Como_Avaliar!$B$16,"Média","Baixa"))</f>
        <v>Baixa</v>
      </c>
    </row>
    <row r="100" spans="1:28" x14ac:dyDescent="0.25">
      <c r="A100" t="s">
        <v>403</v>
      </c>
      <c r="B100" t="s">
        <v>334</v>
      </c>
      <c r="C100" t="s">
        <v>87</v>
      </c>
      <c r="D100" t="s">
        <v>59</v>
      </c>
      <c r="E100" t="s">
        <v>92</v>
      </c>
      <c r="F100">
        <v>16</v>
      </c>
      <c r="G100">
        <v>47</v>
      </c>
      <c r="H100">
        <v>6</v>
      </c>
      <c r="I100" t="s">
        <v>64</v>
      </c>
      <c r="J100" t="s">
        <v>97</v>
      </c>
      <c r="K100" t="s">
        <v>97</v>
      </c>
      <c r="L100" t="s">
        <v>289</v>
      </c>
      <c r="M100">
        <v>0</v>
      </c>
      <c r="N100" t="str">
        <f t="shared" si="12"/>
        <v>3. 16+ anos</v>
      </c>
      <c r="O100" t="str">
        <f t="shared" si="13"/>
        <v>2. 20 a 49</v>
      </c>
      <c r="P100" t="str">
        <f t="shared" si="14"/>
        <v>3. 6 a 15</v>
      </c>
      <c r="Q100">
        <f t="shared" si="15"/>
        <v>1</v>
      </c>
      <c r="R100">
        <f t="shared" si="16"/>
        <v>0</v>
      </c>
      <c r="S100">
        <f t="shared" si="17"/>
        <v>1</v>
      </c>
      <c r="T100">
        <v>3</v>
      </c>
      <c r="U100" t="s">
        <v>138</v>
      </c>
      <c r="V100" s="18">
        <f t="shared" si="18"/>
        <v>0.43835616438356162</v>
      </c>
      <c r="W100" s="18">
        <f t="shared" si="19"/>
        <v>0.55319148936170215</v>
      </c>
      <c r="X100" s="18">
        <f t="shared" si="20"/>
        <v>0.25294117647058822</v>
      </c>
      <c r="Y100" s="18">
        <f t="shared" si="21"/>
        <v>0.15625</v>
      </c>
      <c r="Z100" s="18">
        <f t="shared" si="22"/>
        <v>0.56634304207119746</v>
      </c>
      <c r="AA100" s="10">
        <f t="shared" si="23"/>
        <v>0.3934163745</v>
      </c>
      <c r="AB100" t="str">
        <f>IF(AA100&gt;=Como_Avaliar!$B$15,"Alta",IF(AA100&gt;=Como_Avaliar!$B$16,"Média","Baixa"))</f>
        <v>Média</v>
      </c>
    </row>
    <row r="101" spans="1:28" x14ac:dyDescent="0.25">
      <c r="A101" t="s">
        <v>404</v>
      </c>
      <c r="B101" t="s">
        <v>327</v>
      </c>
      <c r="C101" t="s">
        <v>86</v>
      </c>
      <c r="D101" t="s">
        <v>56</v>
      </c>
      <c r="E101" t="s">
        <v>93</v>
      </c>
      <c r="F101">
        <v>15</v>
      </c>
      <c r="G101">
        <v>18</v>
      </c>
      <c r="H101">
        <v>2</v>
      </c>
      <c r="I101" t="s">
        <v>62</v>
      </c>
      <c r="J101" t="s">
        <v>97</v>
      </c>
      <c r="K101" t="s">
        <v>97</v>
      </c>
      <c r="L101" t="s">
        <v>293</v>
      </c>
      <c r="M101">
        <v>0</v>
      </c>
      <c r="N101" t="str">
        <f t="shared" si="12"/>
        <v>2. 8 a 15 anos</v>
      </c>
      <c r="O101" t="str">
        <f t="shared" si="13"/>
        <v>1. &lt; 20</v>
      </c>
      <c r="P101" t="str">
        <f t="shared" si="14"/>
        <v>1. 1 a 2</v>
      </c>
      <c r="Q101">
        <f t="shared" si="15"/>
        <v>0</v>
      </c>
      <c r="R101">
        <f t="shared" si="16"/>
        <v>0</v>
      </c>
      <c r="S101">
        <f t="shared" si="17"/>
        <v>1</v>
      </c>
      <c r="T101">
        <v>2</v>
      </c>
      <c r="U101" t="s">
        <v>139</v>
      </c>
      <c r="V101" s="18">
        <f t="shared" si="18"/>
        <v>6.8273092369477914E-2</v>
      </c>
      <c r="W101" s="18">
        <f t="shared" si="19"/>
        <v>8.6792452830188674E-2</v>
      </c>
      <c r="X101" s="18">
        <f t="shared" si="20"/>
        <v>0.10309278350515463</v>
      </c>
      <c r="Y101" s="18">
        <f t="shared" si="21"/>
        <v>0.37662337662337664</v>
      </c>
      <c r="Z101" s="18">
        <f t="shared" si="22"/>
        <v>0.22302158273381295</v>
      </c>
      <c r="AA101" s="10">
        <f t="shared" si="23"/>
        <v>0.1715606576</v>
      </c>
      <c r="AB101" t="str">
        <f>IF(AA101&gt;=Como_Avaliar!$B$15,"Alta",IF(AA101&gt;=Como_Avaliar!$B$16,"Média","Baixa"))</f>
        <v>Baixa</v>
      </c>
    </row>
    <row r="102" spans="1:28" x14ac:dyDescent="0.25">
      <c r="A102" t="s">
        <v>405</v>
      </c>
      <c r="B102" t="s">
        <v>286</v>
      </c>
      <c r="C102" t="s">
        <v>88</v>
      </c>
      <c r="D102" t="s">
        <v>59</v>
      </c>
      <c r="E102" t="s">
        <v>95</v>
      </c>
      <c r="F102">
        <v>8</v>
      </c>
      <c r="G102">
        <v>42</v>
      </c>
      <c r="H102">
        <v>7</v>
      </c>
      <c r="I102" t="s">
        <v>62</v>
      </c>
      <c r="J102" t="s">
        <v>97</v>
      </c>
      <c r="K102" t="s">
        <v>97</v>
      </c>
      <c r="L102" t="s">
        <v>289</v>
      </c>
      <c r="M102">
        <v>0</v>
      </c>
      <c r="N102" t="str">
        <f t="shared" si="12"/>
        <v>2. 8 a 15 anos</v>
      </c>
      <c r="O102" t="str">
        <f t="shared" si="13"/>
        <v>2. 20 a 49</v>
      </c>
      <c r="P102" t="str">
        <f t="shared" si="14"/>
        <v>3. 6 a 15</v>
      </c>
      <c r="Q102">
        <f t="shared" si="15"/>
        <v>0</v>
      </c>
      <c r="R102">
        <f t="shared" si="16"/>
        <v>0</v>
      </c>
      <c r="S102">
        <f t="shared" si="17"/>
        <v>1</v>
      </c>
      <c r="T102">
        <v>3</v>
      </c>
      <c r="U102" t="s">
        <v>138</v>
      </c>
      <c r="V102" s="18">
        <f t="shared" si="18"/>
        <v>0.43835616438356162</v>
      </c>
      <c r="W102" s="18">
        <f t="shared" si="19"/>
        <v>0.55319148936170215</v>
      </c>
      <c r="X102" s="18">
        <f t="shared" si="20"/>
        <v>0.25294117647058822</v>
      </c>
      <c r="Y102" s="18">
        <f t="shared" si="21"/>
        <v>0.37662337662337664</v>
      </c>
      <c r="Z102" s="18">
        <f t="shared" si="22"/>
        <v>0.22302158273381295</v>
      </c>
      <c r="AA102" s="10">
        <f t="shared" si="23"/>
        <v>0.36882675790000002</v>
      </c>
      <c r="AB102" t="str">
        <f>IF(AA102&gt;=Como_Avaliar!$B$15,"Alta",IF(AA102&gt;=Como_Avaliar!$B$16,"Média","Baixa"))</f>
        <v>Média</v>
      </c>
    </row>
    <row r="103" spans="1:28" x14ac:dyDescent="0.25">
      <c r="A103" t="s">
        <v>406</v>
      </c>
      <c r="B103" t="s">
        <v>292</v>
      </c>
      <c r="C103" t="s">
        <v>84</v>
      </c>
      <c r="D103" t="s">
        <v>59</v>
      </c>
      <c r="E103" t="s">
        <v>93</v>
      </c>
      <c r="F103">
        <v>14</v>
      </c>
      <c r="G103">
        <v>40</v>
      </c>
      <c r="H103">
        <v>3</v>
      </c>
      <c r="I103" t="s">
        <v>68</v>
      </c>
      <c r="J103" t="s">
        <v>98</v>
      </c>
      <c r="K103" t="s">
        <v>98</v>
      </c>
      <c r="L103" t="s">
        <v>284</v>
      </c>
      <c r="M103">
        <v>0</v>
      </c>
      <c r="N103" t="str">
        <f t="shared" si="12"/>
        <v>2. 8 a 15 anos</v>
      </c>
      <c r="O103" t="str">
        <f t="shared" si="13"/>
        <v>2. 20 a 49</v>
      </c>
      <c r="P103" t="str">
        <f t="shared" si="14"/>
        <v>2. 3 a 5</v>
      </c>
      <c r="Q103">
        <f t="shared" si="15"/>
        <v>0</v>
      </c>
      <c r="R103">
        <f t="shared" si="16"/>
        <v>0</v>
      </c>
      <c r="S103">
        <f t="shared" si="17"/>
        <v>1</v>
      </c>
      <c r="T103">
        <v>3</v>
      </c>
      <c r="U103" t="s">
        <v>138</v>
      </c>
      <c r="V103" s="18">
        <f t="shared" si="18"/>
        <v>0.43835616438356162</v>
      </c>
      <c r="W103" s="18">
        <f t="shared" si="19"/>
        <v>0.38095238095238093</v>
      </c>
      <c r="X103" s="18">
        <f t="shared" si="20"/>
        <v>0.25294117647058822</v>
      </c>
      <c r="Y103" s="18">
        <f t="shared" si="21"/>
        <v>0.58333333333333337</v>
      </c>
      <c r="Z103" s="18">
        <f t="shared" si="22"/>
        <v>0.22302158273381295</v>
      </c>
      <c r="AA103" s="10">
        <f t="shared" si="23"/>
        <v>0.37572092759999998</v>
      </c>
      <c r="AB103" t="str">
        <f>IF(AA103&gt;=Como_Avaliar!$B$15,"Alta",IF(AA103&gt;=Como_Avaliar!$B$16,"Média","Baixa"))</f>
        <v>Média</v>
      </c>
    </row>
    <row r="104" spans="1:28" x14ac:dyDescent="0.25">
      <c r="A104" t="s">
        <v>407</v>
      </c>
      <c r="B104" t="s">
        <v>295</v>
      </c>
      <c r="C104" t="s">
        <v>84</v>
      </c>
      <c r="D104" t="s">
        <v>56</v>
      </c>
      <c r="E104" t="s">
        <v>91</v>
      </c>
      <c r="F104">
        <v>23</v>
      </c>
      <c r="G104">
        <v>20</v>
      </c>
      <c r="H104">
        <v>1</v>
      </c>
      <c r="I104" t="s">
        <v>61</v>
      </c>
      <c r="J104" t="s">
        <v>98</v>
      </c>
      <c r="K104" t="s">
        <v>97</v>
      </c>
      <c r="L104" t="s">
        <v>289</v>
      </c>
      <c r="M104">
        <v>0</v>
      </c>
      <c r="N104" t="str">
        <f t="shared" si="12"/>
        <v>3. 16+ anos</v>
      </c>
      <c r="O104" t="str">
        <f t="shared" si="13"/>
        <v>2. 20 a 49</v>
      </c>
      <c r="P104" t="str">
        <f t="shared" si="14"/>
        <v>1. 1 a 2</v>
      </c>
      <c r="Q104">
        <f t="shared" si="15"/>
        <v>1</v>
      </c>
      <c r="R104">
        <f t="shared" si="16"/>
        <v>0</v>
      </c>
      <c r="S104">
        <f t="shared" si="17"/>
        <v>1</v>
      </c>
      <c r="T104">
        <v>2</v>
      </c>
      <c r="U104" t="s">
        <v>139</v>
      </c>
      <c r="V104" s="18">
        <f t="shared" si="18"/>
        <v>6.8273092369477914E-2</v>
      </c>
      <c r="W104" s="18">
        <f t="shared" si="19"/>
        <v>8.6792452830188674E-2</v>
      </c>
      <c r="X104" s="18">
        <f t="shared" si="20"/>
        <v>0.25294117647058822</v>
      </c>
      <c r="Y104" s="18">
        <f t="shared" si="21"/>
        <v>0</v>
      </c>
      <c r="Z104" s="18">
        <f t="shared" si="22"/>
        <v>0.56634304207119746</v>
      </c>
      <c r="AA104" s="10">
        <f t="shared" si="23"/>
        <v>0.19486995269999999</v>
      </c>
      <c r="AB104" t="str">
        <f>IF(AA104&gt;=Como_Avaliar!$B$15,"Alta",IF(AA104&gt;=Como_Avaliar!$B$16,"Média","Baixa"))</f>
        <v>Baixa</v>
      </c>
    </row>
    <row r="105" spans="1:28" x14ac:dyDescent="0.25">
      <c r="A105" t="s">
        <v>408</v>
      </c>
      <c r="B105" t="s">
        <v>305</v>
      </c>
      <c r="C105" t="s">
        <v>89</v>
      </c>
      <c r="D105" t="s">
        <v>58</v>
      </c>
      <c r="E105" t="s">
        <v>91</v>
      </c>
      <c r="F105">
        <v>28</v>
      </c>
      <c r="G105">
        <v>129</v>
      </c>
      <c r="H105">
        <v>26</v>
      </c>
      <c r="I105" t="s">
        <v>65</v>
      </c>
      <c r="J105" t="s">
        <v>97</v>
      </c>
      <c r="K105" t="s">
        <v>98</v>
      </c>
      <c r="L105" t="s">
        <v>289</v>
      </c>
      <c r="M105">
        <v>1</v>
      </c>
      <c r="N105" t="str">
        <f t="shared" si="12"/>
        <v>3. 16+ anos</v>
      </c>
      <c r="O105" t="str">
        <f t="shared" si="13"/>
        <v>3. 50 a 149</v>
      </c>
      <c r="P105" t="str">
        <f t="shared" si="14"/>
        <v>4. 16+</v>
      </c>
      <c r="Q105">
        <f t="shared" si="15"/>
        <v>0</v>
      </c>
      <c r="R105">
        <f t="shared" si="16"/>
        <v>1</v>
      </c>
      <c r="S105">
        <f t="shared" si="17"/>
        <v>0</v>
      </c>
      <c r="V105" s="18">
        <f t="shared" si="18"/>
        <v>0.93975903614457834</v>
      </c>
      <c r="W105" s="18">
        <f t="shared" si="19"/>
        <v>0.97272727272727277</v>
      </c>
      <c r="X105" s="18">
        <f t="shared" si="20"/>
        <v>0.58992805755395683</v>
      </c>
      <c r="Y105" s="18">
        <f t="shared" si="21"/>
        <v>0.39751552795031053</v>
      </c>
      <c r="Z105" s="18">
        <f t="shared" si="22"/>
        <v>0.56634304207119746</v>
      </c>
      <c r="AA105" s="10">
        <f t="shared" si="23"/>
        <v>0.6932545873</v>
      </c>
      <c r="AB105" t="str">
        <f>IF(AA105&gt;=Como_Avaliar!$B$15,"Alta",IF(AA105&gt;=Como_Avaliar!$B$16,"Média","Baixa"))</f>
        <v>Alta</v>
      </c>
    </row>
    <row r="106" spans="1:28" x14ac:dyDescent="0.25">
      <c r="A106" t="s">
        <v>409</v>
      </c>
      <c r="B106" t="s">
        <v>288</v>
      </c>
      <c r="C106" t="s">
        <v>88</v>
      </c>
      <c r="D106" t="s">
        <v>59</v>
      </c>
      <c r="E106" t="s">
        <v>93</v>
      </c>
      <c r="F106">
        <v>25</v>
      </c>
      <c r="G106">
        <v>49</v>
      </c>
      <c r="H106">
        <v>10</v>
      </c>
      <c r="I106" t="s">
        <v>65</v>
      </c>
      <c r="J106" t="s">
        <v>97</v>
      </c>
      <c r="K106" t="s">
        <v>97</v>
      </c>
      <c r="L106" t="s">
        <v>284</v>
      </c>
      <c r="M106">
        <v>0</v>
      </c>
      <c r="N106" t="str">
        <f t="shared" si="12"/>
        <v>3. 16+ anos</v>
      </c>
      <c r="O106" t="str">
        <f t="shared" si="13"/>
        <v>2. 20 a 49</v>
      </c>
      <c r="P106" t="str">
        <f t="shared" si="14"/>
        <v>3. 6 a 15</v>
      </c>
      <c r="Q106">
        <f t="shared" si="15"/>
        <v>0</v>
      </c>
      <c r="R106">
        <f t="shared" si="16"/>
        <v>0</v>
      </c>
      <c r="S106">
        <f t="shared" si="17"/>
        <v>1</v>
      </c>
      <c r="T106">
        <v>4</v>
      </c>
      <c r="U106" t="s">
        <v>137</v>
      </c>
      <c r="V106" s="18">
        <f t="shared" si="18"/>
        <v>0.43835616438356162</v>
      </c>
      <c r="W106" s="18">
        <f t="shared" si="19"/>
        <v>0.55319148936170215</v>
      </c>
      <c r="X106" s="18">
        <f t="shared" si="20"/>
        <v>0.25294117647058822</v>
      </c>
      <c r="Y106" s="18">
        <f t="shared" si="21"/>
        <v>0.39751552795031053</v>
      </c>
      <c r="Z106" s="18">
        <f t="shared" si="22"/>
        <v>0.56634304207119746</v>
      </c>
      <c r="AA106" s="10">
        <f t="shared" si="23"/>
        <v>0.44166948</v>
      </c>
      <c r="AB106" t="str">
        <f>IF(AA106&gt;=Como_Avaliar!$B$15,"Alta",IF(AA106&gt;=Como_Avaliar!$B$16,"Média","Baixa"))</f>
        <v>Média</v>
      </c>
    </row>
    <row r="107" spans="1:28" x14ac:dyDescent="0.25">
      <c r="A107" t="s">
        <v>410</v>
      </c>
      <c r="B107" t="s">
        <v>283</v>
      </c>
      <c r="C107" t="s">
        <v>89</v>
      </c>
      <c r="D107" t="s">
        <v>56</v>
      </c>
      <c r="E107" t="s">
        <v>94</v>
      </c>
      <c r="F107">
        <v>8</v>
      </c>
      <c r="G107">
        <v>7</v>
      </c>
      <c r="H107">
        <v>1</v>
      </c>
      <c r="I107" t="s">
        <v>65</v>
      </c>
      <c r="J107" t="s">
        <v>97</v>
      </c>
      <c r="K107" t="s">
        <v>98</v>
      </c>
      <c r="L107" t="s">
        <v>289</v>
      </c>
      <c r="M107">
        <v>0</v>
      </c>
      <c r="N107" t="str">
        <f t="shared" si="12"/>
        <v>2. 8 a 15 anos</v>
      </c>
      <c r="O107" t="str">
        <f t="shared" si="13"/>
        <v>1. &lt; 20</v>
      </c>
      <c r="P107" t="str">
        <f t="shared" si="14"/>
        <v>1. 1 a 2</v>
      </c>
      <c r="Q107">
        <f t="shared" si="15"/>
        <v>0</v>
      </c>
      <c r="R107">
        <f t="shared" si="16"/>
        <v>0</v>
      </c>
      <c r="S107">
        <f t="shared" si="17"/>
        <v>1</v>
      </c>
      <c r="T107">
        <v>1</v>
      </c>
      <c r="U107" t="s">
        <v>139</v>
      </c>
      <c r="V107" s="18">
        <f t="shared" si="18"/>
        <v>6.8273092369477914E-2</v>
      </c>
      <c r="W107" s="18">
        <f t="shared" si="19"/>
        <v>8.6792452830188674E-2</v>
      </c>
      <c r="X107" s="18">
        <f t="shared" si="20"/>
        <v>0.10309278350515463</v>
      </c>
      <c r="Y107" s="18">
        <f t="shared" si="21"/>
        <v>0.39751552795031053</v>
      </c>
      <c r="Z107" s="18">
        <f t="shared" si="22"/>
        <v>0.22302158273381295</v>
      </c>
      <c r="AA107" s="10">
        <f t="shared" si="23"/>
        <v>0.17573908790000001</v>
      </c>
      <c r="AB107" t="str">
        <f>IF(AA107&gt;=Como_Avaliar!$B$15,"Alta",IF(AA107&gt;=Como_Avaliar!$B$16,"Média","Baixa"))</f>
        <v>Baixa</v>
      </c>
    </row>
    <row r="108" spans="1:28" x14ac:dyDescent="0.25">
      <c r="A108" t="s">
        <v>411</v>
      </c>
      <c r="B108" t="s">
        <v>286</v>
      </c>
      <c r="C108" t="s">
        <v>88</v>
      </c>
      <c r="D108" t="s">
        <v>58</v>
      </c>
      <c r="E108" t="s">
        <v>95</v>
      </c>
      <c r="F108">
        <v>21</v>
      </c>
      <c r="G108">
        <v>87</v>
      </c>
      <c r="H108">
        <v>29</v>
      </c>
      <c r="I108" t="s">
        <v>65</v>
      </c>
      <c r="J108" t="s">
        <v>97</v>
      </c>
      <c r="K108" t="s">
        <v>97</v>
      </c>
      <c r="L108" t="s">
        <v>298</v>
      </c>
      <c r="M108">
        <v>1</v>
      </c>
      <c r="N108" t="str">
        <f t="shared" si="12"/>
        <v>3. 16+ anos</v>
      </c>
      <c r="O108" t="str">
        <f t="shared" si="13"/>
        <v>3. 50 a 149</v>
      </c>
      <c r="P108" t="str">
        <f t="shared" si="14"/>
        <v>4. 16+</v>
      </c>
      <c r="Q108">
        <f t="shared" si="15"/>
        <v>0</v>
      </c>
      <c r="R108">
        <f t="shared" si="16"/>
        <v>1</v>
      </c>
      <c r="S108">
        <f t="shared" si="17"/>
        <v>0</v>
      </c>
      <c r="V108" s="18">
        <f t="shared" si="18"/>
        <v>0.93975903614457834</v>
      </c>
      <c r="W108" s="18">
        <f t="shared" si="19"/>
        <v>0.97272727272727277</v>
      </c>
      <c r="X108" s="18">
        <f t="shared" si="20"/>
        <v>0.58992805755395683</v>
      </c>
      <c r="Y108" s="18">
        <f t="shared" si="21"/>
        <v>0.39751552795031053</v>
      </c>
      <c r="Z108" s="18">
        <f t="shared" si="22"/>
        <v>0.56634304207119746</v>
      </c>
      <c r="AA108" s="10">
        <f t="shared" si="23"/>
        <v>0.6932545873</v>
      </c>
      <c r="AB108" t="str">
        <f>IF(AA108&gt;=Como_Avaliar!$B$15,"Alta",IF(AA108&gt;=Como_Avaliar!$B$16,"Média","Baixa"))</f>
        <v>Alta</v>
      </c>
    </row>
    <row r="109" spans="1:28" x14ac:dyDescent="0.25">
      <c r="A109" t="s">
        <v>412</v>
      </c>
      <c r="B109" t="s">
        <v>301</v>
      </c>
      <c r="C109" t="s">
        <v>88</v>
      </c>
      <c r="D109" t="s">
        <v>56</v>
      </c>
      <c r="E109" t="s">
        <v>90</v>
      </c>
      <c r="F109">
        <v>16</v>
      </c>
      <c r="G109">
        <v>22</v>
      </c>
      <c r="H109">
        <v>1</v>
      </c>
      <c r="I109" t="s">
        <v>62</v>
      </c>
      <c r="J109" t="s">
        <v>97</v>
      </c>
      <c r="K109" t="s">
        <v>98</v>
      </c>
      <c r="L109" t="s">
        <v>322</v>
      </c>
      <c r="M109">
        <v>0</v>
      </c>
      <c r="N109" t="str">
        <f t="shared" si="12"/>
        <v>3. 16+ anos</v>
      </c>
      <c r="O109" t="str">
        <f t="shared" si="13"/>
        <v>2. 20 a 49</v>
      </c>
      <c r="P109" t="str">
        <f t="shared" si="14"/>
        <v>1. 1 a 2</v>
      </c>
      <c r="Q109">
        <f t="shared" si="15"/>
        <v>0</v>
      </c>
      <c r="R109">
        <f t="shared" si="16"/>
        <v>0</v>
      </c>
      <c r="S109">
        <f t="shared" si="17"/>
        <v>0</v>
      </c>
      <c r="V109" s="18">
        <f t="shared" si="18"/>
        <v>6.8273092369477914E-2</v>
      </c>
      <c r="W109" s="18">
        <f t="shared" si="19"/>
        <v>8.6792452830188674E-2</v>
      </c>
      <c r="X109" s="18">
        <f t="shared" si="20"/>
        <v>0.25294117647058822</v>
      </c>
      <c r="Y109" s="18">
        <f t="shared" si="21"/>
        <v>0.37662337662337664</v>
      </c>
      <c r="Z109" s="18">
        <f t="shared" si="22"/>
        <v>0.56634304207119746</v>
      </c>
      <c r="AA109" s="10">
        <f t="shared" si="23"/>
        <v>0.2701946281</v>
      </c>
      <c r="AB109" t="str">
        <f>IF(AA109&gt;=Como_Avaliar!$B$15,"Alta",IF(AA109&gt;=Como_Avaliar!$B$16,"Média","Baixa"))</f>
        <v>Média</v>
      </c>
    </row>
    <row r="110" spans="1:28" x14ac:dyDescent="0.25">
      <c r="A110" t="s">
        <v>413</v>
      </c>
      <c r="B110" t="s">
        <v>381</v>
      </c>
      <c r="C110" t="s">
        <v>88</v>
      </c>
      <c r="D110" t="s">
        <v>59</v>
      </c>
      <c r="E110" t="s">
        <v>90</v>
      </c>
      <c r="F110">
        <v>13</v>
      </c>
      <c r="G110">
        <v>45</v>
      </c>
      <c r="H110">
        <v>9</v>
      </c>
      <c r="I110" t="s">
        <v>65</v>
      </c>
      <c r="J110" t="s">
        <v>97</v>
      </c>
      <c r="K110" t="s">
        <v>97</v>
      </c>
      <c r="L110" t="s">
        <v>298</v>
      </c>
      <c r="M110">
        <v>0</v>
      </c>
      <c r="N110" t="str">
        <f t="shared" si="12"/>
        <v>2. 8 a 15 anos</v>
      </c>
      <c r="O110" t="str">
        <f t="shared" si="13"/>
        <v>2. 20 a 49</v>
      </c>
      <c r="P110" t="str">
        <f t="shared" si="14"/>
        <v>3. 6 a 15</v>
      </c>
      <c r="Q110">
        <f t="shared" si="15"/>
        <v>0</v>
      </c>
      <c r="R110">
        <f t="shared" si="16"/>
        <v>0</v>
      </c>
      <c r="S110">
        <f t="shared" si="17"/>
        <v>1</v>
      </c>
      <c r="T110">
        <v>3</v>
      </c>
      <c r="U110" t="s">
        <v>138</v>
      </c>
      <c r="V110" s="18">
        <f t="shared" si="18"/>
        <v>0.43835616438356162</v>
      </c>
      <c r="W110" s="18">
        <f t="shared" si="19"/>
        <v>0.55319148936170215</v>
      </c>
      <c r="X110" s="18">
        <f t="shared" si="20"/>
        <v>0.25294117647058822</v>
      </c>
      <c r="Y110" s="18">
        <f t="shared" si="21"/>
        <v>0.39751552795031053</v>
      </c>
      <c r="Z110" s="18">
        <f t="shared" si="22"/>
        <v>0.22302158273381295</v>
      </c>
      <c r="AA110" s="10">
        <f t="shared" si="23"/>
        <v>0.3730051882</v>
      </c>
      <c r="AB110" t="str">
        <f>IF(AA110&gt;=Como_Avaliar!$B$15,"Alta",IF(AA110&gt;=Como_Avaliar!$B$16,"Média","Baixa"))</f>
        <v>Média</v>
      </c>
    </row>
    <row r="111" spans="1:28" x14ac:dyDescent="0.25">
      <c r="A111" t="s">
        <v>414</v>
      </c>
      <c r="B111" t="s">
        <v>321</v>
      </c>
      <c r="C111" t="s">
        <v>86</v>
      </c>
      <c r="D111" t="s">
        <v>59</v>
      </c>
      <c r="E111" t="s">
        <v>94</v>
      </c>
      <c r="F111">
        <v>18</v>
      </c>
      <c r="G111">
        <v>46</v>
      </c>
      <c r="H111">
        <v>5</v>
      </c>
      <c r="I111" t="s">
        <v>60</v>
      </c>
      <c r="J111" t="s">
        <v>97</v>
      </c>
      <c r="K111" t="s">
        <v>98</v>
      </c>
      <c r="L111" t="s">
        <v>322</v>
      </c>
      <c r="M111">
        <v>0</v>
      </c>
      <c r="N111" t="str">
        <f t="shared" si="12"/>
        <v>3. 16+ anos</v>
      </c>
      <c r="O111" t="str">
        <f t="shared" si="13"/>
        <v>2. 20 a 49</v>
      </c>
      <c r="P111" t="str">
        <f t="shared" si="14"/>
        <v>2. 3 a 5</v>
      </c>
      <c r="Q111">
        <f t="shared" si="15"/>
        <v>0</v>
      </c>
      <c r="R111">
        <f t="shared" si="16"/>
        <v>0</v>
      </c>
      <c r="S111">
        <f t="shared" si="17"/>
        <v>0</v>
      </c>
      <c r="V111" s="18">
        <f t="shared" si="18"/>
        <v>0.43835616438356162</v>
      </c>
      <c r="W111" s="18">
        <f t="shared" si="19"/>
        <v>0.38095238095238093</v>
      </c>
      <c r="X111" s="18">
        <f t="shared" si="20"/>
        <v>0.25294117647058822</v>
      </c>
      <c r="Y111" s="18">
        <f t="shared" si="21"/>
        <v>0.65217391304347827</v>
      </c>
      <c r="Z111" s="18">
        <f t="shared" si="22"/>
        <v>0.56634304207119746</v>
      </c>
      <c r="AA111" s="10">
        <f t="shared" si="23"/>
        <v>0.45815333539999997</v>
      </c>
      <c r="AB111" t="str">
        <f>IF(AA111&gt;=Como_Avaliar!$B$15,"Alta",IF(AA111&gt;=Como_Avaliar!$B$16,"Média","Baixa"))</f>
        <v>Média</v>
      </c>
    </row>
    <row r="112" spans="1:28" x14ac:dyDescent="0.25">
      <c r="A112" t="s">
        <v>415</v>
      </c>
      <c r="B112" t="s">
        <v>297</v>
      </c>
      <c r="C112" t="s">
        <v>86</v>
      </c>
      <c r="D112" t="s">
        <v>56</v>
      </c>
      <c r="E112" t="s">
        <v>92</v>
      </c>
      <c r="F112">
        <v>15</v>
      </c>
      <c r="G112">
        <v>4</v>
      </c>
      <c r="H112">
        <v>2</v>
      </c>
      <c r="I112" t="s">
        <v>65</v>
      </c>
      <c r="J112" t="s">
        <v>97</v>
      </c>
      <c r="K112" t="s">
        <v>97</v>
      </c>
      <c r="L112" t="s">
        <v>284</v>
      </c>
      <c r="M112">
        <v>0</v>
      </c>
      <c r="N112" t="str">
        <f t="shared" si="12"/>
        <v>2. 8 a 15 anos</v>
      </c>
      <c r="O112" t="str">
        <f t="shared" si="13"/>
        <v>1. &lt; 20</v>
      </c>
      <c r="P112" t="str">
        <f t="shared" si="14"/>
        <v>1. 1 a 2</v>
      </c>
      <c r="Q112">
        <f t="shared" si="15"/>
        <v>0</v>
      </c>
      <c r="R112">
        <f t="shared" si="16"/>
        <v>0</v>
      </c>
      <c r="S112">
        <f t="shared" si="17"/>
        <v>1</v>
      </c>
      <c r="T112">
        <v>1</v>
      </c>
      <c r="U112" t="s">
        <v>139</v>
      </c>
      <c r="V112" s="18">
        <f t="shared" si="18"/>
        <v>6.8273092369477914E-2</v>
      </c>
      <c r="W112" s="18">
        <f t="shared" si="19"/>
        <v>8.6792452830188674E-2</v>
      </c>
      <c r="X112" s="18">
        <f t="shared" si="20"/>
        <v>0.10309278350515463</v>
      </c>
      <c r="Y112" s="18">
        <f t="shared" si="21"/>
        <v>0.39751552795031053</v>
      </c>
      <c r="Z112" s="18">
        <f t="shared" si="22"/>
        <v>0.22302158273381295</v>
      </c>
      <c r="AA112" s="10">
        <f t="shared" si="23"/>
        <v>0.17573908790000001</v>
      </c>
      <c r="AB112" t="str">
        <f>IF(AA112&gt;=Como_Avaliar!$B$15,"Alta",IF(AA112&gt;=Como_Avaliar!$B$16,"Média","Baixa"))</f>
        <v>Baixa</v>
      </c>
    </row>
    <row r="113" spans="1:28" x14ac:dyDescent="0.25">
      <c r="A113" t="s">
        <v>416</v>
      </c>
      <c r="B113" t="s">
        <v>288</v>
      </c>
      <c r="C113" t="s">
        <v>88</v>
      </c>
      <c r="D113" t="s">
        <v>58</v>
      </c>
      <c r="E113" t="s">
        <v>96</v>
      </c>
      <c r="F113">
        <v>21</v>
      </c>
      <c r="G113">
        <v>231</v>
      </c>
      <c r="H113">
        <v>17</v>
      </c>
      <c r="I113" t="s">
        <v>62</v>
      </c>
      <c r="J113" t="s">
        <v>97</v>
      </c>
      <c r="K113" t="s">
        <v>98</v>
      </c>
      <c r="L113" t="s">
        <v>284</v>
      </c>
      <c r="M113">
        <v>1</v>
      </c>
      <c r="N113" t="str">
        <f t="shared" si="12"/>
        <v>3. 16+ anos</v>
      </c>
      <c r="O113" t="str">
        <f t="shared" si="13"/>
        <v>4. 150+</v>
      </c>
      <c r="P113" t="str">
        <f t="shared" si="14"/>
        <v>4. 16+</v>
      </c>
      <c r="Q113">
        <f t="shared" si="15"/>
        <v>0</v>
      </c>
      <c r="R113">
        <f t="shared" si="16"/>
        <v>1</v>
      </c>
      <c r="S113">
        <f t="shared" si="17"/>
        <v>0</v>
      </c>
      <c r="V113" s="18">
        <f t="shared" si="18"/>
        <v>0.93975903614457834</v>
      </c>
      <c r="W113" s="18">
        <f t="shared" si="19"/>
        <v>0.97272727272727277</v>
      </c>
      <c r="X113" s="18">
        <f t="shared" si="20"/>
        <v>0.97938144329896903</v>
      </c>
      <c r="Y113" s="18">
        <f t="shared" si="21"/>
        <v>0.37662337662337664</v>
      </c>
      <c r="Z113" s="18">
        <f t="shared" si="22"/>
        <v>0.56634304207119746</v>
      </c>
      <c r="AA113" s="10">
        <f t="shared" si="23"/>
        <v>0.7669668342</v>
      </c>
      <c r="AB113" t="str">
        <f>IF(AA113&gt;=Como_Avaliar!$B$15,"Alta",IF(AA113&gt;=Como_Avaliar!$B$16,"Média","Baixa"))</f>
        <v>Alta</v>
      </c>
    </row>
    <row r="114" spans="1:28" x14ac:dyDescent="0.25">
      <c r="A114" t="s">
        <v>417</v>
      </c>
      <c r="B114" t="s">
        <v>305</v>
      </c>
      <c r="C114" t="s">
        <v>89</v>
      </c>
      <c r="D114" t="s">
        <v>56</v>
      </c>
      <c r="E114" t="s">
        <v>95</v>
      </c>
      <c r="F114">
        <v>24</v>
      </c>
      <c r="G114">
        <v>19</v>
      </c>
      <c r="H114">
        <v>1</v>
      </c>
      <c r="I114" t="s">
        <v>65</v>
      </c>
      <c r="J114" t="s">
        <v>97</v>
      </c>
      <c r="K114" t="s">
        <v>98</v>
      </c>
      <c r="L114" t="s">
        <v>289</v>
      </c>
      <c r="M114">
        <v>0</v>
      </c>
      <c r="N114" t="str">
        <f t="shared" si="12"/>
        <v>3. 16+ anos</v>
      </c>
      <c r="O114" t="str">
        <f t="shared" si="13"/>
        <v>1. &lt; 20</v>
      </c>
      <c r="P114" t="str">
        <f t="shared" si="14"/>
        <v>1. 1 a 2</v>
      </c>
      <c r="Q114">
        <f t="shared" si="15"/>
        <v>0</v>
      </c>
      <c r="R114">
        <f t="shared" si="16"/>
        <v>0</v>
      </c>
      <c r="S114">
        <f t="shared" si="17"/>
        <v>1</v>
      </c>
      <c r="T114">
        <v>2</v>
      </c>
      <c r="U114" t="s">
        <v>139</v>
      </c>
      <c r="V114" s="18">
        <f t="shared" si="18"/>
        <v>6.8273092369477914E-2</v>
      </c>
      <c r="W114" s="18">
        <f t="shared" si="19"/>
        <v>8.6792452830188674E-2</v>
      </c>
      <c r="X114" s="18">
        <f t="shared" si="20"/>
        <v>0.10309278350515463</v>
      </c>
      <c r="Y114" s="18">
        <f t="shared" si="21"/>
        <v>0.39751552795031053</v>
      </c>
      <c r="Z114" s="18">
        <f t="shared" si="22"/>
        <v>0.56634304207119746</v>
      </c>
      <c r="AA114" s="10">
        <f t="shared" si="23"/>
        <v>0.24440337970000001</v>
      </c>
      <c r="AB114" t="str">
        <f>IF(AA114&gt;=Como_Avaliar!$B$15,"Alta",IF(AA114&gt;=Como_Avaliar!$B$16,"Média","Baixa"))</f>
        <v>Média</v>
      </c>
    </row>
    <row r="115" spans="1:28" x14ac:dyDescent="0.25">
      <c r="A115" t="s">
        <v>418</v>
      </c>
      <c r="B115" t="s">
        <v>286</v>
      </c>
      <c r="C115" t="s">
        <v>88</v>
      </c>
      <c r="D115" t="s">
        <v>57</v>
      </c>
      <c r="E115" t="s">
        <v>91</v>
      </c>
      <c r="F115">
        <v>26</v>
      </c>
      <c r="G115">
        <v>431</v>
      </c>
      <c r="H115">
        <v>77</v>
      </c>
      <c r="I115" t="s">
        <v>66</v>
      </c>
      <c r="J115" t="s">
        <v>97</v>
      </c>
      <c r="K115" t="s">
        <v>97</v>
      </c>
      <c r="L115" t="s">
        <v>298</v>
      </c>
      <c r="M115">
        <v>1</v>
      </c>
      <c r="N115" t="str">
        <f t="shared" si="12"/>
        <v>3. 16+ anos</v>
      </c>
      <c r="O115" t="str">
        <f t="shared" si="13"/>
        <v>4. 150+</v>
      </c>
      <c r="P115" t="str">
        <f t="shared" si="14"/>
        <v>4. 16+</v>
      </c>
      <c r="Q115">
        <f t="shared" si="15"/>
        <v>0</v>
      </c>
      <c r="R115">
        <f t="shared" si="16"/>
        <v>1</v>
      </c>
      <c r="S115">
        <f t="shared" si="17"/>
        <v>0</v>
      </c>
      <c r="V115" s="18">
        <f t="shared" si="18"/>
        <v>1</v>
      </c>
      <c r="W115" s="18">
        <f t="shared" si="19"/>
        <v>0.97272727272727277</v>
      </c>
      <c r="X115" s="18">
        <f t="shared" si="20"/>
        <v>0.97938144329896903</v>
      </c>
      <c r="Y115" s="18">
        <f t="shared" si="21"/>
        <v>1</v>
      </c>
      <c r="Z115" s="18">
        <f t="shared" si="22"/>
        <v>0.56634304207119746</v>
      </c>
      <c r="AA115" s="10">
        <f t="shared" si="23"/>
        <v>0.9036903516</v>
      </c>
      <c r="AB115" t="str">
        <f>IF(AA115&gt;=Como_Avaliar!$B$15,"Alta",IF(AA115&gt;=Como_Avaliar!$B$16,"Média","Baixa"))</f>
        <v>Alta</v>
      </c>
    </row>
    <row r="116" spans="1:28" x14ac:dyDescent="0.25">
      <c r="A116" t="s">
        <v>419</v>
      </c>
      <c r="B116" t="s">
        <v>355</v>
      </c>
      <c r="C116" t="s">
        <v>86</v>
      </c>
      <c r="D116" t="s">
        <v>59</v>
      </c>
      <c r="E116" t="s">
        <v>95</v>
      </c>
      <c r="F116">
        <v>25</v>
      </c>
      <c r="G116">
        <v>44</v>
      </c>
      <c r="H116">
        <v>9</v>
      </c>
      <c r="I116" t="s">
        <v>64</v>
      </c>
      <c r="J116" t="s">
        <v>98</v>
      </c>
      <c r="K116" t="s">
        <v>97</v>
      </c>
      <c r="L116" t="s">
        <v>322</v>
      </c>
      <c r="M116">
        <v>1</v>
      </c>
      <c r="N116" t="str">
        <f t="shared" si="12"/>
        <v>3. 16+ anos</v>
      </c>
      <c r="O116" t="str">
        <f t="shared" si="13"/>
        <v>2. 20 a 49</v>
      </c>
      <c r="P116" t="str">
        <f t="shared" si="14"/>
        <v>3. 6 a 15</v>
      </c>
      <c r="Q116">
        <f t="shared" si="15"/>
        <v>1</v>
      </c>
      <c r="R116">
        <f t="shared" si="16"/>
        <v>0</v>
      </c>
      <c r="S116">
        <f t="shared" si="17"/>
        <v>0</v>
      </c>
      <c r="V116" s="18">
        <f t="shared" si="18"/>
        <v>0.43835616438356162</v>
      </c>
      <c r="W116" s="18">
        <f t="shared" si="19"/>
        <v>0.55319148936170215</v>
      </c>
      <c r="X116" s="18">
        <f t="shared" si="20"/>
        <v>0.25294117647058822</v>
      </c>
      <c r="Y116" s="18">
        <f t="shared" si="21"/>
        <v>0.15625</v>
      </c>
      <c r="Z116" s="18">
        <f t="shared" si="22"/>
        <v>0.56634304207119746</v>
      </c>
      <c r="AA116" s="10">
        <f t="shared" si="23"/>
        <v>0.3934163745</v>
      </c>
      <c r="AB116" t="str">
        <f>IF(AA116&gt;=Como_Avaliar!$B$15,"Alta",IF(AA116&gt;=Como_Avaliar!$B$16,"Média","Baixa"))</f>
        <v>Média</v>
      </c>
    </row>
    <row r="117" spans="1:28" x14ac:dyDescent="0.25">
      <c r="A117" t="s">
        <v>420</v>
      </c>
      <c r="B117" t="s">
        <v>297</v>
      </c>
      <c r="C117" t="s">
        <v>86</v>
      </c>
      <c r="D117" t="s">
        <v>56</v>
      </c>
      <c r="E117" t="s">
        <v>90</v>
      </c>
      <c r="F117">
        <v>28</v>
      </c>
      <c r="G117">
        <v>4</v>
      </c>
      <c r="H117">
        <v>1</v>
      </c>
      <c r="I117" t="s">
        <v>63</v>
      </c>
      <c r="J117" t="s">
        <v>97</v>
      </c>
      <c r="K117" t="s">
        <v>98</v>
      </c>
      <c r="L117" t="s">
        <v>322</v>
      </c>
      <c r="M117">
        <v>0</v>
      </c>
      <c r="N117" t="str">
        <f t="shared" si="12"/>
        <v>3. 16+ anos</v>
      </c>
      <c r="O117" t="str">
        <f t="shared" si="13"/>
        <v>1. &lt; 20</v>
      </c>
      <c r="P117" t="str">
        <f t="shared" si="14"/>
        <v>1. 1 a 2</v>
      </c>
      <c r="Q117">
        <f t="shared" si="15"/>
        <v>1</v>
      </c>
      <c r="R117">
        <f t="shared" si="16"/>
        <v>0</v>
      </c>
      <c r="S117">
        <f t="shared" si="17"/>
        <v>0</v>
      </c>
      <c r="V117" s="18">
        <f t="shared" si="18"/>
        <v>6.8273092369477914E-2</v>
      </c>
      <c r="W117" s="18">
        <f t="shared" si="19"/>
        <v>8.6792452830188674E-2</v>
      </c>
      <c r="X117" s="18">
        <f t="shared" si="20"/>
        <v>0.10309278350515463</v>
      </c>
      <c r="Y117" s="18">
        <f t="shared" si="21"/>
        <v>6.5217391304347824E-2</v>
      </c>
      <c r="Z117" s="18">
        <f t="shared" si="22"/>
        <v>0.56634304207119746</v>
      </c>
      <c r="AA117" s="10">
        <f t="shared" si="23"/>
        <v>0.17794375239999999</v>
      </c>
      <c r="AB117" t="str">
        <f>IF(AA117&gt;=Como_Avaliar!$B$15,"Alta",IF(AA117&gt;=Como_Avaliar!$B$16,"Média","Baixa"))</f>
        <v>Baixa</v>
      </c>
    </row>
    <row r="118" spans="1:28" x14ac:dyDescent="0.25">
      <c r="A118" t="s">
        <v>421</v>
      </c>
      <c r="B118" t="s">
        <v>288</v>
      </c>
      <c r="C118" t="s">
        <v>88</v>
      </c>
      <c r="D118" t="s">
        <v>56</v>
      </c>
      <c r="E118" t="s">
        <v>94</v>
      </c>
      <c r="F118">
        <v>28</v>
      </c>
      <c r="G118">
        <v>6</v>
      </c>
      <c r="H118">
        <v>2</v>
      </c>
      <c r="I118" t="s">
        <v>62</v>
      </c>
      <c r="J118" t="s">
        <v>97</v>
      </c>
      <c r="K118" t="s">
        <v>98</v>
      </c>
      <c r="L118" t="s">
        <v>322</v>
      </c>
      <c r="M118">
        <v>0</v>
      </c>
      <c r="N118" t="str">
        <f t="shared" si="12"/>
        <v>3. 16+ anos</v>
      </c>
      <c r="O118" t="str">
        <f t="shared" si="13"/>
        <v>1. &lt; 20</v>
      </c>
      <c r="P118" t="str">
        <f t="shared" si="14"/>
        <v>1. 1 a 2</v>
      </c>
      <c r="Q118">
        <f t="shared" si="15"/>
        <v>0</v>
      </c>
      <c r="R118">
        <f t="shared" si="16"/>
        <v>0</v>
      </c>
      <c r="S118">
        <f t="shared" si="17"/>
        <v>0</v>
      </c>
      <c r="V118" s="18">
        <f t="shared" si="18"/>
        <v>6.8273092369477914E-2</v>
      </c>
      <c r="W118" s="18">
        <f t="shared" si="19"/>
        <v>8.6792452830188674E-2</v>
      </c>
      <c r="X118" s="18">
        <f t="shared" si="20"/>
        <v>0.10309278350515463</v>
      </c>
      <c r="Y118" s="18">
        <f t="shared" si="21"/>
        <v>0.37662337662337664</v>
      </c>
      <c r="Z118" s="18">
        <f t="shared" si="22"/>
        <v>0.56634304207119746</v>
      </c>
      <c r="AA118" s="10">
        <f t="shared" si="23"/>
        <v>0.24022494950000001</v>
      </c>
      <c r="AB118" t="str">
        <f>IF(AA118&gt;=Como_Avaliar!$B$15,"Alta",IF(AA118&gt;=Como_Avaliar!$B$16,"Média","Baixa"))</f>
        <v>Média</v>
      </c>
    </row>
    <row r="119" spans="1:28" x14ac:dyDescent="0.25">
      <c r="A119" t="s">
        <v>422</v>
      </c>
      <c r="B119" t="s">
        <v>283</v>
      </c>
      <c r="C119" t="s">
        <v>89</v>
      </c>
      <c r="D119" t="s">
        <v>56</v>
      </c>
      <c r="E119" t="s">
        <v>95</v>
      </c>
      <c r="F119">
        <v>28</v>
      </c>
      <c r="G119">
        <v>16</v>
      </c>
      <c r="H119">
        <v>1</v>
      </c>
      <c r="I119" t="s">
        <v>65</v>
      </c>
      <c r="J119" t="s">
        <v>98</v>
      </c>
      <c r="K119" t="s">
        <v>97</v>
      </c>
      <c r="L119" t="s">
        <v>322</v>
      </c>
      <c r="M119">
        <v>1</v>
      </c>
      <c r="N119" t="str">
        <f t="shared" si="12"/>
        <v>3. 16+ anos</v>
      </c>
      <c r="O119" t="str">
        <f t="shared" si="13"/>
        <v>1. &lt; 20</v>
      </c>
      <c r="P119" t="str">
        <f t="shared" si="14"/>
        <v>1. 1 a 2</v>
      </c>
      <c r="Q119">
        <f t="shared" si="15"/>
        <v>0</v>
      </c>
      <c r="R119">
        <f t="shared" si="16"/>
        <v>0</v>
      </c>
      <c r="S119">
        <f t="shared" si="17"/>
        <v>0</v>
      </c>
      <c r="V119" s="18">
        <f t="shared" si="18"/>
        <v>6.8273092369477914E-2</v>
      </c>
      <c r="W119" s="18">
        <f t="shared" si="19"/>
        <v>8.6792452830188674E-2</v>
      </c>
      <c r="X119" s="18">
        <f t="shared" si="20"/>
        <v>0.10309278350515463</v>
      </c>
      <c r="Y119" s="18">
        <f t="shared" si="21"/>
        <v>0.39751552795031053</v>
      </c>
      <c r="Z119" s="18">
        <f t="shared" si="22"/>
        <v>0.56634304207119746</v>
      </c>
      <c r="AA119" s="10">
        <f t="shared" si="23"/>
        <v>0.24440337970000001</v>
      </c>
      <c r="AB119" t="str">
        <f>IF(AA119&gt;=Como_Avaliar!$B$15,"Alta",IF(AA119&gt;=Como_Avaliar!$B$16,"Média","Baixa"))</f>
        <v>Média</v>
      </c>
    </row>
    <row r="120" spans="1:28" x14ac:dyDescent="0.25">
      <c r="A120" t="s">
        <v>423</v>
      </c>
      <c r="B120" t="s">
        <v>283</v>
      </c>
      <c r="C120" t="s">
        <v>89</v>
      </c>
      <c r="D120" t="s">
        <v>56</v>
      </c>
      <c r="E120" t="s">
        <v>93</v>
      </c>
      <c r="F120">
        <v>13</v>
      </c>
      <c r="G120">
        <v>13</v>
      </c>
      <c r="H120">
        <v>2</v>
      </c>
      <c r="I120" t="s">
        <v>61</v>
      </c>
      <c r="J120" t="s">
        <v>98</v>
      </c>
      <c r="K120" t="s">
        <v>97</v>
      </c>
      <c r="L120" t="s">
        <v>322</v>
      </c>
      <c r="M120">
        <v>0</v>
      </c>
      <c r="N120" t="str">
        <f t="shared" si="12"/>
        <v>2. 8 a 15 anos</v>
      </c>
      <c r="O120" t="str">
        <f t="shared" si="13"/>
        <v>1. &lt; 20</v>
      </c>
      <c r="P120" t="str">
        <f t="shared" si="14"/>
        <v>1. 1 a 2</v>
      </c>
      <c r="Q120">
        <f t="shared" si="15"/>
        <v>1</v>
      </c>
      <c r="R120">
        <f t="shared" si="16"/>
        <v>0</v>
      </c>
      <c r="S120">
        <f t="shared" si="17"/>
        <v>0</v>
      </c>
      <c r="V120" s="18">
        <f t="shared" si="18"/>
        <v>6.8273092369477914E-2</v>
      </c>
      <c r="W120" s="18">
        <f t="shared" si="19"/>
        <v>8.6792452830188674E-2</v>
      </c>
      <c r="X120" s="18">
        <f t="shared" si="20"/>
        <v>0.10309278350515463</v>
      </c>
      <c r="Y120" s="18">
        <f t="shared" si="21"/>
        <v>0</v>
      </c>
      <c r="Z120" s="18">
        <f t="shared" si="22"/>
        <v>0.22302158273381295</v>
      </c>
      <c r="AA120" s="10">
        <f t="shared" si="23"/>
        <v>9.6235982299999995E-2</v>
      </c>
      <c r="AB120" t="str">
        <f>IF(AA120&gt;=Como_Avaliar!$B$15,"Alta",IF(AA120&gt;=Como_Avaliar!$B$16,"Média","Baixa"))</f>
        <v>Baixa</v>
      </c>
    </row>
    <row r="121" spans="1:28" x14ac:dyDescent="0.25">
      <c r="A121" t="s">
        <v>424</v>
      </c>
      <c r="B121" t="s">
        <v>286</v>
      </c>
      <c r="C121" t="s">
        <v>88</v>
      </c>
      <c r="D121" t="s">
        <v>56</v>
      </c>
      <c r="E121" t="s">
        <v>95</v>
      </c>
      <c r="F121">
        <v>9</v>
      </c>
      <c r="G121">
        <v>25</v>
      </c>
      <c r="H121">
        <v>1</v>
      </c>
      <c r="I121" t="s">
        <v>63</v>
      </c>
      <c r="J121" t="s">
        <v>97</v>
      </c>
      <c r="K121" t="s">
        <v>97</v>
      </c>
      <c r="L121" t="s">
        <v>322</v>
      </c>
      <c r="M121">
        <v>0</v>
      </c>
      <c r="N121" t="str">
        <f t="shared" si="12"/>
        <v>2. 8 a 15 anos</v>
      </c>
      <c r="O121" t="str">
        <f t="shared" si="13"/>
        <v>2. 20 a 49</v>
      </c>
      <c r="P121" t="str">
        <f t="shared" si="14"/>
        <v>1. 1 a 2</v>
      </c>
      <c r="Q121">
        <f t="shared" si="15"/>
        <v>1</v>
      </c>
      <c r="R121">
        <f t="shared" si="16"/>
        <v>0</v>
      </c>
      <c r="S121">
        <f t="shared" si="17"/>
        <v>0</v>
      </c>
      <c r="V121" s="18">
        <f t="shared" si="18"/>
        <v>6.8273092369477914E-2</v>
      </c>
      <c r="W121" s="18">
        <f t="shared" si="19"/>
        <v>8.6792452830188674E-2</v>
      </c>
      <c r="X121" s="18">
        <f t="shared" si="20"/>
        <v>0.25294117647058822</v>
      </c>
      <c r="Y121" s="18">
        <f t="shared" si="21"/>
        <v>6.5217391304347824E-2</v>
      </c>
      <c r="Z121" s="18">
        <f t="shared" si="22"/>
        <v>0.22302158273381295</v>
      </c>
      <c r="AA121" s="10">
        <f t="shared" si="23"/>
        <v>0.1392491391</v>
      </c>
      <c r="AB121" t="str">
        <f>IF(AA121&gt;=Como_Avaliar!$B$15,"Alta",IF(AA121&gt;=Como_Avaliar!$B$16,"Média","Baixa"))</f>
        <v>Baixa</v>
      </c>
    </row>
    <row r="122" spans="1:28" x14ac:dyDescent="0.25">
      <c r="A122" t="s">
        <v>425</v>
      </c>
      <c r="B122" t="s">
        <v>426</v>
      </c>
      <c r="C122" t="s">
        <v>84</v>
      </c>
      <c r="D122" t="s">
        <v>58</v>
      </c>
      <c r="E122" t="s">
        <v>96</v>
      </c>
      <c r="F122">
        <v>29</v>
      </c>
      <c r="G122">
        <v>180</v>
      </c>
      <c r="H122">
        <v>30</v>
      </c>
      <c r="I122" t="s">
        <v>65</v>
      </c>
      <c r="J122" t="s">
        <v>98</v>
      </c>
      <c r="K122" t="s">
        <v>97</v>
      </c>
      <c r="L122" t="s">
        <v>284</v>
      </c>
      <c r="M122">
        <v>1</v>
      </c>
      <c r="N122" t="str">
        <f t="shared" si="12"/>
        <v>3. 16+ anos</v>
      </c>
      <c r="O122" t="str">
        <f t="shared" si="13"/>
        <v>4. 150+</v>
      </c>
      <c r="P122" t="str">
        <f t="shared" si="14"/>
        <v>4. 16+</v>
      </c>
      <c r="Q122">
        <f t="shared" si="15"/>
        <v>0</v>
      </c>
      <c r="R122">
        <f t="shared" si="16"/>
        <v>1</v>
      </c>
      <c r="S122">
        <f t="shared" si="17"/>
        <v>0</v>
      </c>
      <c r="V122" s="18">
        <f t="shared" si="18"/>
        <v>0.93975903614457834</v>
      </c>
      <c r="W122" s="18">
        <f t="shared" si="19"/>
        <v>0.97272727272727277</v>
      </c>
      <c r="X122" s="18">
        <f t="shared" si="20"/>
        <v>0.97938144329896903</v>
      </c>
      <c r="Y122" s="18">
        <f t="shared" si="21"/>
        <v>0.39751552795031053</v>
      </c>
      <c r="Z122" s="18">
        <f t="shared" si="22"/>
        <v>0.56634304207119746</v>
      </c>
      <c r="AA122" s="10">
        <f t="shared" si="23"/>
        <v>0.77114526439999997</v>
      </c>
      <c r="AB122" t="str">
        <f>IF(AA122&gt;=Como_Avaliar!$B$15,"Alta",IF(AA122&gt;=Como_Avaliar!$B$16,"Média","Baixa"))</f>
        <v>Alta</v>
      </c>
    </row>
    <row r="123" spans="1:28" x14ac:dyDescent="0.25">
      <c r="A123" t="s">
        <v>427</v>
      </c>
      <c r="B123" t="s">
        <v>305</v>
      </c>
      <c r="C123" t="s">
        <v>89</v>
      </c>
      <c r="D123" t="s">
        <v>56</v>
      </c>
      <c r="E123" t="s">
        <v>92</v>
      </c>
      <c r="F123">
        <v>15</v>
      </c>
      <c r="G123">
        <v>6</v>
      </c>
      <c r="H123">
        <v>2</v>
      </c>
      <c r="I123" t="s">
        <v>61</v>
      </c>
      <c r="J123" t="s">
        <v>97</v>
      </c>
      <c r="K123" t="s">
        <v>98</v>
      </c>
      <c r="L123" t="s">
        <v>293</v>
      </c>
      <c r="M123">
        <v>0</v>
      </c>
      <c r="N123" t="str">
        <f t="shared" si="12"/>
        <v>2. 8 a 15 anos</v>
      </c>
      <c r="O123" t="str">
        <f t="shared" si="13"/>
        <v>1. &lt; 20</v>
      </c>
      <c r="P123" t="str">
        <f t="shared" si="14"/>
        <v>1. 1 a 2</v>
      </c>
      <c r="Q123">
        <f t="shared" si="15"/>
        <v>1</v>
      </c>
      <c r="R123">
        <f t="shared" si="16"/>
        <v>0</v>
      </c>
      <c r="S123">
        <f t="shared" si="17"/>
        <v>1</v>
      </c>
      <c r="T123">
        <v>3</v>
      </c>
      <c r="U123" t="s">
        <v>138</v>
      </c>
      <c r="V123" s="18">
        <f t="shared" si="18"/>
        <v>6.8273092369477914E-2</v>
      </c>
      <c r="W123" s="18">
        <f t="shared" si="19"/>
        <v>8.6792452830188674E-2</v>
      </c>
      <c r="X123" s="18">
        <f t="shared" si="20"/>
        <v>0.10309278350515463</v>
      </c>
      <c r="Y123" s="18">
        <f t="shared" si="21"/>
        <v>0</v>
      </c>
      <c r="Z123" s="18">
        <f t="shared" si="22"/>
        <v>0.22302158273381295</v>
      </c>
      <c r="AA123" s="10">
        <f t="shared" si="23"/>
        <v>9.6235982299999995E-2</v>
      </c>
      <c r="AB123" t="str">
        <f>IF(AA123&gt;=Como_Avaliar!$B$15,"Alta",IF(AA123&gt;=Como_Avaliar!$B$16,"Média","Baixa"))</f>
        <v>Baixa</v>
      </c>
    </row>
    <row r="124" spans="1:28" x14ac:dyDescent="0.25">
      <c r="A124" t="s">
        <v>428</v>
      </c>
      <c r="B124" t="s">
        <v>314</v>
      </c>
      <c r="C124" t="s">
        <v>84</v>
      </c>
      <c r="D124" t="s">
        <v>57</v>
      </c>
      <c r="E124" t="s">
        <v>96</v>
      </c>
      <c r="F124">
        <v>13</v>
      </c>
      <c r="G124">
        <v>340</v>
      </c>
      <c r="H124">
        <v>73</v>
      </c>
      <c r="I124" t="s">
        <v>60</v>
      </c>
      <c r="J124" t="s">
        <v>97</v>
      </c>
      <c r="K124" t="s">
        <v>97</v>
      </c>
      <c r="L124" t="s">
        <v>289</v>
      </c>
      <c r="M124">
        <v>1</v>
      </c>
      <c r="N124" t="str">
        <f t="shared" si="12"/>
        <v>2. 8 a 15 anos</v>
      </c>
      <c r="O124" t="str">
        <f t="shared" si="13"/>
        <v>4. 150+</v>
      </c>
      <c r="P124" t="str">
        <f t="shared" si="14"/>
        <v>4. 16+</v>
      </c>
      <c r="Q124">
        <f t="shared" si="15"/>
        <v>0</v>
      </c>
      <c r="R124">
        <f t="shared" si="16"/>
        <v>1</v>
      </c>
      <c r="S124">
        <f t="shared" si="17"/>
        <v>0</v>
      </c>
      <c r="V124" s="18">
        <f t="shared" si="18"/>
        <v>1</v>
      </c>
      <c r="W124" s="18">
        <f t="shared" si="19"/>
        <v>0.97272727272727277</v>
      </c>
      <c r="X124" s="18">
        <f t="shared" si="20"/>
        <v>0.97938144329896903</v>
      </c>
      <c r="Y124" s="18">
        <f t="shared" si="21"/>
        <v>0.65217391304347827</v>
      </c>
      <c r="Z124" s="18">
        <f t="shared" si="22"/>
        <v>0.22302158273381295</v>
      </c>
      <c r="AA124" s="10">
        <f t="shared" si="23"/>
        <v>0.76546084240000001</v>
      </c>
      <c r="AB124" t="str">
        <f>IF(AA124&gt;=Como_Avaliar!$B$15,"Alta",IF(AA124&gt;=Como_Avaliar!$B$16,"Média","Baixa"))</f>
        <v>Alta</v>
      </c>
    </row>
    <row r="125" spans="1:28" x14ac:dyDescent="0.25">
      <c r="A125" t="s">
        <v>429</v>
      </c>
      <c r="B125" t="s">
        <v>305</v>
      </c>
      <c r="C125" t="s">
        <v>89</v>
      </c>
      <c r="D125" t="s">
        <v>59</v>
      </c>
      <c r="E125" t="s">
        <v>96</v>
      </c>
      <c r="F125">
        <v>1</v>
      </c>
      <c r="G125">
        <v>15</v>
      </c>
      <c r="H125">
        <v>3</v>
      </c>
      <c r="I125" t="s">
        <v>68</v>
      </c>
      <c r="J125" t="s">
        <v>98</v>
      </c>
      <c r="K125" t="s">
        <v>98</v>
      </c>
      <c r="L125" t="s">
        <v>289</v>
      </c>
      <c r="M125">
        <v>0</v>
      </c>
      <c r="N125" t="str">
        <f t="shared" si="12"/>
        <v>1. &lt; 8 anos</v>
      </c>
      <c r="O125" t="str">
        <f t="shared" si="13"/>
        <v>1. &lt; 20</v>
      </c>
      <c r="P125" t="str">
        <f t="shared" si="14"/>
        <v>2. 3 a 5</v>
      </c>
      <c r="Q125">
        <f t="shared" si="15"/>
        <v>0</v>
      </c>
      <c r="R125">
        <f t="shared" si="16"/>
        <v>0</v>
      </c>
      <c r="S125">
        <f t="shared" si="17"/>
        <v>1</v>
      </c>
      <c r="T125">
        <v>3</v>
      </c>
      <c r="U125" t="s">
        <v>138</v>
      </c>
      <c r="V125" s="18">
        <f t="shared" si="18"/>
        <v>0.43835616438356162</v>
      </c>
      <c r="W125" s="18">
        <f t="shared" si="19"/>
        <v>0.38095238095238093</v>
      </c>
      <c r="X125" s="18">
        <f t="shared" si="20"/>
        <v>0.10309278350515463</v>
      </c>
      <c r="Y125" s="18">
        <f t="shared" si="21"/>
        <v>0.58333333333333337</v>
      </c>
      <c r="Z125" s="18">
        <f t="shared" si="22"/>
        <v>0.22368421052631579</v>
      </c>
      <c r="AA125" s="10">
        <f t="shared" si="23"/>
        <v>0.34588377450000002</v>
      </c>
      <c r="AB125" t="str">
        <f>IF(AA125&gt;=Como_Avaliar!$B$15,"Alta",IF(AA125&gt;=Como_Avaliar!$B$16,"Média","Baixa"))</f>
        <v>Média</v>
      </c>
    </row>
    <row r="126" spans="1:28" x14ac:dyDescent="0.25">
      <c r="A126" t="s">
        <v>430</v>
      </c>
      <c r="B126" t="s">
        <v>286</v>
      </c>
      <c r="C126" t="s">
        <v>88</v>
      </c>
      <c r="D126" t="s">
        <v>59</v>
      </c>
      <c r="E126" t="s">
        <v>90</v>
      </c>
      <c r="F126">
        <v>25</v>
      </c>
      <c r="G126">
        <v>35</v>
      </c>
      <c r="H126">
        <v>9</v>
      </c>
      <c r="I126" t="s">
        <v>68</v>
      </c>
      <c r="J126" t="s">
        <v>97</v>
      </c>
      <c r="K126" t="s">
        <v>98</v>
      </c>
      <c r="L126" t="s">
        <v>284</v>
      </c>
      <c r="M126">
        <v>1</v>
      </c>
      <c r="N126" t="str">
        <f t="shared" si="12"/>
        <v>3. 16+ anos</v>
      </c>
      <c r="O126" t="str">
        <f t="shared" si="13"/>
        <v>2. 20 a 49</v>
      </c>
      <c r="P126" t="str">
        <f t="shared" si="14"/>
        <v>3. 6 a 15</v>
      </c>
      <c r="Q126">
        <f t="shared" si="15"/>
        <v>0</v>
      </c>
      <c r="R126">
        <f t="shared" si="16"/>
        <v>0</v>
      </c>
      <c r="S126">
        <f t="shared" si="17"/>
        <v>0</v>
      </c>
      <c r="V126" s="18">
        <f t="shared" si="18"/>
        <v>0.43835616438356162</v>
      </c>
      <c r="W126" s="18">
        <f t="shared" si="19"/>
        <v>0.55319148936170215</v>
      </c>
      <c r="X126" s="18">
        <f t="shared" si="20"/>
        <v>0.25294117647058822</v>
      </c>
      <c r="Y126" s="18">
        <f t="shared" si="21"/>
        <v>0.58333333333333337</v>
      </c>
      <c r="Z126" s="18">
        <f t="shared" si="22"/>
        <v>0.56634304207119746</v>
      </c>
      <c r="AA126" s="10">
        <f t="shared" si="23"/>
        <v>0.47883304110000002</v>
      </c>
      <c r="AB126" t="str">
        <f>IF(AA126&gt;=Como_Avaliar!$B$15,"Alta",IF(AA126&gt;=Como_Avaliar!$B$16,"Média","Baixa"))</f>
        <v>Alta</v>
      </c>
    </row>
    <row r="127" spans="1:28" x14ac:dyDescent="0.25">
      <c r="A127" t="s">
        <v>431</v>
      </c>
      <c r="B127" t="s">
        <v>288</v>
      </c>
      <c r="C127" t="s">
        <v>88</v>
      </c>
      <c r="D127" t="s">
        <v>59</v>
      </c>
      <c r="E127" t="s">
        <v>93</v>
      </c>
      <c r="F127">
        <v>7</v>
      </c>
      <c r="G127">
        <v>67</v>
      </c>
      <c r="H127">
        <v>9</v>
      </c>
      <c r="I127" t="s">
        <v>68</v>
      </c>
      <c r="J127" t="s">
        <v>97</v>
      </c>
      <c r="K127" t="s">
        <v>97</v>
      </c>
      <c r="L127" t="s">
        <v>289</v>
      </c>
      <c r="M127">
        <v>0</v>
      </c>
      <c r="N127" t="str">
        <f t="shared" si="12"/>
        <v>1. &lt; 8 anos</v>
      </c>
      <c r="O127" t="str">
        <f t="shared" si="13"/>
        <v>3. 50 a 149</v>
      </c>
      <c r="P127" t="str">
        <f t="shared" si="14"/>
        <v>3. 6 a 15</v>
      </c>
      <c r="Q127">
        <f t="shared" si="15"/>
        <v>0</v>
      </c>
      <c r="R127">
        <f t="shared" si="16"/>
        <v>1</v>
      </c>
      <c r="S127">
        <f t="shared" si="17"/>
        <v>1</v>
      </c>
      <c r="T127">
        <v>3</v>
      </c>
      <c r="U127" t="s">
        <v>138</v>
      </c>
      <c r="V127" s="18">
        <f t="shared" si="18"/>
        <v>0.43835616438356162</v>
      </c>
      <c r="W127" s="18">
        <f t="shared" si="19"/>
        <v>0.55319148936170215</v>
      </c>
      <c r="X127" s="18">
        <f t="shared" si="20"/>
        <v>0.58992805755395683</v>
      </c>
      <c r="Y127" s="18">
        <f t="shared" si="21"/>
        <v>0.58333333333333337</v>
      </c>
      <c r="Z127" s="18">
        <f t="shared" si="22"/>
        <v>0.22368421052631579</v>
      </c>
      <c r="AA127" s="10">
        <f t="shared" si="23"/>
        <v>0.47769865099999997</v>
      </c>
      <c r="AB127" t="str">
        <f>IF(AA127&gt;=Como_Avaliar!$B$15,"Alta",IF(AA127&gt;=Como_Avaliar!$B$16,"Média","Baixa"))</f>
        <v>Média</v>
      </c>
    </row>
    <row r="128" spans="1:28" x14ac:dyDescent="0.25">
      <c r="A128" t="s">
        <v>432</v>
      </c>
      <c r="B128" t="s">
        <v>286</v>
      </c>
      <c r="C128" t="s">
        <v>88</v>
      </c>
      <c r="D128" t="s">
        <v>59</v>
      </c>
      <c r="E128" t="s">
        <v>95</v>
      </c>
      <c r="F128">
        <v>9</v>
      </c>
      <c r="G128">
        <v>75</v>
      </c>
      <c r="H128">
        <v>8</v>
      </c>
      <c r="I128" t="s">
        <v>68</v>
      </c>
      <c r="J128" t="s">
        <v>98</v>
      </c>
      <c r="K128" t="s">
        <v>97</v>
      </c>
      <c r="L128" t="s">
        <v>289</v>
      </c>
      <c r="M128">
        <v>0</v>
      </c>
      <c r="N128" t="str">
        <f t="shared" si="12"/>
        <v>2. 8 a 15 anos</v>
      </c>
      <c r="O128" t="str">
        <f t="shared" si="13"/>
        <v>3. 50 a 149</v>
      </c>
      <c r="P128" t="str">
        <f t="shared" si="14"/>
        <v>3. 6 a 15</v>
      </c>
      <c r="Q128">
        <f t="shared" si="15"/>
        <v>0</v>
      </c>
      <c r="R128">
        <f t="shared" si="16"/>
        <v>1</v>
      </c>
      <c r="S128">
        <f t="shared" si="17"/>
        <v>1</v>
      </c>
      <c r="T128">
        <v>3</v>
      </c>
      <c r="U128" t="s">
        <v>138</v>
      </c>
      <c r="V128" s="18">
        <f t="shared" si="18"/>
        <v>0.43835616438356162</v>
      </c>
      <c r="W128" s="18">
        <f t="shared" si="19"/>
        <v>0.55319148936170215</v>
      </c>
      <c r="X128" s="18">
        <f t="shared" si="20"/>
        <v>0.58992805755395683</v>
      </c>
      <c r="Y128" s="18">
        <f t="shared" si="21"/>
        <v>0.58333333333333337</v>
      </c>
      <c r="Z128" s="18">
        <f t="shared" si="22"/>
        <v>0.22302158273381295</v>
      </c>
      <c r="AA128" s="10">
        <f t="shared" si="23"/>
        <v>0.47756612549999999</v>
      </c>
      <c r="AB128" t="str">
        <f>IF(AA128&gt;=Como_Avaliar!$B$15,"Alta",IF(AA128&gt;=Como_Avaliar!$B$16,"Média","Baixa"))</f>
        <v>Média</v>
      </c>
    </row>
    <row r="129" spans="1:28" x14ac:dyDescent="0.25">
      <c r="A129" t="s">
        <v>433</v>
      </c>
      <c r="B129" t="s">
        <v>355</v>
      </c>
      <c r="C129" t="s">
        <v>86</v>
      </c>
      <c r="D129" t="s">
        <v>59</v>
      </c>
      <c r="E129" t="s">
        <v>91</v>
      </c>
      <c r="F129">
        <v>24</v>
      </c>
      <c r="G129">
        <v>76</v>
      </c>
      <c r="H129">
        <v>10</v>
      </c>
      <c r="I129" t="s">
        <v>65</v>
      </c>
      <c r="J129" t="s">
        <v>98</v>
      </c>
      <c r="K129" t="s">
        <v>98</v>
      </c>
      <c r="L129" t="s">
        <v>289</v>
      </c>
      <c r="M129">
        <v>1</v>
      </c>
      <c r="N129" t="str">
        <f t="shared" si="12"/>
        <v>3. 16+ anos</v>
      </c>
      <c r="O129" t="str">
        <f t="shared" si="13"/>
        <v>3. 50 a 149</v>
      </c>
      <c r="P129" t="str">
        <f t="shared" si="14"/>
        <v>3. 6 a 15</v>
      </c>
      <c r="Q129">
        <f t="shared" si="15"/>
        <v>0</v>
      </c>
      <c r="R129">
        <f t="shared" si="16"/>
        <v>1</v>
      </c>
      <c r="S129">
        <f t="shared" si="17"/>
        <v>0</v>
      </c>
      <c r="V129" s="18">
        <f t="shared" si="18"/>
        <v>0.43835616438356162</v>
      </c>
      <c r="W129" s="18">
        <f t="shared" si="19"/>
        <v>0.55319148936170215</v>
      </c>
      <c r="X129" s="18">
        <f t="shared" si="20"/>
        <v>0.58992805755395683</v>
      </c>
      <c r="Y129" s="18">
        <f t="shared" si="21"/>
        <v>0.39751552795031053</v>
      </c>
      <c r="Z129" s="18">
        <f t="shared" si="22"/>
        <v>0.56634304207119746</v>
      </c>
      <c r="AA129" s="10">
        <f t="shared" si="23"/>
        <v>0.50906685630000004</v>
      </c>
      <c r="AB129" t="str">
        <f>IF(AA129&gt;=Como_Avaliar!$B$15,"Alta",IF(AA129&gt;=Como_Avaliar!$B$16,"Média","Baixa"))</f>
        <v>Alta</v>
      </c>
    </row>
    <row r="130" spans="1:28" x14ac:dyDescent="0.25">
      <c r="A130" t="s">
        <v>434</v>
      </c>
      <c r="B130" t="s">
        <v>297</v>
      </c>
      <c r="C130" t="s">
        <v>86</v>
      </c>
      <c r="D130" t="s">
        <v>58</v>
      </c>
      <c r="E130" t="s">
        <v>95</v>
      </c>
      <c r="F130">
        <v>1</v>
      </c>
      <c r="G130">
        <v>226</v>
      </c>
      <c r="H130">
        <v>24</v>
      </c>
      <c r="I130" t="s">
        <v>68</v>
      </c>
      <c r="J130" t="s">
        <v>98</v>
      </c>
      <c r="K130" t="s">
        <v>98</v>
      </c>
      <c r="L130" t="s">
        <v>322</v>
      </c>
      <c r="M130">
        <v>1</v>
      </c>
      <c r="N130" t="str">
        <f t="shared" ref="N130:N193" si="24">IF(F130&lt;8,"1. &lt; 8 anos",IF(F130&lt;16,"2. 8 a 15 anos","3. 16+ anos"))</f>
        <v>1. &lt; 8 anos</v>
      </c>
      <c r="O130" t="str">
        <f t="shared" ref="O130:O193" si="25">IF(G130&lt;20,"1. &lt; 20",IF(G130&lt;50,"2. 20 a 49",IF(G130&lt;150,"3. 50 a 149","4. 150+")))</f>
        <v>4. 150+</v>
      </c>
      <c r="P130" t="str">
        <f t="shared" ref="P130:P193" si="26">IF(H130&lt;=2,"1. 1 a 2",IF(H130&lt;=5,"2. 3 a 5",IF(H130&lt;=15,"3. 6 a 15","4. 16+")))</f>
        <v>4. 16+</v>
      </c>
      <c r="Q130">
        <f t="shared" ref="Q130:Q193" si="27">IF(OR(I130="Nenhum",I130="Planilha",I130="ContaAzul"),1,0)</f>
        <v>0</v>
      </c>
      <c r="R130">
        <f t="shared" ref="R130:R193" si="28">IF(AND(G130&gt;=50,H130&gt;=6,Q130=0),1,0)</f>
        <v>1</v>
      </c>
      <c r="S130">
        <f t="shared" ref="S130:S193" si="29">IF(AND(L130&lt;&gt;"Cliente Ativo",M130=0),1,0)</f>
        <v>0</v>
      </c>
      <c r="V130" s="18">
        <f t="shared" ref="V130:V193" si="30">AVERAGEIF($D$2:$D$601,D130,$M$2:$M$601)</f>
        <v>0.93975903614457834</v>
      </c>
      <c r="W130" s="18">
        <f t="shared" ref="W130:W193" si="31">AVERAGEIF($P$2:$P$601,P130,$M$2:$M$601)</f>
        <v>0.97272727272727277</v>
      </c>
      <c r="X130" s="18">
        <f t="shared" ref="X130:X193" si="32">AVERAGEIF($O$2:$O$601,O130,$M$2:$M$601)</f>
        <v>0.97938144329896903</v>
      </c>
      <c r="Y130" s="18">
        <f t="shared" ref="Y130:Y193" si="33">AVERAGEIF($I$2:$I$601,I130,$M$2:$M$601)</f>
        <v>0.58333333333333337</v>
      </c>
      <c r="Z130" s="18">
        <f t="shared" ref="Z130:Z193" si="34">AVERAGEIF($N$2:$N$601,N130,$M$2:$M$601)</f>
        <v>0.22368421052631579</v>
      </c>
      <c r="AA130" s="10">
        <f t="shared" ref="AA130:AA193" si="35">ROUND(AVERAGE(V130:Z130),10)</f>
        <v>0.73977705920000003</v>
      </c>
      <c r="AB130" t="str">
        <f>IF(AA130&gt;=Como_Avaliar!$B$15,"Alta",IF(AA130&gt;=Como_Avaliar!$B$16,"Média","Baixa"))</f>
        <v>Alta</v>
      </c>
    </row>
    <row r="131" spans="1:28" x14ac:dyDescent="0.25">
      <c r="A131" t="s">
        <v>435</v>
      </c>
      <c r="B131" t="s">
        <v>327</v>
      </c>
      <c r="C131" t="s">
        <v>86</v>
      </c>
      <c r="D131" t="s">
        <v>59</v>
      </c>
      <c r="E131" t="s">
        <v>94</v>
      </c>
      <c r="F131">
        <v>12</v>
      </c>
      <c r="G131">
        <v>40</v>
      </c>
      <c r="H131">
        <v>8</v>
      </c>
      <c r="I131" t="s">
        <v>65</v>
      </c>
      <c r="J131" t="s">
        <v>98</v>
      </c>
      <c r="K131" t="s">
        <v>98</v>
      </c>
      <c r="L131" t="s">
        <v>289</v>
      </c>
      <c r="M131">
        <v>0</v>
      </c>
      <c r="N131" t="str">
        <f t="shared" si="24"/>
        <v>2. 8 a 15 anos</v>
      </c>
      <c r="O131" t="str">
        <f t="shared" si="25"/>
        <v>2. 20 a 49</v>
      </c>
      <c r="P131" t="str">
        <f t="shared" si="26"/>
        <v>3. 6 a 15</v>
      </c>
      <c r="Q131">
        <f t="shared" si="27"/>
        <v>0</v>
      </c>
      <c r="R131">
        <f t="shared" si="28"/>
        <v>0</v>
      </c>
      <c r="S131">
        <f t="shared" si="29"/>
        <v>1</v>
      </c>
      <c r="T131">
        <v>4</v>
      </c>
      <c r="U131" t="s">
        <v>137</v>
      </c>
      <c r="V131" s="18">
        <f t="shared" si="30"/>
        <v>0.43835616438356162</v>
      </c>
      <c r="W131" s="18">
        <f t="shared" si="31"/>
        <v>0.55319148936170215</v>
      </c>
      <c r="X131" s="18">
        <f t="shared" si="32"/>
        <v>0.25294117647058822</v>
      </c>
      <c r="Y131" s="18">
        <f t="shared" si="33"/>
        <v>0.39751552795031053</v>
      </c>
      <c r="Z131" s="18">
        <f t="shared" si="34"/>
        <v>0.22302158273381295</v>
      </c>
      <c r="AA131" s="10">
        <f t="shared" si="35"/>
        <v>0.3730051882</v>
      </c>
      <c r="AB131" t="str">
        <f>IF(AA131&gt;=Como_Avaliar!$B$15,"Alta",IF(AA131&gt;=Como_Avaliar!$B$16,"Média","Baixa"))</f>
        <v>Média</v>
      </c>
    </row>
    <row r="132" spans="1:28" x14ac:dyDescent="0.25">
      <c r="A132" t="s">
        <v>436</v>
      </c>
      <c r="B132" t="s">
        <v>288</v>
      </c>
      <c r="C132" t="s">
        <v>88</v>
      </c>
      <c r="D132" t="s">
        <v>57</v>
      </c>
      <c r="E132" t="s">
        <v>93</v>
      </c>
      <c r="F132">
        <v>8</v>
      </c>
      <c r="G132">
        <v>494</v>
      </c>
      <c r="H132">
        <v>94</v>
      </c>
      <c r="I132" t="s">
        <v>68</v>
      </c>
      <c r="J132" t="s">
        <v>98</v>
      </c>
      <c r="K132" t="s">
        <v>97</v>
      </c>
      <c r="L132" t="s">
        <v>289</v>
      </c>
      <c r="M132">
        <v>1</v>
      </c>
      <c r="N132" t="str">
        <f t="shared" si="24"/>
        <v>2. 8 a 15 anos</v>
      </c>
      <c r="O132" t="str">
        <f t="shared" si="25"/>
        <v>4. 150+</v>
      </c>
      <c r="P132" t="str">
        <f t="shared" si="26"/>
        <v>4. 16+</v>
      </c>
      <c r="Q132">
        <f t="shared" si="27"/>
        <v>0</v>
      </c>
      <c r="R132">
        <f t="shared" si="28"/>
        <v>1</v>
      </c>
      <c r="S132">
        <f t="shared" si="29"/>
        <v>0</v>
      </c>
      <c r="V132" s="18">
        <f t="shared" si="30"/>
        <v>1</v>
      </c>
      <c r="W132" s="18">
        <f t="shared" si="31"/>
        <v>0.97272727272727277</v>
      </c>
      <c r="X132" s="18">
        <f t="shared" si="32"/>
        <v>0.97938144329896903</v>
      </c>
      <c r="Y132" s="18">
        <f t="shared" si="33"/>
        <v>0.58333333333333337</v>
      </c>
      <c r="Z132" s="18">
        <f t="shared" si="34"/>
        <v>0.22302158273381295</v>
      </c>
      <c r="AA132" s="10">
        <f t="shared" si="35"/>
        <v>0.75169272639999996</v>
      </c>
      <c r="AB132" t="str">
        <f>IF(AA132&gt;=Como_Avaliar!$B$15,"Alta",IF(AA132&gt;=Como_Avaliar!$B$16,"Média","Baixa"))</f>
        <v>Alta</v>
      </c>
    </row>
    <row r="133" spans="1:28" x14ac:dyDescent="0.25">
      <c r="A133" t="s">
        <v>437</v>
      </c>
      <c r="B133" t="s">
        <v>286</v>
      </c>
      <c r="C133" t="s">
        <v>88</v>
      </c>
      <c r="D133" t="s">
        <v>56</v>
      </c>
      <c r="E133" t="s">
        <v>95</v>
      </c>
      <c r="F133">
        <v>24</v>
      </c>
      <c r="G133">
        <v>13</v>
      </c>
      <c r="H133">
        <v>1</v>
      </c>
      <c r="I133" t="s">
        <v>65</v>
      </c>
      <c r="J133" t="s">
        <v>97</v>
      </c>
      <c r="K133" t="s">
        <v>98</v>
      </c>
      <c r="L133" t="s">
        <v>322</v>
      </c>
      <c r="M133">
        <v>0</v>
      </c>
      <c r="N133" t="str">
        <f t="shared" si="24"/>
        <v>3. 16+ anos</v>
      </c>
      <c r="O133" t="str">
        <f t="shared" si="25"/>
        <v>1. &lt; 20</v>
      </c>
      <c r="P133" t="str">
        <f t="shared" si="26"/>
        <v>1. 1 a 2</v>
      </c>
      <c r="Q133">
        <f t="shared" si="27"/>
        <v>0</v>
      </c>
      <c r="R133">
        <f t="shared" si="28"/>
        <v>0</v>
      </c>
      <c r="S133">
        <f t="shared" si="29"/>
        <v>0</v>
      </c>
      <c r="V133" s="18">
        <f t="shared" si="30"/>
        <v>6.8273092369477914E-2</v>
      </c>
      <c r="W133" s="18">
        <f t="shared" si="31"/>
        <v>8.6792452830188674E-2</v>
      </c>
      <c r="X133" s="18">
        <f t="shared" si="32"/>
        <v>0.10309278350515463</v>
      </c>
      <c r="Y133" s="18">
        <f t="shared" si="33"/>
        <v>0.39751552795031053</v>
      </c>
      <c r="Z133" s="18">
        <f t="shared" si="34"/>
        <v>0.56634304207119746</v>
      </c>
      <c r="AA133" s="10">
        <f t="shared" si="35"/>
        <v>0.24440337970000001</v>
      </c>
      <c r="AB133" t="str">
        <f>IF(AA133&gt;=Como_Avaliar!$B$15,"Alta",IF(AA133&gt;=Como_Avaliar!$B$16,"Média","Baixa"))</f>
        <v>Média</v>
      </c>
    </row>
    <row r="134" spans="1:28" x14ac:dyDescent="0.25">
      <c r="A134" t="s">
        <v>438</v>
      </c>
      <c r="B134" t="s">
        <v>297</v>
      </c>
      <c r="C134" t="s">
        <v>86</v>
      </c>
      <c r="D134" t="s">
        <v>57</v>
      </c>
      <c r="E134" t="s">
        <v>93</v>
      </c>
      <c r="F134">
        <v>11</v>
      </c>
      <c r="G134">
        <v>492</v>
      </c>
      <c r="H134">
        <v>71</v>
      </c>
      <c r="I134" t="s">
        <v>65</v>
      </c>
      <c r="J134" t="s">
        <v>98</v>
      </c>
      <c r="K134" t="s">
        <v>98</v>
      </c>
      <c r="L134" t="s">
        <v>293</v>
      </c>
      <c r="M134">
        <v>1</v>
      </c>
      <c r="N134" t="str">
        <f t="shared" si="24"/>
        <v>2. 8 a 15 anos</v>
      </c>
      <c r="O134" t="str">
        <f t="shared" si="25"/>
        <v>4. 150+</v>
      </c>
      <c r="P134" t="str">
        <f t="shared" si="26"/>
        <v>4. 16+</v>
      </c>
      <c r="Q134">
        <f t="shared" si="27"/>
        <v>0</v>
      </c>
      <c r="R134">
        <f t="shared" si="28"/>
        <v>1</v>
      </c>
      <c r="S134">
        <f t="shared" si="29"/>
        <v>0</v>
      </c>
      <c r="V134" s="18">
        <f t="shared" si="30"/>
        <v>1</v>
      </c>
      <c r="W134" s="18">
        <f t="shared" si="31"/>
        <v>0.97272727272727277</v>
      </c>
      <c r="X134" s="18">
        <f t="shared" si="32"/>
        <v>0.97938144329896903</v>
      </c>
      <c r="Y134" s="18">
        <f t="shared" si="33"/>
        <v>0.39751552795031053</v>
      </c>
      <c r="Z134" s="18">
        <f t="shared" si="34"/>
        <v>0.22302158273381295</v>
      </c>
      <c r="AA134" s="10">
        <f t="shared" si="35"/>
        <v>0.71452916529999999</v>
      </c>
      <c r="AB134" t="str">
        <f>IF(AA134&gt;=Como_Avaliar!$B$15,"Alta",IF(AA134&gt;=Como_Avaliar!$B$16,"Média","Baixa"))</f>
        <v>Alta</v>
      </c>
    </row>
    <row r="135" spans="1:28" x14ac:dyDescent="0.25">
      <c r="A135" t="s">
        <v>439</v>
      </c>
      <c r="B135" t="s">
        <v>321</v>
      </c>
      <c r="C135" t="s">
        <v>86</v>
      </c>
      <c r="D135" t="s">
        <v>56</v>
      </c>
      <c r="E135" t="s">
        <v>90</v>
      </c>
      <c r="F135">
        <v>19</v>
      </c>
      <c r="G135">
        <v>23</v>
      </c>
      <c r="H135">
        <v>1</v>
      </c>
      <c r="I135" t="s">
        <v>61</v>
      </c>
      <c r="J135" t="s">
        <v>97</v>
      </c>
      <c r="K135" t="s">
        <v>97</v>
      </c>
      <c r="L135" t="s">
        <v>289</v>
      </c>
      <c r="M135">
        <v>0</v>
      </c>
      <c r="N135" t="str">
        <f t="shared" si="24"/>
        <v>3. 16+ anos</v>
      </c>
      <c r="O135" t="str">
        <f t="shared" si="25"/>
        <v>2. 20 a 49</v>
      </c>
      <c r="P135" t="str">
        <f t="shared" si="26"/>
        <v>1. 1 a 2</v>
      </c>
      <c r="Q135">
        <f t="shared" si="27"/>
        <v>1</v>
      </c>
      <c r="R135">
        <f t="shared" si="28"/>
        <v>0</v>
      </c>
      <c r="S135">
        <f t="shared" si="29"/>
        <v>1</v>
      </c>
      <c r="T135">
        <v>2</v>
      </c>
      <c r="U135" t="s">
        <v>139</v>
      </c>
      <c r="V135" s="18">
        <f t="shared" si="30"/>
        <v>6.8273092369477914E-2</v>
      </c>
      <c r="W135" s="18">
        <f t="shared" si="31"/>
        <v>8.6792452830188674E-2</v>
      </c>
      <c r="X135" s="18">
        <f t="shared" si="32"/>
        <v>0.25294117647058822</v>
      </c>
      <c r="Y135" s="18">
        <f t="shared" si="33"/>
        <v>0</v>
      </c>
      <c r="Z135" s="18">
        <f t="shared" si="34"/>
        <v>0.56634304207119746</v>
      </c>
      <c r="AA135" s="10">
        <f t="shared" si="35"/>
        <v>0.19486995269999999</v>
      </c>
      <c r="AB135" t="str">
        <f>IF(AA135&gt;=Como_Avaliar!$B$15,"Alta",IF(AA135&gt;=Como_Avaliar!$B$16,"Média","Baixa"))</f>
        <v>Baixa</v>
      </c>
    </row>
    <row r="136" spans="1:28" x14ac:dyDescent="0.25">
      <c r="A136" t="s">
        <v>440</v>
      </c>
      <c r="B136" t="s">
        <v>286</v>
      </c>
      <c r="C136" t="s">
        <v>88</v>
      </c>
      <c r="D136" t="s">
        <v>59</v>
      </c>
      <c r="E136" t="s">
        <v>91</v>
      </c>
      <c r="F136">
        <v>17</v>
      </c>
      <c r="G136">
        <v>22</v>
      </c>
      <c r="H136">
        <v>3</v>
      </c>
      <c r="I136" t="s">
        <v>65</v>
      </c>
      <c r="J136" t="s">
        <v>98</v>
      </c>
      <c r="K136" t="s">
        <v>97</v>
      </c>
      <c r="L136" t="s">
        <v>289</v>
      </c>
      <c r="M136">
        <v>1</v>
      </c>
      <c r="N136" t="str">
        <f t="shared" si="24"/>
        <v>3. 16+ anos</v>
      </c>
      <c r="O136" t="str">
        <f t="shared" si="25"/>
        <v>2. 20 a 49</v>
      </c>
      <c r="P136" t="str">
        <f t="shared" si="26"/>
        <v>2. 3 a 5</v>
      </c>
      <c r="Q136">
        <f t="shared" si="27"/>
        <v>0</v>
      </c>
      <c r="R136">
        <f t="shared" si="28"/>
        <v>0</v>
      </c>
      <c r="S136">
        <f t="shared" si="29"/>
        <v>0</v>
      </c>
      <c r="V136" s="18">
        <f t="shared" si="30"/>
        <v>0.43835616438356162</v>
      </c>
      <c r="W136" s="18">
        <f t="shared" si="31"/>
        <v>0.38095238095238093</v>
      </c>
      <c r="X136" s="18">
        <f t="shared" si="32"/>
        <v>0.25294117647058822</v>
      </c>
      <c r="Y136" s="18">
        <f t="shared" si="33"/>
        <v>0.39751552795031053</v>
      </c>
      <c r="Z136" s="18">
        <f t="shared" si="34"/>
        <v>0.56634304207119746</v>
      </c>
      <c r="AA136" s="10">
        <f t="shared" si="35"/>
        <v>0.40722165840000002</v>
      </c>
      <c r="AB136" t="str">
        <f>IF(AA136&gt;=Como_Avaliar!$B$15,"Alta",IF(AA136&gt;=Como_Avaliar!$B$16,"Média","Baixa"))</f>
        <v>Média</v>
      </c>
    </row>
    <row r="137" spans="1:28" x14ac:dyDescent="0.25">
      <c r="A137" t="s">
        <v>441</v>
      </c>
      <c r="B137" t="s">
        <v>305</v>
      </c>
      <c r="C137" t="s">
        <v>89</v>
      </c>
      <c r="D137" t="s">
        <v>59</v>
      </c>
      <c r="E137" t="s">
        <v>96</v>
      </c>
      <c r="F137">
        <v>8</v>
      </c>
      <c r="G137">
        <v>26</v>
      </c>
      <c r="H137">
        <v>5</v>
      </c>
      <c r="I137" t="s">
        <v>62</v>
      </c>
      <c r="J137" t="s">
        <v>98</v>
      </c>
      <c r="K137" t="s">
        <v>97</v>
      </c>
      <c r="L137" t="s">
        <v>298</v>
      </c>
      <c r="M137">
        <v>1</v>
      </c>
      <c r="N137" t="str">
        <f t="shared" si="24"/>
        <v>2. 8 a 15 anos</v>
      </c>
      <c r="O137" t="str">
        <f t="shared" si="25"/>
        <v>2. 20 a 49</v>
      </c>
      <c r="P137" t="str">
        <f t="shared" si="26"/>
        <v>2. 3 a 5</v>
      </c>
      <c r="Q137">
        <f t="shared" si="27"/>
        <v>0</v>
      </c>
      <c r="R137">
        <f t="shared" si="28"/>
        <v>0</v>
      </c>
      <c r="S137">
        <f t="shared" si="29"/>
        <v>0</v>
      </c>
      <c r="V137" s="18">
        <f t="shared" si="30"/>
        <v>0.43835616438356162</v>
      </c>
      <c r="W137" s="18">
        <f t="shared" si="31"/>
        <v>0.38095238095238093</v>
      </c>
      <c r="X137" s="18">
        <f t="shared" si="32"/>
        <v>0.25294117647058822</v>
      </c>
      <c r="Y137" s="18">
        <f t="shared" si="33"/>
        <v>0.37662337662337664</v>
      </c>
      <c r="Z137" s="18">
        <f t="shared" si="34"/>
        <v>0.22302158273381295</v>
      </c>
      <c r="AA137" s="10">
        <f t="shared" si="35"/>
        <v>0.33437893619999998</v>
      </c>
      <c r="AB137" t="str">
        <f>IF(AA137&gt;=Como_Avaliar!$B$15,"Alta",IF(AA137&gt;=Como_Avaliar!$B$16,"Média","Baixa"))</f>
        <v>Média</v>
      </c>
    </row>
    <row r="138" spans="1:28" x14ac:dyDescent="0.25">
      <c r="A138" t="s">
        <v>442</v>
      </c>
      <c r="B138" t="s">
        <v>286</v>
      </c>
      <c r="C138" t="s">
        <v>88</v>
      </c>
      <c r="D138" t="s">
        <v>59</v>
      </c>
      <c r="E138" t="s">
        <v>95</v>
      </c>
      <c r="F138">
        <v>3</v>
      </c>
      <c r="G138">
        <v>44</v>
      </c>
      <c r="H138">
        <v>7</v>
      </c>
      <c r="I138" t="s">
        <v>65</v>
      </c>
      <c r="J138" t="s">
        <v>97</v>
      </c>
      <c r="K138" t="s">
        <v>97</v>
      </c>
      <c r="L138" t="s">
        <v>298</v>
      </c>
      <c r="M138">
        <v>0</v>
      </c>
      <c r="N138" t="str">
        <f t="shared" si="24"/>
        <v>1. &lt; 8 anos</v>
      </c>
      <c r="O138" t="str">
        <f t="shared" si="25"/>
        <v>2. 20 a 49</v>
      </c>
      <c r="P138" t="str">
        <f t="shared" si="26"/>
        <v>3. 6 a 15</v>
      </c>
      <c r="Q138">
        <f t="shared" si="27"/>
        <v>0</v>
      </c>
      <c r="R138">
        <f t="shared" si="28"/>
        <v>0</v>
      </c>
      <c r="S138">
        <f t="shared" si="29"/>
        <v>1</v>
      </c>
      <c r="T138">
        <v>3</v>
      </c>
      <c r="U138" t="s">
        <v>138</v>
      </c>
      <c r="V138" s="18">
        <f t="shared" si="30"/>
        <v>0.43835616438356162</v>
      </c>
      <c r="W138" s="18">
        <f t="shared" si="31"/>
        <v>0.55319148936170215</v>
      </c>
      <c r="X138" s="18">
        <f t="shared" si="32"/>
        <v>0.25294117647058822</v>
      </c>
      <c r="Y138" s="18">
        <f t="shared" si="33"/>
        <v>0.39751552795031053</v>
      </c>
      <c r="Z138" s="18">
        <f t="shared" si="34"/>
        <v>0.22368421052631579</v>
      </c>
      <c r="AA138" s="10">
        <f t="shared" si="35"/>
        <v>0.37313771369999998</v>
      </c>
      <c r="AB138" t="str">
        <f>IF(AA138&gt;=Como_Avaliar!$B$15,"Alta",IF(AA138&gt;=Como_Avaliar!$B$16,"Média","Baixa"))</f>
        <v>Média</v>
      </c>
    </row>
    <row r="139" spans="1:28" x14ac:dyDescent="0.25">
      <c r="A139" t="s">
        <v>443</v>
      </c>
      <c r="B139" t="s">
        <v>426</v>
      </c>
      <c r="C139" t="s">
        <v>84</v>
      </c>
      <c r="D139" t="s">
        <v>58</v>
      </c>
      <c r="E139" t="s">
        <v>93</v>
      </c>
      <c r="F139">
        <v>3</v>
      </c>
      <c r="G139">
        <v>196</v>
      </c>
      <c r="H139">
        <v>13</v>
      </c>
      <c r="I139" t="s">
        <v>66</v>
      </c>
      <c r="J139" t="s">
        <v>97</v>
      </c>
      <c r="K139" t="s">
        <v>98</v>
      </c>
      <c r="L139" t="s">
        <v>329</v>
      </c>
      <c r="M139">
        <v>1</v>
      </c>
      <c r="N139" t="str">
        <f t="shared" si="24"/>
        <v>1. &lt; 8 anos</v>
      </c>
      <c r="O139" t="str">
        <f t="shared" si="25"/>
        <v>4. 150+</v>
      </c>
      <c r="P139" t="str">
        <f t="shared" si="26"/>
        <v>3. 6 a 15</v>
      </c>
      <c r="Q139">
        <f t="shared" si="27"/>
        <v>0</v>
      </c>
      <c r="R139">
        <f t="shared" si="28"/>
        <v>1</v>
      </c>
      <c r="S139">
        <f t="shared" si="29"/>
        <v>0</v>
      </c>
      <c r="V139" s="18">
        <f t="shared" si="30"/>
        <v>0.93975903614457834</v>
      </c>
      <c r="W139" s="18">
        <f t="shared" si="31"/>
        <v>0.55319148936170215</v>
      </c>
      <c r="X139" s="18">
        <f t="shared" si="32"/>
        <v>0.97938144329896903</v>
      </c>
      <c r="Y139" s="18">
        <f t="shared" si="33"/>
        <v>1</v>
      </c>
      <c r="Z139" s="18">
        <f t="shared" si="34"/>
        <v>0.22368421052631579</v>
      </c>
      <c r="AA139" s="10">
        <f t="shared" si="35"/>
        <v>0.73920323590000003</v>
      </c>
      <c r="AB139" t="str">
        <f>IF(AA139&gt;=Como_Avaliar!$B$15,"Alta",IF(AA139&gt;=Como_Avaliar!$B$16,"Média","Baixa"))</f>
        <v>Alta</v>
      </c>
    </row>
    <row r="140" spans="1:28" x14ac:dyDescent="0.25">
      <c r="A140" t="s">
        <v>444</v>
      </c>
      <c r="B140" t="s">
        <v>426</v>
      </c>
      <c r="C140" t="s">
        <v>84</v>
      </c>
      <c r="D140" t="s">
        <v>59</v>
      </c>
      <c r="E140" t="s">
        <v>90</v>
      </c>
      <c r="F140">
        <v>1</v>
      </c>
      <c r="G140">
        <v>19</v>
      </c>
      <c r="H140">
        <v>2</v>
      </c>
      <c r="I140" t="s">
        <v>64</v>
      </c>
      <c r="J140" t="s">
        <v>97</v>
      </c>
      <c r="K140" t="s">
        <v>97</v>
      </c>
      <c r="L140" t="s">
        <v>293</v>
      </c>
      <c r="M140">
        <v>0</v>
      </c>
      <c r="N140" t="str">
        <f t="shared" si="24"/>
        <v>1. &lt; 8 anos</v>
      </c>
      <c r="O140" t="str">
        <f t="shared" si="25"/>
        <v>1. &lt; 20</v>
      </c>
      <c r="P140" t="str">
        <f t="shared" si="26"/>
        <v>1. 1 a 2</v>
      </c>
      <c r="Q140">
        <f t="shared" si="27"/>
        <v>1</v>
      </c>
      <c r="R140">
        <f t="shared" si="28"/>
        <v>0</v>
      </c>
      <c r="S140">
        <f t="shared" si="29"/>
        <v>1</v>
      </c>
      <c r="T140">
        <v>2</v>
      </c>
      <c r="U140" t="s">
        <v>139</v>
      </c>
      <c r="V140" s="18">
        <f t="shared" si="30"/>
        <v>0.43835616438356162</v>
      </c>
      <c r="W140" s="18">
        <f t="shared" si="31"/>
        <v>8.6792452830188674E-2</v>
      </c>
      <c r="X140" s="18">
        <f t="shared" si="32"/>
        <v>0.10309278350515463</v>
      </c>
      <c r="Y140" s="18">
        <f t="shared" si="33"/>
        <v>0.15625</v>
      </c>
      <c r="Z140" s="18">
        <f t="shared" si="34"/>
        <v>0.22368421052631579</v>
      </c>
      <c r="AA140" s="10">
        <f t="shared" si="35"/>
        <v>0.20163512219999999</v>
      </c>
      <c r="AB140" t="str">
        <f>IF(AA140&gt;=Como_Avaliar!$B$15,"Alta",IF(AA140&gt;=Como_Avaliar!$B$16,"Média","Baixa"))</f>
        <v>Baixa</v>
      </c>
    </row>
    <row r="141" spans="1:28" x14ac:dyDescent="0.25">
      <c r="A141" t="s">
        <v>445</v>
      </c>
      <c r="B141" t="s">
        <v>286</v>
      </c>
      <c r="C141" t="s">
        <v>88</v>
      </c>
      <c r="D141" t="s">
        <v>56</v>
      </c>
      <c r="E141" t="s">
        <v>96</v>
      </c>
      <c r="F141">
        <v>27</v>
      </c>
      <c r="G141">
        <v>8</v>
      </c>
      <c r="H141">
        <v>2</v>
      </c>
      <c r="I141" t="s">
        <v>65</v>
      </c>
      <c r="J141" t="s">
        <v>97</v>
      </c>
      <c r="K141" t="s">
        <v>98</v>
      </c>
      <c r="L141" t="s">
        <v>284</v>
      </c>
      <c r="M141">
        <v>0</v>
      </c>
      <c r="N141" t="str">
        <f t="shared" si="24"/>
        <v>3. 16+ anos</v>
      </c>
      <c r="O141" t="str">
        <f t="shared" si="25"/>
        <v>1. &lt; 20</v>
      </c>
      <c r="P141" t="str">
        <f t="shared" si="26"/>
        <v>1. 1 a 2</v>
      </c>
      <c r="Q141">
        <f t="shared" si="27"/>
        <v>0</v>
      </c>
      <c r="R141">
        <f t="shared" si="28"/>
        <v>0</v>
      </c>
      <c r="S141">
        <f t="shared" si="29"/>
        <v>1</v>
      </c>
      <c r="T141">
        <v>1</v>
      </c>
      <c r="U141" t="s">
        <v>139</v>
      </c>
      <c r="V141" s="18">
        <f t="shared" si="30"/>
        <v>6.8273092369477914E-2</v>
      </c>
      <c r="W141" s="18">
        <f t="shared" si="31"/>
        <v>8.6792452830188674E-2</v>
      </c>
      <c r="X141" s="18">
        <f t="shared" si="32"/>
        <v>0.10309278350515463</v>
      </c>
      <c r="Y141" s="18">
        <f t="shared" si="33"/>
        <v>0.39751552795031053</v>
      </c>
      <c r="Z141" s="18">
        <f t="shared" si="34"/>
        <v>0.56634304207119746</v>
      </c>
      <c r="AA141" s="10">
        <f t="shared" si="35"/>
        <v>0.24440337970000001</v>
      </c>
      <c r="AB141" t="str">
        <f>IF(AA141&gt;=Como_Avaliar!$B$15,"Alta",IF(AA141&gt;=Como_Avaliar!$B$16,"Média","Baixa"))</f>
        <v>Média</v>
      </c>
    </row>
    <row r="142" spans="1:28" x14ac:dyDescent="0.25">
      <c r="A142" t="s">
        <v>446</v>
      </c>
      <c r="B142" t="s">
        <v>381</v>
      </c>
      <c r="C142" t="s">
        <v>88</v>
      </c>
      <c r="D142" t="s">
        <v>56</v>
      </c>
      <c r="E142" t="s">
        <v>93</v>
      </c>
      <c r="F142">
        <v>5</v>
      </c>
      <c r="G142">
        <v>16</v>
      </c>
      <c r="H142">
        <v>2</v>
      </c>
      <c r="I142" t="s">
        <v>64</v>
      </c>
      <c r="J142" t="s">
        <v>97</v>
      </c>
      <c r="K142" t="s">
        <v>97</v>
      </c>
      <c r="L142" t="s">
        <v>293</v>
      </c>
      <c r="M142">
        <v>0</v>
      </c>
      <c r="N142" t="str">
        <f t="shared" si="24"/>
        <v>1. &lt; 8 anos</v>
      </c>
      <c r="O142" t="str">
        <f t="shared" si="25"/>
        <v>1. &lt; 20</v>
      </c>
      <c r="P142" t="str">
        <f t="shared" si="26"/>
        <v>1. 1 a 2</v>
      </c>
      <c r="Q142">
        <f t="shared" si="27"/>
        <v>1</v>
      </c>
      <c r="R142">
        <f t="shared" si="28"/>
        <v>0</v>
      </c>
      <c r="S142">
        <f t="shared" si="29"/>
        <v>1</v>
      </c>
      <c r="T142">
        <v>2</v>
      </c>
      <c r="U142" t="s">
        <v>139</v>
      </c>
      <c r="V142" s="18">
        <f t="shared" si="30"/>
        <v>6.8273092369477914E-2</v>
      </c>
      <c r="W142" s="18">
        <f t="shared" si="31"/>
        <v>8.6792452830188674E-2</v>
      </c>
      <c r="X142" s="18">
        <f t="shared" si="32"/>
        <v>0.10309278350515463</v>
      </c>
      <c r="Y142" s="18">
        <f t="shared" si="33"/>
        <v>0.15625</v>
      </c>
      <c r="Z142" s="18">
        <f t="shared" si="34"/>
        <v>0.22368421052631579</v>
      </c>
      <c r="AA142" s="10">
        <f t="shared" si="35"/>
        <v>0.1276185078</v>
      </c>
      <c r="AB142" t="str">
        <f>IF(AA142&gt;=Como_Avaliar!$B$15,"Alta",IF(AA142&gt;=Como_Avaliar!$B$16,"Média","Baixa"))</f>
        <v>Baixa</v>
      </c>
    </row>
    <row r="143" spans="1:28" x14ac:dyDescent="0.25">
      <c r="A143" t="s">
        <v>447</v>
      </c>
      <c r="B143" t="s">
        <v>305</v>
      </c>
      <c r="C143" t="s">
        <v>89</v>
      </c>
      <c r="D143" t="s">
        <v>59</v>
      </c>
      <c r="E143" t="s">
        <v>95</v>
      </c>
      <c r="F143">
        <v>10</v>
      </c>
      <c r="G143">
        <v>37</v>
      </c>
      <c r="H143">
        <v>8</v>
      </c>
      <c r="I143" t="s">
        <v>65</v>
      </c>
      <c r="J143" t="s">
        <v>97</v>
      </c>
      <c r="K143" t="s">
        <v>97</v>
      </c>
      <c r="L143" t="s">
        <v>284</v>
      </c>
      <c r="M143">
        <v>0</v>
      </c>
      <c r="N143" t="str">
        <f t="shared" si="24"/>
        <v>2. 8 a 15 anos</v>
      </c>
      <c r="O143" t="str">
        <f t="shared" si="25"/>
        <v>2. 20 a 49</v>
      </c>
      <c r="P143" t="str">
        <f t="shared" si="26"/>
        <v>3. 6 a 15</v>
      </c>
      <c r="Q143">
        <f t="shared" si="27"/>
        <v>0</v>
      </c>
      <c r="R143">
        <f t="shared" si="28"/>
        <v>0</v>
      </c>
      <c r="S143">
        <f t="shared" si="29"/>
        <v>1</v>
      </c>
      <c r="T143">
        <v>3</v>
      </c>
      <c r="U143" t="s">
        <v>138</v>
      </c>
      <c r="V143" s="18">
        <f t="shared" si="30"/>
        <v>0.43835616438356162</v>
      </c>
      <c r="W143" s="18">
        <f t="shared" si="31"/>
        <v>0.55319148936170215</v>
      </c>
      <c r="X143" s="18">
        <f t="shared" si="32"/>
        <v>0.25294117647058822</v>
      </c>
      <c r="Y143" s="18">
        <f t="shared" si="33"/>
        <v>0.39751552795031053</v>
      </c>
      <c r="Z143" s="18">
        <f t="shared" si="34"/>
        <v>0.22302158273381295</v>
      </c>
      <c r="AA143" s="10">
        <f t="shared" si="35"/>
        <v>0.3730051882</v>
      </c>
      <c r="AB143" t="str">
        <f>IF(AA143&gt;=Como_Avaliar!$B$15,"Alta",IF(AA143&gt;=Como_Avaliar!$B$16,"Média","Baixa"))</f>
        <v>Média</v>
      </c>
    </row>
    <row r="144" spans="1:28" x14ac:dyDescent="0.25">
      <c r="A144" t="s">
        <v>448</v>
      </c>
      <c r="B144" t="s">
        <v>288</v>
      </c>
      <c r="C144" t="s">
        <v>88</v>
      </c>
      <c r="D144" t="s">
        <v>56</v>
      </c>
      <c r="E144" t="s">
        <v>90</v>
      </c>
      <c r="F144">
        <v>7</v>
      </c>
      <c r="G144">
        <v>4</v>
      </c>
      <c r="H144">
        <v>1</v>
      </c>
      <c r="I144" t="s">
        <v>62</v>
      </c>
      <c r="J144" t="s">
        <v>97</v>
      </c>
      <c r="K144" t="s">
        <v>97</v>
      </c>
      <c r="L144" t="s">
        <v>289</v>
      </c>
      <c r="M144">
        <v>0</v>
      </c>
      <c r="N144" t="str">
        <f t="shared" si="24"/>
        <v>1. &lt; 8 anos</v>
      </c>
      <c r="O144" t="str">
        <f t="shared" si="25"/>
        <v>1. &lt; 20</v>
      </c>
      <c r="P144" t="str">
        <f t="shared" si="26"/>
        <v>1. 1 a 2</v>
      </c>
      <c r="Q144">
        <f t="shared" si="27"/>
        <v>0</v>
      </c>
      <c r="R144">
        <f t="shared" si="28"/>
        <v>0</v>
      </c>
      <c r="S144">
        <f t="shared" si="29"/>
        <v>1</v>
      </c>
      <c r="T144">
        <v>1</v>
      </c>
      <c r="U144" t="s">
        <v>139</v>
      </c>
      <c r="V144" s="18">
        <f t="shared" si="30"/>
        <v>6.8273092369477914E-2</v>
      </c>
      <c r="W144" s="18">
        <f t="shared" si="31"/>
        <v>8.6792452830188674E-2</v>
      </c>
      <c r="X144" s="18">
        <f t="shared" si="32"/>
        <v>0.10309278350515463</v>
      </c>
      <c r="Y144" s="18">
        <f t="shared" si="33"/>
        <v>0.37662337662337664</v>
      </c>
      <c r="Z144" s="18">
        <f t="shared" si="34"/>
        <v>0.22368421052631579</v>
      </c>
      <c r="AA144" s="10">
        <f t="shared" si="35"/>
        <v>0.17169318319999999</v>
      </c>
      <c r="AB144" t="str">
        <f>IF(AA144&gt;=Como_Avaliar!$B$15,"Alta",IF(AA144&gt;=Como_Avaliar!$B$16,"Média","Baixa"))</f>
        <v>Baixa</v>
      </c>
    </row>
    <row r="145" spans="1:28" x14ac:dyDescent="0.25">
      <c r="A145" t="s">
        <v>449</v>
      </c>
      <c r="B145" t="s">
        <v>297</v>
      </c>
      <c r="C145" t="s">
        <v>86</v>
      </c>
      <c r="D145" t="s">
        <v>56</v>
      </c>
      <c r="E145" t="s">
        <v>92</v>
      </c>
      <c r="F145">
        <v>26</v>
      </c>
      <c r="G145">
        <v>15</v>
      </c>
      <c r="H145">
        <v>1</v>
      </c>
      <c r="I145" t="s">
        <v>64</v>
      </c>
      <c r="J145" t="s">
        <v>98</v>
      </c>
      <c r="K145" t="s">
        <v>97</v>
      </c>
      <c r="L145" t="s">
        <v>284</v>
      </c>
      <c r="M145">
        <v>0</v>
      </c>
      <c r="N145" t="str">
        <f t="shared" si="24"/>
        <v>3. 16+ anos</v>
      </c>
      <c r="O145" t="str">
        <f t="shared" si="25"/>
        <v>1. &lt; 20</v>
      </c>
      <c r="P145" t="str">
        <f t="shared" si="26"/>
        <v>1. 1 a 2</v>
      </c>
      <c r="Q145">
        <f t="shared" si="27"/>
        <v>1</v>
      </c>
      <c r="R145">
        <f t="shared" si="28"/>
        <v>0</v>
      </c>
      <c r="S145">
        <f t="shared" si="29"/>
        <v>1</v>
      </c>
      <c r="T145">
        <v>2</v>
      </c>
      <c r="U145" t="s">
        <v>139</v>
      </c>
      <c r="V145" s="18">
        <f t="shared" si="30"/>
        <v>6.8273092369477914E-2</v>
      </c>
      <c r="W145" s="18">
        <f t="shared" si="31"/>
        <v>8.6792452830188674E-2</v>
      </c>
      <c r="X145" s="18">
        <f t="shared" si="32"/>
        <v>0.10309278350515463</v>
      </c>
      <c r="Y145" s="18">
        <f t="shared" si="33"/>
        <v>0.15625</v>
      </c>
      <c r="Z145" s="18">
        <f t="shared" si="34"/>
        <v>0.56634304207119746</v>
      </c>
      <c r="AA145" s="10">
        <f t="shared" si="35"/>
        <v>0.1961502742</v>
      </c>
      <c r="AB145" t="str">
        <f>IF(AA145&gt;=Como_Avaliar!$B$15,"Alta",IF(AA145&gt;=Como_Avaliar!$B$16,"Média","Baixa"))</f>
        <v>Baixa</v>
      </c>
    </row>
    <row r="146" spans="1:28" x14ac:dyDescent="0.25">
      <c r="A146" t="s">
        <v>450</v>
      </c>
      <c r="B146" t="s">
        <v>301</v>
      </c>
      <c r="C146" t="s">
        <v>88</v>
      </c>
      <c r="D146" t="s">
        <v>56</v>
      </c>
      <c r="E146" t="s">
        <v>93</v>
      </c>
      <c r="F146">
        <v>9</v>
      </c>
      <c r="G146">
        <v>18</v>
      </c>
      <c r="H146">
        <v>1</v>
      </c>
      <c r="I146" t="s">
        <v>65</v>
      </c>
      <c r="J146" t="s">
        <v>97</v>
      </c>
      <c r="K146" t="s">
        <v>98</v>
      </c>
      <c r="L146" t="s">
        <v>329</v>
      </c>
      <c r="M146">
        <v>0</v>
      </c>
      <c r="N146" t="str">
        <f t="shared" si="24"/>
        <v>2. 8 a 15 anos</v>
      </c>
      <c r="O146" t="str">
        <f t="shared" si="25"/>
        <v>1. &lt; 20</v>
      </c>
      <c r="P146" t="str">
        <f t="shared" si="26"/>
        <v>1. 1 a 2</v>
      </c>
      <c r="Q146">
        <f t="shared" si="27"/>
        <v>0</v>
      </c>
      <c r="R146">
        <f t="shared" si="28"/>
        <v>0</v>
      </c>
      <c r="S146">
        <f t="shared" si="29"/>
        <v>1</v>
      </c>
      <c r="T146">
        <v>2</v>
      </c>
      <c r="U146" t="s">
        <v>139</v>
      </c>
      <c r="V146" s="18">
        <f t="shared" si="30"/>
        <v>6.8273092369477914E-2</v>
      </c>
      <c r="W146" s="18">
        <f t="shared" si="31"/>
        <v>8.6792452830188674E-2</v>
      </c>
      <c r="X146" s="18">
        <f t="shared" si="32"/>
        <v>0.10309278350515463</v>
      </c>
      <c r="Y146" s="18">
        <f t="shared" si="33"/>
        <v>0.39751552795031053</v>
      </c>
      <c r="Z146" s="18">
        <f t="shared" si="34"/>
        <v>0.22302158273381295</v>
      </c>
      <c r="AA146" s="10">
        <f t="shared" si="35"/>
        <v>0.17573908790000001</v>
      </c>
      <c r="AB146" t="str">
        <f>IF(AA146&gt;=Como_Avaliar!$B$15,"Alta",IF(AA146&gt;=Como_Avaliar!$B$16,"Média","Baixa"))</f>
        <v>Baixa</v>
      </c>
    </row>
    <row r="147" spans="1:28" x14ac:dyDescent="0.25">
      <c r="A147" t="s">
        <v>451</v>
      </c>
      <c r="B147" t="s">
        <v>286</v>
      </c>
      <c r="C147" t="s">
        <v>88</v>
      </c>
      <c r="D147" t="s">
        <v>59</v>
      </c>
      <c r="E147" t="s">
        <v>95</v>
      </c>
      <c r="F147">
        <v>28</v>
      </c>
      <c r="G147">
        <v>38</v>
      </c>
      <c r="H147">
        <v>6</v>
      </c>
      <c r="I147" t="s">
        <v>62</v>
      </c>
      <c r="J147" t="s">
        <v>98</v>
      </c>
      <c r="K147" t="s">
        <v>97</v>
      </c>
      <c r="L147" t="s">
        <v>284</v>
      </c>
      <c r="M147">
        <v>1</v>
      </c>
      <c r="N147" t="str">
        <f t="shared" si="24"/>
        <v>3. 16+ anos</v>
      </c>
      <c r="O147" t="str">
        <f t="shared" si="25"/>
        <v>2. 20 a 49</v>
      </c>
      <c r="P147" t="str">
        <f t="shared" si="26"/>
        <v>3. 6 a 15</v>
      </c>
      <c r="Q147">
        <f t="shared" si="27"/>
        <v>0</v>
      </c>
      <c r="R147">
        <f t="shared" si="28"/>
        <v>0</v>
      </c>
      <c r="S147">
        <f t="shared" si="29"/>
        <v>0</v>
      </c>
      <c r="V147" s="18">
        <f t="shared" si="30"/>
        <v>0.43835616438356162</v>
      </c>
      <c r="W147" s="18">
        <f t="shared" si="31"/>
        <v>0.55319148936170215</v>
      </c>
      <c r="X147" s="18">
        <f t="shared" si="32"/>
        <v>0.25294117647058822</v>
      </c>
      <c r="Y147" s="18">
        <f t="shared" si="33"/>
        <v>0.37662337662337664</v>
      </c>
      <c r="Z147" s="18">
        <f t="shared" si="34"/>
        <v>0.56634304207119746</v>
      </c>
      <c r="AA147" s="10">
        <f t="shared" si="35"/>
        <v>0.43749104979999998</v>
      </c>
      <c r="AB147" t="str">
        <f>IF(AA147&gt;=Como_Avaliar!$B$15,"Alta",IF(AA147&gt;=Como_Avaliar!$B$16,"Média","Baixa"))</f>
        <v>Média</v>
      </c>
    </row>
    <row r="148" spans="1:28" x14ac:dyDescent="0.25">
      <c r="A148" t="s">
        <v>452</v>
      </c>
      <c r="B148" t="s">
        <v>305</v>
      </c>
      <c r="C148" t="s">
        <v>89</v>
      </c>
      <c r="D148" t="s">
        <v>57</v>
      </c>
      <c r="E148" t="s">
        <v>90</v>
      </c>
      <c r="F148">
        <v>7</v>
      </c>
      <c r="G148">
        <v>496</v>
      </c>
      <c r="H148">
        <v>53</v>
      </c>
      <c r="I148" t="s">
        <v>66</v>
      </c>
      <c r="J148" t="s">
        <v>98</v>
      </c>
      <c r="K148" t="s">
        <v>98</v>
      </c>
      <c r="L148" t="s">
        <v>284</v>
      </c>
      <c r="M148">
        <v>1</v>
      </c>
      <c r="N148" t="str">
        <f t="shared" si="24"/>
        <v>1. &lt; 8 anos</v>
      </c>
      <c r="O148" t="str">
        <f t="shared" si="25"/>
        <v>4. 150+</v>
      </c>
      <c r="P148" t="str">
        <f t="shared" si="26"/>
        <v>4. 16+</v>
      </c>
      <c r="Q148">
        <f t="shared" si="27"/>
        <v>0</v>
      </c>
      <c r="R148">
        <f t="shared" si="28"/>
        <v>1</v>
      </c>
      <c r="S148">
        <f t="shared" si="29"/>
        <v>0</v>
      </c>
      <c r="V148" s="18">
        <f t="shared" si="30"/>
        <v>1</v>
      </c>
      <c r="W148" s="18">
        <f t="shared" si="31"/>
        <v>0.97272727272727277</v>
      </c>
      <c r="X148" s="18">
        <f t="shared" si="32"/>
        <v>0.97938144329896903</v>
      </c>
      <c r="Y148" s="18">
        <f t="shared" si="33"/>
        <v>1</v>
      </c>
      <c r="Z148" s="18">
        <f t="shared" si="34"/>
        <v>0.22368421052631579</v>
      </c>
      <c r="AA148" s="10">
        <f t="shared" si="35"/>
        <v>0.83515858529999998</v>
      </c>
      <c r="AB148" t="str">
        <f>IF(AA148&gt;=Como_Avaliar!$B$15,"Alta",IF(AA148&gt;=Como_Avaliar!$B$16,"Média","Baixa"))</f>
        <v>Alta</v>
      </c>
    </row>
    <row r="149" spans="1:28" x14ac:dyDescent="0.25">
      <c r="A149" t="s">
        <v>453</v>
      </c>
      <c r="B149" t="s">
        <v>292</v>
      </c>
      <c r="C149" t="s">
        <v>84</v>
      </c>
      <c r="D149" t="s">
        <v>56</v>
      </c>
      <c r="E149" t="s">
        <v>93</v>
      </c>
      <c r="F149">
        <v>9</v>
      </c>
      <c r="G149">
        <v>4</v>
      </c>
      <c r="H149">
        <v>1</v>
      </c>
      <c r="I149" t="s">
        <v>62</v>
      </c>
      <c r="J149" t="s">
        <v>97</v>
      </c>
      <c r="K149" t="s">
        <v>98</v>
      </c>
      <c r="L149" t="s">
        <v>284</v>
      </c>
      <c r="M149">
        <v>0</v>
      </c>
      <c r="N149" t="str">
        <f t="shared" si="24"/>
        <v>2. 8 a 15 anos</v>
      </c>
      <c r="O149" t="str">
        <f t="shared" si="25"/>
        <v>1. &lt; 20</v>
      </c>
      <c r="P149" t="str">
        <f t="shared" si="26"/>
        <v>1. 1 a 2</v>
      </c>
      <c r="Q149">
        <f t="shared" si="27"/>
        <v>0</v>
      </c>
      <c r="R149">
        <f t="shared" si="28"/>
        <v>0</v>
      </c>
      <c r="S149">
        <f t="shared" si="29"/>
        <v>1</v>
      </c>
      <c r="T149">
        <v>2</v>
      </c>
      <c r="U149" t="s">
        <v>139</v>
      </c>
      <c r="V149" s="18">
        <f t="shared" si="30"/>
        <v>6.8273092369477914E-2</v>
      </c>
      <c r="W149" s="18">
        <f t="shared" si="31"/>
        <v>8.6792452830188674E-2</v>
      </c>
      <c r="X149" s="18">
        <f t="shared" si="32"/>
        <v>0.10309278350515463</v>
      </c>
      <c r="Y149" s="18">
        <f t="shared" si="33"/>
        <v>0.37662337662337664</v>
      </c>
      <c r="Z149" s="18">
        <f t="shared" si="34"/>
        <v>0.22302158273381295</v>
      </c>
      <c r="AA149" s="10">
        <f t="shared" si="35"/>
        <v>0.1715606576</v>
      </c>
      <c r="AB149" t="str">
        <f>IF(AA149&gt;=Como_Avaliar!$B$15,"Alta",IF(AA149&gt;=Como_Avaliar!$B$16,"Média","Baixa"))</f>
        <v>Baixa</v>
      </c>
    </row>
    <row r="150" spans="1:28" x14ac:dyDescent="0.25">
      <c r="A150" t="s">
        <v>454</v>
      </c>
      <c r="B150" t="s">
        <v>286</v>
      </c>
      <c r="C150" t="s">
        <v>88</v>
      </c>
      <c r="D150" t="s">
        <v>59</v>
      </c>
      <c r="E150" t="s">
        <v>90</v>
      </c>
      <c r="F150">
        <v>8</v>
      </c>
      <c r="G150">
        <v>16</v>
      </c>
      <c r="H150">
        <v>9</v>
      </c>
      <c r="I150" t="s">
        <v>62</v>
      </c>
      <c r="J150" t="s">
        <v>98</v>
      </c>
      <c r="K150" t="s">
        <v>97</v>
      </c>
      <c r="L150" t="s">
        <v>284</v>
      </c>
      <c r="M150">
        <v>0</v>
      </c>
      <c r="N150" t="str">
        <f t="shared" si="24"/>
        <v>2. 8 a 15 anos</v>
      </c>
      <c r="O150" t="str">
        <f t="shared" si="25"/>
        <v>1. &lt; 20</v>
      </c>
      <c r="P150" t="str">
        <f t="shared" si="26"/>
        <v>3. 6 a 15</v>
      </c>
      <c r="Q150">
        <f t="shared" si="27"/>
        <v>0</v>
      </c>
      <c r="R150">
        <f t="shared" si="28"/>
        <v>0</v>
      </c>
      <c r="S150">
        <f t="shared" si="29"/>
        <v>1</v>
      </c>
      <c r="T150">
        <v>2</v>
      </c>
      <c r="U150" t="s">
        <v>139</v>
      </c>
      <c r="V150" s="18">
        <f t="shared" si="30"/>
        <v>0.43835616438356162</v>
      </c>
      <c r="W150" s="18">
        <f t="shared" si="31"/>
        <v>0.55319148936170215</v>
      </c>
      <c r="X150" s="18">
        <f t="shared" si="32"/>
        <v>0.10309278350515463</v>
      </c>
      <c r="Y150" s="18">
        <f t="shared" si="33"/>
        <v>0.37662337662337664</v>
      </c>
      <c r="Z150" s="18">
        <f t="shared" si="34"/>
        <v>0.22302158273381295</v>
      </c>
      <c r="AA150" s="10">
        <f t="shared" si="35"/>
        <v>0.33885707929999997</v>
      </c>
      <c r="AB150" t="str">
        <f>IF(AA150&gt;=Como_Avaliar!$B$15,"Alta",IF(AA150&gt;=Como_Avaliar!$B$16,"Média","Baixa"))</f>
        <v>Média</v>
      </c>
    </row>
    <row r="151" spans="1:28" x14ac:dyDescent="0.25">
      <c r="A151" t="s">
        <v>455</v>
      </c>
      <c r="B151" t="s">
        <v>288</v>
      </c>
      <c r="C151" t="s">
        <v>88</v>
      </c>
      <c r="D151" t="s">
        <v>56</v>
      </c>
      <c r="E151" t="s">
        <v>91</v>
      </c>
      <c r="F151">
        <v>12</v>
      </c>
      <c r="G151">
        <v>12</v>
      </c>
      <c r="H151">
        <v>2</v>
      </c>
      <c r="I151" t="s">
        <v>63</v>
      </c>
      <c r="J151" t="s">
        <v>98</v>
      </c>
      <c r="K151" t="s">
        <v>98</v>
      </c>
      <c r="L151" t="s">
        <v>284</v>
      </c>
      <c r="M151">
        <v>0</v>
      </c>
      <c r="N151" t="str">
        <f t="shared" si="24"/>
        <v>2. 8 a 15 anos</v>
      </c>
      <c r="O151" t="str">
        <f t="shared" si="25"/>
        <v>1. &lt; 20</v>
      </c>
      <c r="P151" t="str">
        <f t="shared" si="26"/>
        <v>1. 1 a 2</v>
      </c>
      <c r="Q151">
        <f t="shared" si="27"/>
        <v>1</v>
      </c>
      <c r="R151">
        <f t="shared" si="28"/>
        <v>0</v>
      </c>
      <c r="S151">
        <f t="shared" si="29"/>
        <v>1</v>
      </c>
      <c r="T151">
        <v>1</v>
      </c>
      <c r="U151" t="s">
        <v>139</v>
      </c>
      <c r="V151" s="18">
        <f t="shared" si="30"/>
        <v>6.8273092369477914E-2</v>
      </c>
      <c r="W151" s="18">
        <f t="shared" si="31"/>
        <v>8.6792452830188674E-2</v>
      </c>
      <c r="X151" s="18">
        <f t="shared" si="32"/>
        <v>0.10309278350515463</v>
      </c>
      <c r="Y151" s="18">
        <f t="shared" si="33"/>
        <v>6.5217391304347824E-2</v>
      </c>
      <c r="Z151" s="18">
        <f t="shared" si="34"/>
        <v>0.22302158273381295</v>
      </c>
      <c r="AA151" s="10">
        <f t="shared" si="35"/>
        <v>0.10927946049999999</v>
      </c>
      <c r="AB151" t="str">
        <f>IF(AA151&gt;=Como_Avaliar!$B$15,"Alta",IF(AA151&gt;=Como_Avaliar!$B$16,"Média","Baixa"))</f>
        <v>Baixa</v>
      </c>
    </row>
    <row r="152" spans="1:28" x14ac:dyDescent="0.25">
      <c r="A152" t="s">
        <v>456</v>
      </c>
      <c r="B152" t="s">
        <v>391</v>
      </c>
      <c r="C152" t="s">
        <v>87</v>
      </c>
      <c r="D152" t="s">
        <v>59</v>
      </c>
      <c r="E152" t="s">
        <v>92</v>
      </c>
      <c r="F152">
        <v>2</v>
      </c>
      <c r="G152">
        <v>28</v>
      </c>
      <c r="H152">
        <v>8</v>
      </c>
      <c r="I152" t="s">
        <v>64</v>
      </c>
      <c r="J152" t="s">
        <v>98</v>
      </c>
      <c r="K152" t="s">
        <v>97</v>
      </c>
      <c r="L152" t="s">
        <v>284</v>
      </c>
      <c r="M152">
        <v>0</v>
      </c>
      <c r="N152" t="str">
        <f t="shared" si="24"/>
        <v>1. &lt; 8 anos</v>
      </c>
      <c r="O152" t="str">
        <f t="shared" si="25"/>
        <v>2. 20 a 49</v>
      </c>
      <c r="P152" t="str">
        <f t="shared" si="26"/>
        <v>3. 6 a 15</v>
      </c>
      <c r="Q152">
        <f t="shared" si="27"/>
        <v>1</v>
      </c>
      <c r="R152">
        <f t="shared" si="28"/>
        <v>0</v>
      </c>
      <c r="S152">
        <f t="shared" si="29"/>
        <v>1</v>
      </c>
      <c r="T152">
        <v>3</v>
      </c>
      <c r="U152" t="s">
        <v>138</v>
      </c>
      <c r="V152" s="18">
        <f t="shared" si="30"/>
        <v>0.43835616438356162</v>
      </c>
      <c r="W152" s="18">
        <f t="shared" si="31"/>
        <v>0.55319148936170215</v>
      </c>
      <c r="X152" s="18">
        <f t="shared" si="32"/>
        <v>0.25294117647058822</v>
      </c>
      <c r="Y152" s="18">
        <f t="shared" si="33"/>
        <v>0.15625</v>
      </c>
      <c r="Z152" s="18">
        <f t="shared" si="34"/>
        <v>0.22368421052631579</v>
      </c>
      <c r="AA152" s="10">
        <f t="shared" si="35"/>
        <v>0.32488460810000003</v>
      </c>
      <c r="AB152" t="str">
        <f>IF(AA152&gt;=Como_Avaliar!$B$15,"Alta",IF(AA152&gt;=Como_Avaliar!$B$16,"Média","Baixa"))</f>
        <v>Média</v>
      </c>
    </row>
    <row r="153" spans="1:28" x14ac:dyDescent="0.25">
      <c r="A153" t="s">
        <v>457</v>
      </c>
      <c r="B153" t="s">
        <v>283</v>
      </c>
      <c r="C153" t="s">
        <v>89</v>
      </c>
      <c r="D153" t="s">
        <v>57</v>
      </c>
      <c r="E153" t="s">
        <v>91</v>
      </c>
      <c r="F153">
        <v>1</v>
      </c>
      <c r="G153">
        <v>543</v>
      </c>
      <c r="H153">
        <v>84</v>
      </c>
      <c r="I153" t="s">
        <v>66</v>
      </c>
      <c r="J153" t="s">
        <v>97</v>
      </c>
      <c r="K153" t="s">
        <v>97</v>
      </c>
      <c r="L153" t="s">
        <v>329</v>
      </c>
      <c r="M153">
        <v>1</v>
      </c>
      <c r="N153" t="str">
        <f t="shared" si="24"/>
        <v>1. &lt; 8 anos</v>
      </c>
      <c r="O153" t="str">
        <f t="shared" si="25"/>
        <v>4. 150+</v>
      </c>
      <c r="P153" t="str">
        <f t="shared" si="26"/>
        <v>4. 16+</v>
      </c>
      <c r="Q153">
        <f t="shared" si="27"/>
        <v>0</v>
      </c>
      <c r="R153">
        <f t="shared" si="28"/>
        <v>1</v>
      </c>
      <c r="S153">
        <f t="shared" si="29"/>
        <v>0</v>
      </c>
      <c r="V153" s="18">
        <f t="shared" si="30"/>
        <v>1</v>
      </c>
      <c r="W153" s="18">
        <f t="shared" si="31"/>
        <v>0.97272727272727277</v>
      </c>
      <c r="X153" s="18">
        <f t="shared" si="32"/>
        <v>0.97938144329896903</v>
      </c>
      <c r="Y153" s="18">
        <f t="shared" si="33"/>
        <v>1</v>
      </c>
      <c r="Z153" s="18">
        <f t="shared" si="34"/>
        <v>0.22368421052631579</v>
      </c>
      <c r="AA153" s="10">
        <f t="shared" si="35"/>
        <v>0.83515858529999998</v>
      </c>
      <c r="AB153" t="str">
        <f>IF(AA153&gt;=Como_Avaliar!$B$15,"Alta",IF(AA153&gt;=Como_Avaliar!$B$16,"Média","Baixa"))</f>
        <v>Alta</v>
      </c>
    </row>
    <row r="154" spans="1:28" x14ac:dyDescent="0.25">
      <c r="A154" t="s">
        <v>458</v>
      </c>
      <c r="B154" t="s">
        <v>301</v>
      </c>
      <c r="C154" t="s">
        <v>88</v>
      </c>
      <c r="D154" t="s">
        <v>59</v>
      </c>
      <c r="E154" t="s">
        <v>93</v>
      </c>
      <c r="F154">
        <v>16</v>
      </c>
      <c r="G154">
        <v>51</v>
      </c>
      <c r="H154">
        <v>10</v>
      </c>
      <c r="I154" t="s">
        <v>64</v>
      </c>
      <c r="J154" t="s">
        <v>97</v>
      </c>
      <c r="K154" t="s">
        <v>97</v>
      </c>
      <c r="L154" t="s">
        <v>284</v>
      </c>
      <c r="M154">
        <v>0</v>
      </c>
      <c r="N154" t="str">
        <f t="shared" si="24"/>
        <v>3. 16+ anos</v>
      </c>
      <c r="O154" t="str">
        <f t="shared" si="25"/>
        <v>3. 50 a 149</v>
      </c>
      <c r="P154" t="str">
        <f t="shared" si="26"/>
        <v>3. 6 a 15</v>
      </c>
      <c r="Q154">
        <f t="shared" si="27"/>
        <v>1</v>
      </c>
      <c r="R154">
        <f t="shared" si="28"/>
        <v>0</v>
      </c>
      <c r="S154">
        <f t="shared" si="29"/>
        <v>1</v>
      </c>
      <c r="T154">
        <v>3</v>
      </c>
      <c r="U154" t="s">
        <v>138</v>
      </c>
      <c r="V154" s="18">
        <f t="shared" si="30"/>
        <v>0.43835616438356162</v>
      </c>
      <c r="W154" s="18">
        <f t="shared" si="31"/>
        <v>0.55319148936170215</v>
      </c>
      <c r="X154" s="18">
        <f t="shared" si="32"/>
        <v>0.58992805755395683</v>
      </c>
      <c r="Y154" s="18">
        <f t="shared" si="33"/>
        <v>0.15625</v>
      </c>
      <c r="Z154" s="18">
        <f t="shared" si="34"/>
        <v>0.56634304207119746</v>
      </c>
      <c r="AA154" s="10">
        <f t="shared" si="35"/>
        <v>0.46081375070000002</v>
      </c>
      <c r="AB154" t="str">
        <f>IF(AA154&gt;=Como_Avaliar!$B$15,"Alta",IF(AA154&gt;=Como_Avaliar!$B$16,"Média","Baixa"))</f>
        <v>Média</v>
      </c>
    </row>
    <row r="155" spans="1:28" x14ac:dyDescent="0.25">
      <c r="A155" t="s">
        <v>459</v>
      </c>
      <c r="B155" t="s">
        <v>305</v>
      </c>
      <c r="C155" t="s">
        <v>89</v>
      </c>
      <c r="D155" t="s">
        <v>56</v>
      </c>
      <c r="E155" t="s">
        <v>91</v>
      </c>
      <c r="F155">
        <v>23</v>
      </c>
      <c r="G155">
        <v>17</v>
      </c>
      <c r="H155">
        <v>1</v>
      </c>
      <c r="I155" t="s">
        <v>62</v>
      </c>
      <c r="J155" t="s">
        <v>98</v>
      </c>
      <c r="K155" t="s">
        <v>97</v>
      </c>
      <c r="L155" t="s">
        <v>289</v>
      </c>
      <c r="M155">
        <v>1</v>
      </c>
      <c r="N155" t="str">
        <f t="shared" si="24"/>
        <v>3. 16+ anos</v>
      </c>
      <c r="O155" t="str">
        <f t="shared" si="25"/>
        <v>1. &lt; 20</v>
      </c>
      <c r="P155" t="str">
        <f t="shared" si="26"/>
        <v>1. 1 a 2</v>
      </c>
      <c r="Q155">
        <f t="shared" si="27"/>
        <v>0</v>
      </c>
      <c r="R155">
        <f t="shared" si="28"/>
        <v>0</v>
      </c>
      <c r="S155">
        <f t="shared" si="29"/>
        <v>0</v>
      </c>
      <c r="V155" s="18">
        <f t="shared" si="30"/>
        <v>6.8273092369477914E-2</v>
      </c>
      <c r="W155" s="18">
        <f t="shared" si="31"/>
        <v>8.6792452830188674E-2</v>
      </c>
      <c r="X155" s="18">
        <f t="shared" si="32"/>
        <v>0.10309278350515463</v>
      </c>
      <c r="Y155" s="18">
        <f t="shared" si="33"/>
        <v>0.37662337662337664</v>
      </c>
      <c r="Z155" s="18">
        <f t="shared" si="34"/>
        <v>0.56634304207119746</v>
      </c>
      <c r="AA155" s="10">
        <f t="shared" si="35"/>
        <v>0.24022494950000001</v>
      </c>
      <c r="AB155" t="str">
        <f>IF(AA155&gt;=Como_Avaliar!$B$15,"Alta",IF(AA155&gt;=Como_Avaliar!$B$16,"Média","Baixa"))</f>
        <v>Média</v>
      </c>
    </row>
    <row r="156" spans="1:28" x14ac:dyDescent="0.25">
      <c r="A156" t="s">
        <v>460</v>
      </c>
      <c r="B156" t="s">
        <v>286</v>
      </c>
      <c r="C156" t="s">
        <v>88</v>
      </c>
      <c r="D156" t="s">
        <v>58</v>
      </c>
      <c r="E156" t="s">
        <v>95</v>
      </c>
      <c r="F156">
        <v>23</v>
      </c>
      <c r="G156">
        <v>224</v>
      </c>
      <c r="H156">
        <v>19</v>
      </c>
      <c r="I156" t="s">
        <v>66</v>
      </c>
      <c r="J156" t="s">
        <v>98</v>
      </c>
      <c r="K156" t="s">
        <v>97</v>
      </c>
      <c r="L156" t="s">
        <v>298</v>
      </c>
      <c r="M156">
        <v>1</v>
      </c>
      <c r="N156" t="str">
        <f t="shared" si="24"/>
        <v>3. 16+ anos</v>
      </c>
      <c r="O156" t="str">
        <f t="shared" si="25"/>
        <v>4. 150+</v>
      </c>
      <c r="P156" t="str">
        <f t="shared" si="26"/>
        <v>4. 16+</v>
      </c>
      <c r="Q156">
        <f t="shared" si="27"/>
        <v>0</v>
      </c>
      <c r="R156">
        <f t="shared" si="28"/>
        <v>1</v>
      </c>
      <c r="S156">
        <f t="shared" si="29"/>
        <v>0</v>
      </c>
      <c r="V156" s="18">
        <f t="shared" si="30"/>
        <v>0.93975903614457834</v>
      </c>
      <c r="W156" s="18">
        <f t="shared" si="31"/>
        <v>0.97272727272727277</v>
      </c>
      <c r="X156" s="18">
        <f t="shared" si="32"/>
        <v>0.97938144329896903</v>
      </c>
      <c r="Y156" s="18">
        <f t="shared" si="33"/>
        <v>1</v>
      </c>
      <c r="Z156" s="18">
        <f t="shared" si="34"/>
        <v>0.56634304207119746</v>
      </c>
      <c r="AA156" s="10">
        <f t="shared" si="35"/>
        <v>0.89164215879999997</v>
      </c>
      <c r="AB156" t="str">
        <f>IF(AA156&gt;=Como_Avaliar!$B$15,"Alta",IF(AA156&gt;=Como_Avaliar!$B$16,"Média","Baixa"))</f>
        <v>Alta</v>
      </c>
    </row>
    <row r="157" spans="1:28" x14ac:dyDescent="0.25">
      <c r="A157" t="s">
        <v>461</v>
      </c>
      <c r="B157" t="s">
        <v>288</v>
      </c>
      <c r="C157" t="s">
        <v>88</v>
      </c>
      <c r="D157" t="s">
        <v>59</v>
      </c>
      <c r="E157" t="s">
        <v>92</v>
      </c>
      <c r="F157">
        <v>24</v>
      </c>
      <c r="G157">
        <v>78</v>
      </c>
      <c r="H157">
        <v>2</v>
      </c>
      <c r="I157" t="s">
        <v>68</v>
      </c>
      <c r="J157" t="s">
        <v>98</v>
      </c>
      <c r="K157" t="s">
        <v>98</v>
      </c>
      <c r="L157" t="s">
        <v>329</v>
      </c>
      <c r="M157">
        <v>0</v>
      </c>
      <c r="N157" t="str">
        <f t="shared" si="24"/>
        <v>3. 16+ anos</v>
      </c>
      <c r="O157" t="str">
        <f t="shared" si="25"/>
        <v>3. 50 a 149</v>
      </c>
      <c r="P157" t="str">
        <f t="shared" si="26"/>
        <v>1. 1 a 2</v>
      </c>
      <c r="Q157">
        <f t="shared" si="27"/>
        <v>0</v>
      </c>
      <c r="R157">
        <f t="shared" si="28"/>
        <v>0</v>
      </c>
      <c r="S157">
        <f t="shared" si="29"/>
        <v>1</v>
      </c>
      <c r="T157">
        <v>3</v>
      </c>
      <c r="U157" t="s">
        <v>138</v>
      </c>
      <c r="V157" s="18">
        <f t="shared" si="30"/>
        <v>0.43835616438356162</v>
      </c>
      <c r="W157" s="18">
        <f t="shared" si="31"/>
        <v>8.6792452830188674E-2</v>
      </c>
      <c r="X157" s="18">
        <f t="shared" si="32"/>
        <v>0.58992805755395683</v>
      </c>
      <c r="Y157" s="18">
        <f t="shared" si="33"/>
        <v>0.58333333333333337</v>
      </c>
      <c r="Z157" s="18">
        <f t="shared" si="34"/>
        <v>0.56634304207119746</v>
      </c>
      <c r="AA157" s="10">
        <f t="shared" si="35"/>
        <v>0.45295060999999998</v>
      </c>
      <c r="AB157" t="str">
        <f>IF(AA157&gt;=Como_Avaliar!$B$15,"Alta",IF(AA157&gt;=Como_Avaliar!$B$16,"Média","Baixa"))</f>
        <v>Média</v>
      </c>
    </row>
    <row r="158" spans="1:28" x14ac:dyDescent="0.25">
      <c r="A158" t="s">
        <v>462</v>
      </c>
      <c r="B158" t="s">
        <v>288</v>
      </c>
      <c r="C158" t="s">
        <v>88</v>
      </c>
      <c r="D158" t="s">
        <v>56</v>
      </c>
      <c r="E158" t="s">
        <v>94</v>
      </c>
      <c r="F158">
        <v>5</v>
      </c>
      <c r="G158">
        <v>7</v>
      </c>
      <c r="H158">
        <v>2</v>
      </c>
      <c r="I158" t="s">
        <v>65</v>
      </c>
      <c r="J158" t="s">
        <v>97</v>
      </c>
      <c r="K158" t="s">
        <v>97</v>
      </c>
      <c r="L158" t="s">
        <v>289</v>
      </c>
      <c r="M158">
        <v>0</v>
      </c>
      <c r="N158" t="str">
        <f t="shared" si="24"/>
        <v>1. &lt; 8 anos</v>
      </c>
      <c r="O158" t="str">
        <f t="shared" si="25"/>
        <v>1. &lt; 20</v>
      </c>
      <c r="P158" t="str">
        <f t="shared" si="26"/>
        <v>1. 1 a 2</v>
      </c>
      <c r="Q158">
        <f t="shared" si="27"/>
        <v>0</v>
      </c>
      <c r="R158">
        <f t="shared" si="28"/>
        <v>0</v>
      </c>
      <c r="S158">
        <f t="shared" si="29"/>
        <v>1</v>
      </c>
      <c r="T158">
        <v>1</v>
      </c>
      <c r="U158" t="s">
        <v>139</v>
      </c>
      <c r="V158" s="18">
        <f t="shared" si="30"/>
        <v>6.8273092369477914E-2</v>
      </c>
      <c r="W158" s="18">
        <f t="shared" si="31"/>
        <v>8.6792452830188674E-2</v>
      </c>
      <c r="X158" s="18">
        <f t="shared" si="32"/>
        <v>0.10309278350515463</v>
      </c>
      <c r="Y158" s="18">
        <f t="shared" si="33"/>
        <v>0.39751552795031053</v>
      </c>
      <c r="Z158" s="18">
        <f t="shared" si="34"/>
        <v>0.22368421052631579</v>
      </c>
      <c r="AA158" s="10">
        <f t="shared" si="35"/>
        <v>0.17587161339999999</v>
      </c>
      <c r="AB158" t="str">
        <f>IF(AA158&gt;=Como_Avaliar!$B$15,"Alta",IF(AA158&gt;=Como_Avaliar!$B$16,"Média","Baixa"))</f>
        <v>Baixa</v>
      </c>
    </row>
    <row r="159" spans="1:28" x14ac:dyDescent="0.25">
      <c r="A159" t="s">
        <v>463</v>
      </c>
      <c r="B159" t="s">
        <v>312</v>
      </c>
      <c r="C159" t="s">
        <v>89</v>
      </c>
      <c r="D159" t="s">
        <v>59</v>
      </c>
      <c r="E159" t="s">
        <v>91</v>
      </c>
      <c r="F159">
        <v>3</v>
      </c>
      <c r="G159">
        <v>79</v>
      </c>
      <c r="H159">
        <v>3</v>
      </c>
      <c r="I159" t="s">
        <v>60</v>
      </c>
      <c r="J159" t="s">
        <v>97</v>
      </c>
      <c r="K159" t="s">
        <v>98</v>
      </c>
      <c r="L159" t="s">
        <v>289</v>
      </c>
      <c r="M159">
        <v>0</v>
      </c>
      <c r="N159" t="str">
        <f t="shared" si="24"/>
        <v>1. &lt; 8 anos</v>
      </c>
      <c r="O159" t="str">
        <f t="shared" si="25"/>
        <v>3. 50 a 149</v>
      </c>
      <c r="P159" t="str">
        <f t="shared" si="26"/>
        <v>2. 3 a 5</v>
      </c>
      <c r="Q159">
        <f t="shared" si="27"/>
        <v>0</v>
      </c>
      <c r="R159">
        <f t="shared" si="28"/>
        <v>0</v>
      </c>
      <c r="S159">
        <f t="shared" si="29"/>
        <v>1</v>
      </c>
      <c r="T159">
        <v>4</v>
      </c>
      <c r="U159" t="s">
        <v>137</v>
      </c>
      <c r="V159" s="18">
        <f t="shared" si="30"/>
        <v>0.43835616438356162</v>
      </c>
      <c r="W159" s="18">
        <f t="shared" si="31"/>
        <v>0.38095238095238093</v>
      </c>
      <c r="X159" s="18">
        <f t="shared" si="32"/>
        <v>0.58992805755395683</v>
      </c>
      <c r="Y159" s="18">
        <f t="shared" si="33"/>
        <v>0.65217391304347827</v>
      </c>
      <c r="Z159" s="18">
        <f t="shared" si="34"/>
        <v>0.22368421052631579</v>
      </c>
      <c r="AA159" s="10">
        <f t="shared" si="35"/>
        <v>0.45701894529999998</v>
      </c>
      <c r="AB159" t="str">
        <f>IF(AA159&gt;=Como_Avaliar!$B$15,"Alta",IF(AA159&gt;=Como_Avaliar!$B$16,"Média","Baixa"))</f>
        <v>Média</v>
      </c>
    </row>
    <row r="160" spans="1:28" x14ac:dyDescent="0.25">
      <c r="A160" t="s">
        <v>464</v>
      </c>
      <c r="B160" t="s">
        <v>288</v>
      </c>
      <c r="C160" t="s">
        <v>88</v>
      </c>
      <c r="D160" t="s">
        <v>59</v>
      </c>
      <c r="E160" t="s">
        <v>93</v>
      </c>
      <c r="F160">
        <v>12</v>
      </c>
      <c r="G160">
        <v>74</v>
      </c>
      <c r="H160">
        <v>6</v>
      </c>
      <c r="I160" t="s">
        <v>62</v>
      </c>
      <c r="J160" t="s">
        <v>97</v>
      </c>
      <c r="K160" t="s">
        <v>98</v>
      </c>
      <c r="L160" t="s">
        <v>322</v>
      </c>
      <c r="M160">
        <v>0</v>
      </c>
      <c r="N160" t="str">
        <f t="shared" si="24"/>
        <v>2. 8 a 15 anos</v>
      </c>
      <c r="O160" t="str">
        <f t="shared" si="25"/>
        <v>3. 50 a 149</v>
      </c>
      <c r="P160" t="str">
        <f t="shared" si="26"/>
        <v>3. 6 a 15</v>
      </c>
      <c r="Q160">
        <f t="shared" si="27"/>
        <v>0</v>
      </c>
      <c r="R160">
        <f t="shared" si="28"/>
        <v>1</v>
      </c>
      <c r="S160">
        <f t="shared" si="29"/>
        <v>0</v>
      </c>
      <c r="V160" s="18">
        <f t="shared" si="30"/>
        <v>0.43835616438356162</v>
      </c>
      <c r="W160" s="18">
        <f t="shared" si="31"/>
        <v>0.55319148936170215</v>
      </c>
      <c r="X160" s="18">
        <f t="shared" si="32"/>
        <v>0.58992805755395683</v>
      </c>
      <c r="Y160" s="18">
        <f t="shared" si="33"/>
        <v>0.37662337662337664</v>
      </c>
      <c r="Z160" s="18">
        <f t="shared" si="34"/>
        <v>0.22302158273381295</v>
      </c>
      <c r="AA160" s="10">
        <f t="shared" si="35"/>
        <v>0.43622413409999999</v>
      </c>
      <c r="AB160" t="str">
        <f>IF(AA160&gt;=Como_Avaliar!$B$15,"Alta",IF(AA160&gt;=Como_Avaliar!$B$16,"Média","Baixa"))</f>
        <v>Média</v>
      </c>
    </row>
    <row r="161" spans="1:28" x14ac:dyDescent="0.25">
      <c r="A161" t="s">
        <v>465</v>
      </c>
      <c r="B161" t="s">
        <v>288</v>
      </c>
      <c r="C161" t="s">
        <v>88</v>
      </c>
      <c r="D161" t="s">
        <v>57</v>
      </c>
      <c r="E161" t="s">
        <v>96</v>
      </c>
      <c r="F161">
        <v>8</v>
      </c>
      <c r="G161">
        <v>479</v>
      </c>
      <c r="H161">
        <v>78</v>
      </c>
      <c r="I161" t="s">
        <v>60</v>
      </c>
      <c r="J161" t="s">
        <v>97</v>
      </c>
      <c r="K161" t="s">
        <v>98</v>
      </c>
      <c r="L161" t="s">
        <v>284</v>
      </c>
      <c r="M161">
        <v>1</v>
      </c>
      <c r="N161" t="str">
        <f t="shared" si="24"/>
        <v>2. 8 a 15 anos</v>
      </c>
      <c r="O161" t="str">
        <f t="shared" si="25"/>
        <v>4. 150+</v>
      </c>
      <c r="P161" t="str">
        <f t="shared" si="26"/>
        <v>4. 16+</v>
      </c>
      <c r="Q161">
        <f t="shared" si="27"/>
        <v>0</v>
      </c>
      <c r="R161">
        <f t="shared" si="28"/>
        <v>1</v>
      </c>
      <c r="S161">
        <f t="shared" si="29"/>
        <v>0</v>
      </c>
      <c r="V161" s="18">
        <f t="shared" si="30"/>
        <v>1</v>
      </c>
      <c r="W161" s="18">
        <f t="shared" si="31"/>
        <v>0.97272727272727277</v>
      </c>
      <c r="X161" s="18">
        <f t="shared" si="32"/>
        <v>0.97938144329896903</v>
      </c>
      <c r="Y161" s="18">
        <f t="shared" si="33"/>
        <v>0.65217391304347827</v>
      </c>
      <c r="Z161" s="18">
        <f t="shared" si="34"/>
        <v>0.22302158273381295</v>
      </c>
      <c r="AA161" s="10">
        <f t="shared" si="35"/>
        <v>0.76546084240000001</v>
      </c>
      <c r="AB161" t="str">
        <f>IF(AA161&gt;=Como_Avaliar!$B$15,"Alta",IF(AA161&gt;=Como_Avaliar!$B$16,"Média","Baixa"))</f>
        <v>Alta</v>
      </c>
    </row>
    <row r="162" spans="1:28" x14ac:dyDescent="0.25">
      <c r="A162" t="s">
        <v>466</v>
      </c>
      <c r="B162" t="s">
        <v>286</v>
      </c>
      <c r="C162" t="s">
        <v>88</v>
      </c>
      <c r="D162" t="s">
        <v>59</v>
      </c>
      <c r="E162" t="s">
        <v>95</v>
      </c>
      <c r="F162">
        <v>22</v>
      </c>
      <c r="G162">
        <v>39</v>
      </c>
      <c r="H162">
        <v>3</v>
      </c>
      <c r="I162" t="s">
        <v>65</v>
      </c>
      <c r="J162" t="s">
        <v>97</v>
      </c>
      <c r="K162" t="s">
        <v>97</v>
      </c>
      <c r="L162" t="s">
        <v>284</v>
      </c>
      <c r="M162">
        <v>1</v>
      </c>
      <c r="N162" t="str">
        <f t="shared" si="24"/>
        <v>3. 16+ anos</v>
      </c>
      <c r="O162" t="str">
        <f t="shared" si="25"/>
        <v>2. 20 a 49</v>
      </c>
      <c r="P162" t="str">
        <f t="shared" si="26"/>
        <v>2. 3 a 5</v>
      </c>
      <c r="Q162">
        <f t="shared" si="27"/>
        <v>0</v>
      </c>
      <c r="R162">
        <f t="shared" si="28"/>
        <v>0</v>
      </c>
      <c r="S162">
        <f t="shared" si="29"/>
        <v>0</v>
      </c>
      <c r="V162" s="18">
        <f t="shared" si="30"/>
        <v>0.43835616438356162</v>
      </c>
      <c r="W162" s="18">
        <f t="shared" si="31"/>
        <v>0.38095238095238093</v>
      </c>
      <c r="X162" s="18">
        <f t="shared" si="32"/>
        <v>0.25294117647058822</v>
      </c>
      <c r="Y162" s="18">
        <f t="shared" si="33"/>
        <v>0.39751552795031053</v>
      </c>
      <c r="Z162" s="18">
        <f t="shared" si="34"/>
        <v>0.56634304207119746</v>
      </c>
      <c r="AA162" s="10">
        <f t="shared" si="35"/>
        <v>0.40722165840000002</v>
      </c>
      <c r="AB162" t="str">
        <f>IF(AA162&gt;=Como_Avaliar!$B$15,"Alta",IF(AA162&gt;=Como_Avaliar!$B$16,"Média","Baixa"))</f>
        <v>Média</v>
      </c>
    </row>
    <row r="163" spans="1:28" x14ac:dyDescent="0.25">
      <c r="A163" t="s">
        <v>467</v>
      </c>
      <c r="B163" t="s">
        <v>283</v>
      </c>
      <c r="C163" t="s">
        <v>89</v>
      </c>
      <c r="D163" t="s">
        <v>58</v>
      </c>
      <c r="E163" t="s">
        <v>90</v>
      </c>
      <c r="F163">
        <v>27</v>
      </c>
      <c r="G163">
        <v>88</v>
      </c>
      <c r="H163">
        <v>11</v>
      </c>
      <c r="I163" t="s">
        <v>68</v>
      </c>
      <c r="J163" t="s">
        <v>98</v>
      </c>
      <c r="K163" t="s">
        <v>97</v>
      </c>
      <c r="L163" t="s">
        <v>284</v>
      </c>
      <c r="M163">
        <v>1</v>
      </c>
      <c r="N163" t="str">
        <f t="shared" si="24"/>
        <v>3. 16+ anos</v>
      </c>
      <c r="O163" t="str">
        <f t="shared" si="25"/>
        <v>3. 50 a 149</v>
      </c>
      <c r="P163" t="str">
        <f t="shared" si="26"/>
        <v>3. 6 a 15</v>
      </c>
      <c r="Q163">
        <f t="shared" si="27"/>
        <v>0</v>
      </c>
      <c r="R163">
        <f t="shared" si="28"/>
        <v>1</v>
      </c>
      <c r="S163">
        <f t="shared" si="29"/>
        <v>0</v>
      </c>
      <c r="V163" s="18">
        <f t="shared" si="30"/>
        <v>0.93975903614457834</v>
      </c>
      <c r="W163" s="18">
        <f t="shared" si="31"/>
        <v>0.55319148936170215</v>
      </c>
      <c r="X163" s="18">
        <f t="shared" si="32"/>
        <v>0.58992805755395683</v>
      </c>
      <c r="Y163" s="18">
        <f t="shared" si="33"/>
        <v>0.58333333333333337</v>
      </c>
      <c r="Z163" s="18">
        <f t="shared" si="34"/>
        <v>0.56634304207119746</v>
      </c>
      <c r="AA163" s="10">
        <f t="shared" si="35"/>
        <v>0.64651099170000004</v>
      </c>
      <c r="AB163" t="str">
        <f>IF(AA163&gt;=Como_Avaliar!$B$15,"Alta",IF(AA163&gt;=Como_Avaliar!$B$16,"Média","Baixa"))</f>
        <v>Alta</v>
      </c>
    </row>
    <row r="164" spans="1:28" x14ac:dyDescent="0.25">
      <c r="A164" t="s">
        <v>468</v>
      </c>
      <c r="B164" t="s">
        <v>288</v>
      </c>
      <c r="C164" t="s">
        <v>88</v>
      </c>
      <c r="D164" t="s">
        <v>58</v>
      </c>
      <c r="E164" t="s">
        <v>94</v>
      </c>
      <c r="F164">
        <v>3</v>
      </c>
      <c r="G164">
        <v>144</v>
      </c>
      <c r="H164">
        <v>12</v>
      </c>
      <c r="I164" t="s">
        <v>65</v>
      </c>
      <c r="J164" t="s">
        <v>97</v>
      </c>
      <c r="K164" t="s">
        <v>97</v>
      </c>
      <c r="L164" t="s">
        <v>322</v>
      </c>
      <c r="M164">
        <v>0</v>
      </c>
      <c r="N164" t="str">
        <f t="shared" si="24"/>
        <v>1. &lt; 8 anos</v>
      </c>
      <c r="O164" t="str">
        <f t="shared" si="25"/>
        <v>3. 50 a 149</v>
      </c>
      <c r="P164" t="str">
        <f t="shared" si="26"/>
        <v>3. 6 a 15</v>
      </c>
      <c r="Q164">
        <f t="shared" si="27"/>
        <v>0</v>
      </c>
      <c r="R164">
        <f t="shared" si="28"/>
        <v>1</v>
      </c>
      <c r="S164">
        <f t="shared" si="29"/>
        <v>0</v>
      </c>
      <c r="V164" s="18">
        <f t="shared" si="30"/>
        <v>0.93975903614457834</v>
      </c>
      <c r="W164" s="18">
        <f t="shared" si="31"/>
        <v>0.55319148936170215</v>
      </c>
      <c r="X164" s="18">
        <f t="shared" si="32"/>
        <v>0.58992805755395683</v>
      </c>
      <c r="Y164" s="18">
        <f t="shared" si="33"/>
        <v>0.39751552795031053</v>
      </c>
      <c r="Z164" s="18">
        <f t="shared" si="34"/>
        <v>0.22368421052631579</v>
      </c>
      <c r="AA164" s="10">
        <f t="shared" si="35"/>
        <v>0.54081566430000005</v>
      </c>
      <c r="AB164" t="str">
        <f>IF(AA164&gt;=Como_Avaliar!$B$15,"Alta",IF(AA164&gt;=Como_Avaliar!$B$16,"Média","Baixa"))</f>
        <v>Alta</v>
      </c>
    </row>
    <row r="165" spans="1:28" x14ac:dyDescent="0.25">
      <c r="A165" t="s">
        <v>469</v>
      </c>
      <c r="B165" t="s">
        <v>297</v>
      </c>
      <c r="C165" t="s">
        <v>86</v>
      </c>
      <c r="D165" t="s">
        <v>57</v>
      </c>
      <c r="E165" t="s">
        <v>96</v>
      </c>
      <c r="F165">
        <v>1</v>
      </c>
      <c r="G165">
        <v>366</v>
      </c>
      <c r="H165">
        <v>69</v>
      </c>
      <c r="I165" t="s">
        <v>60</v>
      </c>
      <c r="J165" t="s">
        <v>98</v>
      </c>
      <c r="K165" t="s">
        <v>97</v>
      </c>
      <c r="L165" t="s">
        <v>322</v>
      </c>
      <c r="M165">
        <v>1</v>
      </c>
      <c r="N165" t="str">
        <f t="shared" si="24"/>
        <v>1. &lt; 8 anos</v>
      </c>
      <c r="O165" t="str">
        <f t="shared" si="25"/>
        <v>4. 150+</v>
      </c>
      <c r="P165" t="str">
        <f t="shared" si="26"/>
        <v>4. 16+</v>
      </c>
      <c r="Q165">
        <f t="shared" si="27"/>
        <v>0</v>
      </c>
      <c r="R165">
        <f t="shared" si="28"/>
        <v>1</v>
      </c>
      <c r="S165">
        <f t="shared" si="29"/>
        <v>0</v>
      </c>
      <c r="V165" s="18">
        <f t="shared" si="30"/>
        <v>1</v>
      </c>
      <c r="W165" s="18">
        <f t="shared" si="31"/>
        <v>0.97272727272727277</v>
      </c>
      <c r="X165" s="18">
        <f t="shared" si="32"/>
        <v>0.97938144329896903</v>
      </c>
      <c r="Y165" s="18">
        <f t="shared" si="33"/>
        <v>0.65217391304347827</v>
      </c>
      <c r="Z165" s="18">
        <f t="shared" si="34"/>
        <v>0.22368421052631579</v>
      </c>
      <c r="AA165" s="10">
        <f t="shared" si="35"/>
        <v>0.76559336789999999</v>
      </c>
      <c r="AB165" t="str">
        <f>IF(AA165&gt;=Como_Avaliar!$B$15,"Alta",IF(AA165&gt;=Como_Avaliar!$B$16,"Média","Baixa"))</f>
        <v>Alta</v>
      </c>
    </row>
    <row r="166" spans="1:28" x14ac:dyDescent="0.25">
      <c r="A166" t="s">
        <v>470</v>
      </c>
      <c r="B166" t="s">
        <v>327</v>
      </c>
      <c r="C166" t="s">
        <v>86</v>
      </c>
      <c r="D166" t="s">
        <v>56</v>
      </c>
      <c r="E166" t="s">
        <v>91</v>
      </c>
      <c r="F166">
        <v>3</v>
      </c>
      <c r="G166">
        <v>17</v>
      </c>
      <c r="H166">
        <v>2</v>
      </c>
      <c r="I166" t="s">
        <v>64</v>
      </c>
      <c r="J166" t="s">
        <v>97</v>
      </c>
      <c r="K166" t="s">
        <v>97</v>
      </c>
      <c r="L166" t="s">
        <v>289</v>
      </c>
      <c r="M166">
        <v>0</v>
      </c>
      <c r="N166" t="str">
        <f t="shared" si="24"/>
        <v>1. &lt; 8 anos</v>
      </c>
      <c r="O166" t="str">
        <f t="shared" si="25"/>
        <v>1. &lt; 20</v>
      </c>
      <c r="P166" t="str">
        <f t="shared" si="26"/>
        <v>1. 1 a 2</v>
      </c>
      <c r="Q166">
        <f t="shared" si="27"/>
        <v>1</v>
      </c>
      <c r="R166">
        <f t="shared" si="28"/>
        <v>0</v>
      </c>
      <c r="S166">
        <f t="shared" si="29"/>
        <v>1</v>
      </c>
      <c r="T166">
        <v>3</v>
      </c>
      <c r="U166" t="s">
        <v>138</v>
      </c>
      <c r="V166" s="18">
        <f t="shared" si="30"/>
        <v>6.8273092369477914E-2</v>
      </c>
      <c r="W166" s="18">
        <f t="shared" si="31"/>
        <v>8.6792452830188674E-2</v>
      </c>
      <c r="X166" s="18">
        <f t="shared" si="32"/>
        <v>0.10309278350515463</v>
      </c>
      <c r="Y166" s="18">
        <f t="shared" si="33"/>
        <v>0.15625</v>
      </c>
      <c r="Z166" s="18">
        <f t="shared" si="34"/>
        <v>0.22368421052631579</v>
      </c>
      <c r="AA166" s="10">
        <f t="shared" si="35"/>
        <v>0.1276185078</v>
      </c>
      <c r="AB166" t="str">
        <f>IF(AA166&gt;=Como_Avaliar!$B$15,"Alta",IF(AA166&gt;=Como_Avaliar!$B$16,"Média","Baixa"))</f>
        <v>Baixa</v>
      </c>
    </row>
    <row r="167" spans="1:28" x14ac:dyDescent="0.25">
      <c r="A167" t="s">
        <v>471</v>
      </c>
      <c r="B167" t="s">
        <v>286</v>
      </c>
      <c r="C167" t="s">
        <v>88</v>
      </c>
      <c r="D167" t="s">
        <v>59</v>
      </c>
      <c r="E167" t="s">
        <v>96</v>
      </c>
      <c r="F167">
        <v>5</v>
      </c>
      <c r="G167">
        <v>47</v>
      </c>
      <c r="H167">
        <v>7</v>
      </c>
      <c r="I167" t="s">
        <v>62</v>
      </c>
      <c r="J167" t="s">
        <v>98</v>
      </c>
      <c r="K167" t="s">
        <v>97</v>
      </c>
      <c r="L167" t="s">
        <v>284</v>
      </c>
      <c r="M167">
        <v>0</v>
      </c>
      <c r="N167" t="str">
        <f t="shared" si="24"/>
        <v>1. &lt; 8 anos</v>
      </c>
      <c r="O167" t="str">
        <f t="shared" si="25"/>
        <v>2. 20 a 49</v>
      </c>
      <c r="P167" t="str">
        <f t="shared" si="26"/>
        <v>3. 6 a 15</v>
      </c>
      <c r="Q167">
        <f t="shared" si="27"/>
        <v>0</v>
      </c>
      <c r="R167">
        <f t="shared" si="28"/>
        <v>0</v>
      </c>
      <c r="S167">
        <f t="shared" si="29"/>
        <v>1</v>
      </c>
      <c r="T167">
        <v>3</v>
      </c>
      <c r="U167" t="s">
        <v>138</v>
      </c>
      <c r="V167" s="18">
        <f t="shared" si="30"/>
        <v>0.43835616438356162</v>
      </c>
      <c r="W167" s="18">
        <f t="shared" si="31"/>
        <v>0.55319148936170215</v>
      </c>
      <c r="X167" s="18">
        <f t="shared" si="32"/>
        <v>0.25294117647058822</v>
      </c>
      <c r="Y167" s="18">
        <f t="shared" si="33"/>
        <v>0.37662337662337664</v>
      </c>
      <c r="Z167" s="18">
        <f t="shared" si="34"/>
        <v>0.22368421052631579</v>
      </c>
      <c r="AA167" s="10">
        <f t="shared" si="35"/>
        <v>0.36895928350000001</v>
      </c>
      <c r="AB167" t="str">
        <f>IF(AA167&gt;=Como_Avaliar!$B$15,"Alta",IF(AA167&gt;=Como_Avaliar!$B$16,"Média","Baixa"))</f>
        <v>Média</v>
      </c>
    </row>
    <row r="168" spans="1:28" x14ac:dyDescent="0.25">
      <c r="A168" t="s">
        <v>472</v>
      </c>
      <c r="B168" t="s">
        <v>288</v>
      </c>
      <c r="C168" t="s">
        <v>88</v>
      </c>
      <c r="D168" t="s">
        <v>56</v>
      </c>
      <c r="E168" t="s">
        <v>90</v>
      </c>
      <c r="F168">
        <v>15</v>
      </c>
      <c r="G168">
        <v>25</v>
      </c>
      <c r="H168">
        <v>2</v>
      </c>
      <c r="I168" t="s">
        <v>64</v>
      </c>
      <c r="J168" t="s">
        <v>97</v>
      </c>
      <c r="K168" t="s">
        <v>98</v>
      </c>
      <c r="L168" t="s">
        <v>298</v>
      </c>
      <c r="M168">
        <v>0</v>
      </c>
      <c r="N168" t="str">
        <f t="shared" si="24"/>
        <v>2. 8 a 15 anos</v>
      </c>
      <c r="O168" t="str">
        <f t="shared" si="25"/>
        <v>2. 20 a 49</v>
      </c>
      <c r="P168" t="str">
        <f t="shared" si="26"/>
        <v>1. 1 a 2</v>
      </c>
      <c r="Q168">
        <f t="shared" si="27"/>
        <v>1</v>
      </c>
      <c r="R168">
        <f t="shared" si="28"/>
        <v>0</v>
      </c>
      <c r="S168">
        <f t="shared" si="29"/>
        <v>1</v>
      </c>
      <c r="T168">
        <v>4</v>
      </c>
      <c r="U168" t="s">
        <v>137</v>
      </c>
      <c r="V168" s="18">
        <f t="shared" si="30"/>
        <v>6.8273092369477914E-2</v>
      </c>
      <c r="W168" s="18">
        <f t="shared" si="31"/>
        <v>8.6792452830188674E-2</v>
      </c>
      <c r="X168" s="18">
        <f t="shared" si="32"/>
        <v>0.25294117647058822</v>
      </c>
      <c r="Y168" s="18">
        <f t="shared" si="33"/>
        <v>0.15625</v>
      </c>
      <c r="Z168" s="18">
        <f t="shared" si="34"/>
        <v>0.22302158273381295</v>
      </c>
      <c r="AA168" s="10">
        <f t="shared" si="35"/>
        <v>0.15745566089999999</v>
      </c>
      <c r="AB168" t="str">
        <f>IF(AA168&gt;=Como_Avaliar!$B$15,"Alta",IF(AA168&gt;=Como_Avaliar!$B$16,"Média","Baixa"))</f>
        <v>Baixa</v>
      </c>
    </row>
    <row r="169" spans="1:28" x14ac:dyDescent="0.25">
      <c r="A169" t="s">
        <v>473</v>
      </c>
      <c r="B169" t="s">
        <v>295</v>
      </c>
      <c r="C169" t="s">
        <v>84</v>
      </c>
      <c r="D169" t="s">
        <v>59</v>
      </c>
      <c r="E169" t="s">
        <v>90</v>
      </c>
      <c r="F169">
        <v>14</v>
      </c>
      <c r="G169">
        <v>38</v>
      </c>
      <c r="H169">
        <v>5</v>
      </c>
      <c r="I169" t="s">
        <v>62</v>
      </c>
      <c r="J169" t="s">
        <v>97</v>
      </c>
      <c r="K169" t="s">
        <v>97</v>
      </c>
      <c r="L169" t="s">
        <v>298</v>
      </c>
      <c r="M169">
        <v>1</v>
      </c>
      <c r="N169" t="str">
        <f t="shared" si="24"/>
        <v>2. 8 a 15 anos</v>
      </c>
      <c r="O169" t="str">
        <f t="shared" si="25"/>
        <v>2. 20 a 49</v>
      </c>
      <c r="P169" t="str">
        <f t="shared" si="26"/>
        <v>2. 3 a 5</v>
      </c>
      <c r="Q169">
        <f t="shared" si="27"/>
        <v>0</v>
      </c>
      <c r="R169">
        <f t="shared" si="28"/>
        <v>0</v>
      </c>
      <c r="S169">
        <f t="shared" si="29"/>
        <v>0</v>
      </c>
      <c r="V169" s="18">
        <f t="shared" si="30"/>
        <v>0.43835616438356162</v>
      </c>
      <c r="W169" s="18">
        <f t="shared" si="31"/>
        <v>0.38095238095238093</v>
      </c>
      <c r="X169" s="18">
        <f t="shared" si="32"/>
        <v>0.25294117647058822</v>
      </c>
      <c r="Y169" s="18">
        <f t="shared" si="33"/>
        <v>0.37662337662337664</v>
      </c>
      <c r="Z169" s="18">
        <f t="shared" si="34"/>
        <v>0.22302158273381295</v>
      </c>
      <c r="AA169" s="10">
        <f t="shared" si="35"/>
        <v>0.33437893619999998</v>
      </c>
      <c r="AB169" t="str">
        <f>IF(AA169&gt;=Como_Avaliar!$B$15,"Alta",IF(AA169&gt;=Como_Avaliar!$B$16,"Média","Baixa"))</f>
        <v>Média</v>
      </c>
    </row>
    <row r="170" spans="1:28" x14ac:dyDescent="0.25">
      <c r="A170" t="s">
        <v>474</v>
      </c>
      <c r="B170" t="s">
        <v>286</v>
      </c>
      <c r="C170" t="s">
        <v>88</v>
      </c>
      <c r="D170" t="s">
        <v>57</v>
      </c>
      <c r="E170" t="s">
        <v>92</v>
      </c>
      <c r="F170">
        <v>3</v>
      </c>
      <c r="G170">
        <v>214</v>
      </c>
      <c r="H170">
        <v>91</v>
      </c>
      <c r="I170" t="s">
        <v>62</v>
      </c>
      <c r="J170" t="s">
        <v>98</v>
      </c>
      <c r="K170" t="s">
        <v>97</v>
      </c>
      <c r="L170" t="s">
        <v>322</v>
      </c>
      <c r="M170">
        <v>1</v>
      </c>
      <c r="N170" t="str">
        <f t="shared" si="24"/>
        <v>1. &lt; 8 anos</v>
      </c>
      <c r="O170" t="str">
        <f t="shared" si="25"/>
        <v>4. 150+</v>
      </c>
      <c r="P170" t="str">
        <f t="shared" si="26"/>
        <v>4. 16+</v>
      </c>
      <c r="Q170">
        <f t="shared" si="27"/>
        <v>0</v>
      </c>
      <c r="R170">
        <f t="shared" si="28"/>
        <v>1</v>
      </c>
      <c r="S170">
        <f t="shared" si="29"/>
        <v>0</v>
      </c>
      <c r="V170" s="18">
        <f t="shared" si="30"/>
        <v>1</v>
      </c>
      <c r="W170" s="18">
        <f t="shared" si="31"/>
        <v>0.97272727272727277</v>
      </c>
      <c r="X170" s="18">
        <f t="shared" si="32"/>
        <v>0.97938144329896903</v>
      </c>
      <c r="Y170" s="18">
        <f t="shared" si="33"/>
        <v>0.37662337662337664</v>
      </c>
      <c r="Z170" s="18">
        <f t="shared" si="34"/>
        <v>0.22368421052631579</v>
      </c>
      <c r="AA170" s="10">
        <f t="shared" si="35"/>
        <v>0.7104832606</v>
      </c>
      <c r="AB170" t="str">
        <f>IF(AA170&gt;=Como_Avaliar!$B$15,"Alta",IF(AA170&gt;=Como_Avaliar!$B$16,"Média","Baixa"))</f>
        <v>Alta</v>
      </c>
    </row>
    <row r="171" spans="1:28" x14ac:dyDescent="0.25">
      <c r="A171" t="s">
        <v>475</v>
      </c>
      <c r="B171" t="s">
        <v>286</v>
      </c>
      <c r="C171" t="s">
        <v>88</v>
      </c>
      <c r="D171" t="s">
        <v>59</v>
      </c>
      <c r="E171" t="s">
        <v>94</v>
      </c>
      <c r="F171">
        <v>1</v>
      </c>
      <c r="G171">
        <v>58</v>
      </c>
      <c r="H171">
        <v>9</v>
      </c>
      <c r="I171" t="s">
        <v>68</v>
      </c>
      <c r="J171" t="s">
        <v>97</v>
      </c>
      <c r="K171" t="s">
        <v>98</v>
      </c>
      <c r="L171" t="s">
        <v>289</v>
      </c>
      <c r="M171">
        <v>0</v>
      </c>
      <c r="N171" t="str">
        <f t="shared" si="24"/>
        <v>1. &lt; 8 anos</v>
      </c>
      <c r="O171" t="str">
        <f t="shared" si="25"/>
        <v>3. 50 a 149</v>
      </c>
      <c r="P171" t="str">
        <f t="shared" si="26"/>
        <v>3. 6 a 15</v>
      </c>
      <c r="Q171">
        <f t="shared" si="27"/>
        <v>0</v>
      </c>
      <c r="R171">
        <f t="shared" si="28"/>
        <v>1</v>
      </c>
      <c r="S171">
        <f t="shared" si="29"/>
        <v>1</v>
      </c>
      <c r="T171">
        <v>3</v>
      </c>
      <c r="U171" t="s">
        <v>138</v>
      </c>
      <c r="V171" s="18">
        <f t="shared" si="30"/>
        <v>0.43835616438356162</v>
      </c>
      <c r="W171" s="18">
        <f t="shared" si="31"/>
        <v>0.55319148936170215</v>
      </c>
      <c r="X171" s="18">
        <f t="shared" si="32"/>
        <v>0.58992805755395683</v>
      </c>
      <c r="Y171" s="18">
        <f t="shared" si="33"/>
        <v>0.58333333333333337</v>
      </c>
      <c r="Z171" s="18">
        <f t="shared" si="34"/>
        <v>0.22368421052631579</v>
      </c>
      <c r="AA171" s="10">
        <f t="shared" si="35"/>
        <v>0.47769865099999997</v>
      </c>
      <c r="AB171" t="str">
        <f>IF(AA171&gt;=Como_Avaliar!$B$15,"Alta",IF(AA171&gt;=Como_Avaliar!$B$16,"Média","Baixa"))</f>
        <v>Média</v>
      </c>
    </row>
    <row r="172" spans="1:28" x14ac:dyDescent="0.25">
      <c r="A172" t="s">
        <v>476</v>
      </c>
      <c r="B172" t="s">
        <v>355</v>
      </c>
      <c r="C172" t="s">
        <v>86</v>
      </c>
      <c r="D172" t="s">
        <v>59</v>
      </c>
      <c r="E172" t="s">
        <v>91</v>
      </c>
      <c r="F172">
        <v>5</v>
      </c>
      <c r="G172">
        <v>52</v>
      </c>
      <c r="H172">
        <v>7</v>
      </c>
      <c r="I172" t="s">
        <v>68</v>
      </c>
      <c r="J172" t="s">
        <v>98</v>
      </c>
      <c r="K172" t="s">
        <v>97</v>
      </c>
      <c r="L172" t="s">
        <v>298</v>
      </c>
      <c r="M172">
        <v>0</v>
      </c>
      <c r="N172" t="str">
        <f t="shared" si="24"/>
        <v>1. &lt; 8 anos</v>
      </c>
      <c r="O172" t="str">
        <f t="shared" si="25"/>
        <v>3. 50 a 149</v>
      </c>
      <c r="P172" t="str">
        <f t="shared" si="26"/>
        <v>3. 6 a 15</v>
      </c>
      <c r="Q172">
        <f t="shared" si="27"/>
        <v>0</v>
      </c>
      <c r="R172">
        <f t="shared" si="28"/>
        <v>1</v>
      </c>
      <c r="S172">
        <f t="shared" si="29"/>
        <v>1</v>
      </c>
      <c r="T172">
        <v>3</v>
      </c>
      <c r="U172" t="s">
        <v>138</v>
      </c>
      <c r="V172" s="18">
        <f t="shared" si="30"/>
        <v>0.43835616438356162</v>
      </c>
      <c r="W172" s="18">
        <f t="shared" si="31"/>
        <v>0.55319148936170215</v>
      </c>
      <c r="X172" s="18">
        <f t="shared" si="32"/>
        <v>0.58992805755395683</v>
      </c>
      <c r="Y172" s="18">
        <f t="shared" si="33"/>
        <v>0.58333333333333337</v>
      </c>
      <c r="Z172" s="18">
        <f t="shared" si="34"/>
        <v>0.22368421052631579</v>
      </c>
      <c r="AA172" s="10">
        <f t="shared" si="35"/>
        <v>0.47769865099999997</v>
      </c>
      <c r="AB172" t="str">
        <f>IF(AA172&gt;=Como_Avaliar!$B$15,"Alta",IF(AA172&gt;=Como_Avaliar!$B$16,"Média","Baixa"))</f>
        <v>Média</v>
      </c>
    </row>
    <row r="173" spans="1:28" x14ac:dyDescent="0.25">
      <c r="A173" t="s">
        <v>477</v>
      </c>
      <c r="B173" t="s">
        <v>312</v>
      </c>
      <c r="C173" t="s">
        <v>89</v>
      </c>
      <c r="D173" t="s">
        <v>56</v>
      </c>
      <c r="E173" t="s">
        <v>92</v>
      </c>
      <c r="F173">
        <v>26</v>
      </c>
      <c r="G173">
        <v>21</v>
      </c>
      <c r="H173">
        <v>2</v>
      </c>
      <c r="I173" t="s">
        <v>62</v>
      </c>
      <c r="J173" t="s">
        <v>97</v>
      </c>
      <c r="K173" t="s">
        <v>98</v>
      </c>
      <c r="L173" t="s">
        <v>289</v>
      </c>
      <c r="M173">
        <v>0</v>
      </c>
      <c r="N173" t="str">
        <f t="shared" si="24"/>
        <v>3. 16+ anos</v>
      </c>
      <c r="O173" t="str">
        <f t="shared" si="25"/>
        <v>2. 20 a 49</v>
      </c>
      <c r="P173" t="str">
        <f t="shared" si="26"/>
        <v>1. 1 a 2</v>
      </c>
      <c r="Q173">
        <f t="shared" si="27"/>
        <v>0</v>
      </c>
      <c r="R173">
        <f t="shared" si="28"/>
        <v>0</v>
      </c>
      <c r="S173">
        <f t="shared" si="29"/>
        <v>1</v>
      </c>
      <c r="T173">
        <v>2</v>
      </c>
      <c r="U173" t="s">
        <v>139</v>
      </c>
      <c r="V173" s="18">
        <f t="shared" si="30"/>
        <v>6.8273092369477914E-2</v>
      </c>
      <c r="W173" s="18">
        <f t="shared" si="31"/>
        <v>8.6792452830188674E-2</v>
      </c>
      <c r="X173" s="18">
        <f t="shared" si="32"/>
        <v>0.25294117647058822</v>
      </c>
      <c r="Y173" s="18">
        <f t="shared" si="33"/>
        <v>0.37662337662337664</v>
      </c>
      <c r="Z173" s="18">
        <f t="shared" si="34"/>
        <v>0.56634304207119746</v>
      </c>
      <c r="AA173" s="10">
        <f t="shared" si="35"/>
        <v>0.2701946281</v>
      </c>
      <c r="AB173" t="str">
        <f>IF(AA173&gt;=Como_Avaliar!$B$15,"Alta",IF(AA173&gt;=Como_Avaliar!$B$16,"Média","Baixa"))</f>
        <v>Média</v>
      </c>
    </row>
    <row r="174" spans="1:28" x14ac:dyDescent="0.25">
      <c r="A174" t="s">
        <v>478</v>
      </c>
      <c r="B174" t="s">
        <v>381</v>
      </c>
      <c r="C174" t="s">
        <v>88</v>
      </c>
      <c r="D174" t="s">
        <v>58</v>
      </c>
      <c r="E174" t="s">
        <v>96</v>
      </c>
      <c r="F174">
        <v>23</v>
      </c>
      <c r="G174">
        <v>232</v>
      </c>
      <c r="H174">
        <v>11</v>
      </c>
      <c r="I174" t="s">
        <v>62</v>
      </c>
      <c r="J174" t="s">
        <v>98</v>
      </c>
      <c r="K174" t="s">
        <v>97</v>
      </c>
      <c r="L174" t="s">
        <v>289</v>
      </c>
      <c r="M174">
        <v>1</v>
      </c>
      <c r="N174" t="str">
        <f t="shared" si="24"/>
        <v>3. 16+ anos</v>
      </c>
      <c r="O174" t="str">
        <f t="shared" si="25"/>
        <v>4. 150+</v>
      </c>
      <c r="P174" t="str">
        <f t="shared" si="26"/>
        <v>3. 6 a 15</v>
      </c>
      <c r="Q174">
        <f t="shared" si="27"/>
        <v>0</v>
      </c>
      <c r="R174">
        <f t="shared" si="28"/>
        <v>1</v>
      </c>
      <c r="S174">
        <f t="shared" si="29"/>
        <v>0</v>
      </c>
      <c r="V174" s="18">
        <f t="shared" si="30"/>
        <v>0.93975903614457834</v>
      </c>
      <c r="W174" s="18">
        <f t="shared" si="31"/>
        <v>0.55319148936170215</v>
      </c>
      <c r="X174" s="18">
        <f t="shared" si="32"/>
        <v>0.97938144329896903</v>
      </c>
      <c r="Y174" s="18">
        <f t="shared" si="33"/>
        <v>0.37662337662337664</v>
      </c>
      <c r="Z174" s="18">
        <f t="shared" si="34"/>
        <v>0.56634304207119746</v>
      </c>
      <c r="AA174" s="10">
        <f t="shared" si="35"/>
        <v>0.68305967749999996</v>
      </c>
      <c r="AB174" t="str">
        <f>IF(AA174&gt;=Como_Avaliar!$B$15,"Alta",IF(AA174&gt;=Como_Avaliar!$B$16,"Média","Baixa"))</f>
        <v>Alta</v>
      </c>
    </row>
    <row r="175" spans="1:28" x14ac:dyDescent="0.25">
      <c r="A175" t="s">
        <v>479</v>
      </c>
      <c r="B175" t="s">
        <v>314</v>
      </c>
      <c r="C175" t="s">
        <v>84</v>
      </c>
      <c r="D175" t="s">
        <v>56</v>
      </c>
      <c r="E175" t="s">
        <v>92</v>
      </c>
      <c r="F175">
        <v>14</v>
      </c>
      <c r="G175">
        <v>9</v>
      </c>
      <c r="H175">
        <v>2</v>
      </c>
      <c r="I175" t="s">
        <v>63</v>
      </c>
      <c r="J175" t="s">
        <v>97</v>
      </c>
      <c r="K175" t="s">
        <v>97</v>
      </c>
      <c r="L175" t="s">
        <v>289</v>
      </c>
      <c r="M175">
        <v>0</v>
      </c>
      <c r="N175" t="str">
        <f t="shared" si="24"/>
        <v>2. 8 a 15 anos</v>
      </c>
      <c r="O175" t="str">
        <f t="shared" si="25"/>
        <v>1. &lt; 20</v>
      </c>
      <c r="P175" t="str">
        <f t="shared" si="26"/>
        <v>1. 1 a 2</v>
      </c>
      <c r="Q175">
        <f t="shared" si="27"/>
        <v>1</v>
      </c>
      <c r="R175">
        <f t="shared" si="28"/>
        <v>0</v>
      </c>
      <c r="S175">
        <f t="shared" si="29"/>
        <v>1</v>
      </c>
      <c r="T175">
        <v>1</v>
      </c>
      <c r="U175" t="s">
        <v>139</v>
      </c>
      <c r="V175" s="18">
        <f t="shared" si="30"/>
        <v>6.8273092369477914E-2</v>
      </c>
      <c r="W175" s="18">
        <f t="shared" si="31"/>
        <v>8.6792452830188674E-2</v>
      </c>
      <c r="X175" s="18">
        <f t="shared" si="32"/>
        <v>0.10309278350515463</v>
      </c>
      <c r="Y175" s="18">
        <f t="shared" si="33"/>
        <v>6.5217391304347824E-2</v>
      </c>
      <c r="Z175" s="18">
        <f t="shared" si="34"/>
        <v>0.22302158273381295</v>
      </c>
      <c r="AA175" s="10">
        <f t="shared" si="35"/>
        <v>0.10927946049999999</v>
      </c>
      <c r="AB175" t="str">
        <f>IF(AA175&gt;=Como_Avaliar!$B$15,"Alta",IF(AA175&gt;=Como_Avaliar!$B$16,"Média","Baixa"))</f>
        <v>Baixa</v>
      </c>
    </row>
    <row r="176" spans="1:28" x14ac:dyDescent="0.25">
      <c r="A176" t="s">
        <v>480</v>
      </c>
      <c r="B176" t="s">
        <v>314</v>
      </c>
      <c r="C176" t="s">
        <v>84</v>
      </c>
      <c r="D176" t="s">
        <v>58</v>
      </c>
      <c r="E176" t="s">
        <v>95</v>
      </c>
      <c r="F176">
        <v>7</v>
      </c>
      <c r="G176">
        <v>104</v>
      </c>
      <c r="H176">
        <v>30</v>
      </c>
      <c r="I176" t="s">
        <v>62</v>
      </c>
      <c r="J176" t="s">
        <v>97</v>
      </c>
      <c r="K176" t="s">
        <v>97</v>
      </c>
      <c r="L176" t="s">
        <v>298</v>
      </c>
      <c r="M176">
        <v>0</v>
      </c>
      <c r="N176" t="str">
        <f t="shared" si="24"/>
        <v>1. &lt; 8 anos</v>
      </c>
      <c r="O176" t="str">
        <f t="shared" si="25"/>
        <v>3. 50 a 149</v>
      </c>
      <c r="P176" t="str">
        <f t="shared" si="26"/>
        <v>4. 16+</v>
      </c>
      <c r="Q176">
        <f t="shared" si="27"/>
        <v>0</v>
      </c>
      <c r="R176">
        <f t="shared" si="28"/>
        <v>1</v>
      </c>
      <c r="S176">
        <f t="shared" si="29"/>
        <v>1</v>
      </c>
      <c r="T176">
        <v>3</v>
      </c>
      <c r="U176" t="s">
        <v>138</v>
      </c>
      <c r="V176" s="18">
        <f t="shared" si="30"/>
        <v>0.93975903614457834</v>
      </c>
      <c r="W176" s="18">
        <f t="shared" si="31"/>
        <v>0.97272727272727277</v>
      </c>
      <c r="X176" s="18">
        <f t="shared" si="32"/>
        <v>0.58992805755395683</v>
      </c>
      <c r="Y176" s="18">
        <f t="shared" si="33"/>
        <v>0.37662337662337664</v>
      </c>
      <c r="Z176" s="18">
        <f t="shared" si="34"/>
        <v>0.22368421052631579</v>
      </c>
      <c r="AA176" s="10">
        <f t="shared" si="35"/>
        <v>0.6205443907</v>
      </c>
      <c r="AB176" t="str">
        <f>IF(AA176&gt;=Como_Avaliar!$B$15,"Alta",IF(AA176&gt;=Como_Avaliar!$B$16,"Média","Baixa"))</f>
        <v>Alta</v>
      </c>
    </row>
    <row r="177" spans="1:28" x14ac:dyDescent="0.25">
      <c r="A177" t="s">
        <v>481</v>
      </c>
      <c r="B177" t="s">
        <v>286</v>
      </c>
      <c r="C177" t="s">
        <v>88</v>
      </c>
      <c r="D177" t="s">
        <v>59</v>
      </c>
      <c r="E177" t="s">
        <v>94</v>
      </c>
      <c r="F177">
        <v>27</v>
      </c>
      <c r="G177">
        <v>66</v>
      </c>
      <c r="H177">
        <v>9</v>
      </c>
      <c r="I177" t="s">
        <v>62</v>
      </c>
      <c r="J177" t="s">
        <v>97</v>
      </c>
      <c r="K177" t="s">
        <v>97</v>
      </c>
      <c r="L177" t="s">
        <v>293</v>
      </c>
      <c r="M177">
        <v>1</v>
      </c>
      <c r="N177" t="str">
        <f t="shared" si="24"/>
        <v>3. 16+ anos</v>
      </c>
      <c r="O177" t="str">
        <f t="shared" si="25"/>
        <v>3. 50 a 149</v>
      </c>
      <c r="P177" t="str">
        <f t="shared" si="26"/>
        <v>3. 6 a 15</v>
      </c>
      <c r="Q177">
        <f t="shared" si="27"/>
        <v>0</v>
      </c>
      <c r="R177">
        <f t="shared" si="28"/>
        <v>1</v>
      </c>
      <c r="S177">
        <f t="shared" si="29"/>
        <v>0</v>
      </c>
      <c r="V177" s="18">
        <f t="shared" si="30"/>
        <v>0.43835616438356162</v>
      </c>
      <c r="W177" s="18">
        <f t="shared" si="31"/>
        <v>0.55319148936170215</v>
      </c>
      <c r="X177" s="18">
        <f t="shared" si="32"/>
        <v>0.58992805755395683</v>
      </c>
      <c r="Y177" s="18">
        <f t="shared" si="33"/>
        <v>0.37662337662337664</v>
      </c>
      <c r="Z177" s="18">
        <f t="shared" si="34"/>
        <v>0.56634304207119746</v>
      </c>
      <c r="AA177" s="10">
        <f t="shared" si="35"/>
        <v>0.50488842599999995</v>
      </c>
      <c r="AB177" t="str">
        <f>IF(AA177&gt;=Como_Avaliar!$B$15,"Alta",IF(AA177&gt;=Como_Avaliar!$B$16,"Média","Baixa"))</f>
        <v>Alta</v>
      </c>
    </row>
    <row r="178" spans="1:28" x14ac:dyDescent="0.25">
      <c r="A178" t="s">
        <v>482</v>
      </c>
      <c r="B178" t="s">
        <v>286</v>
      </c>
      <c r="C178" t="s">
        <v>88</v>
      </c>
      <c r="D178" t="s">
        <v>56</v>
      </c>
      <c r="E178" t="s">
        <v>90</v>
      </c>
      <c r="F178">
        <v>9</v>
      </c>
      <c r="G178">
        <v>16</v>
      </c>
      <c r="H178">
        <v>2</v>
      </c>
      <c r="I178" t="s">
        <v>64</v>
      </c>
      <c r="J178" t="s">
        <v>97</v>
      </c>
      <c r="K178" t="s">
        <v>97</v>
      </c>
      <c r="L178" t="s">
        <v>284</v>
      </c>
      <c r="M178">
        <v>0</v>
      </c>
      <c r="N178" t="str">
        <f t="shared" si="24"/>
        <v>2. 8 a 15 anos</v>
      </c>
      <c r="O178" t="str">
        <f t="shared" si="25"/>
        <v>1. &lt; 20</v>
      </c>
      <c r="P178" t="str">
        <f t="shared" si="26"/>
        <v>1. 1 a 2</v>
      </c>
      <c r="Q178">
        <f t="shared" si="27"/>
        <v>1</v>
      </c>
      <c r="R178">
        <f t="shared" si="28"/>
        <v>0</v>
      </c>
      <c r="S178">
        <f t="shared" si="29"/>
        <v>1</v>
      </c>
      <c r="T178">
        <v>2</v>
      </c>
      <c r="U178" t="s">
        <v>139</v>
      </c>
      <c r="V178" s="18">
        <f t="shared" si="30"/>
        <v>6.8273092369477914E-2</v>
      </c>
      <c r="W178" s="18">
        <f t="shared" si="31"/>
        <v>8.6792452830188674E-2</v>
      </c>
      <c r="X178" s="18">
        <f t="shared" si="32"/>
        <v>0.10309278350515463</v>
      </c>
      <c r="Y178" s="18">
        <f t="shared" si="33"/>
        <v>0.15625</v>
      </c>
      <c r="Z178" s="18">
        <f t="shared" si="34"/>
        <v>0.22302158273381295</v>
      </c>
      <c r="AA178" s="10">
        <f t="shared" si="35"/>
        <v>0.12748598229999999</v>
      </c>
      <c r="AB178" t="str">
        <f>IF(AA178&gt;=Como_Avaliar!$B$15,"Alta",IF(AA178&gt;=Como_Avaliar!$B$16,"Média","Baixa"))</f>
        <v>Baixa</v>
      </c>
    </row>
    <row r="179" spans="1:28" x14ac:dyDescent="0.25">
      <c r="A179" t="s">
        <v>483</v>
      </c>
      <c r="B179" t="s">
        <v>301</v>
      </c>
      <c r="C179" t="s">
        <v>88</v>
      </c>
      <c r="D179" t="s">
        <v>59</v>
      </c>
      <c r="E179" t="s">
        <v>90</v>
      </c>
      <c r="F179">
        <v>15</v>
      </c>
      <c r="G179">
        <v>80</v>
      </c>
      <c r="H179">
        <v>3</v>
      </c>
      <c r="I179" t="s">
        <v>68</v>
      </c>
      <c r="J179" t="s">
        <v>97</v>
      </c>
      <c r="K179" t="s">
        <v>97</v>
      </c>
      <c r="L179" t="s">
        <v>322</v>
      </c>
      <c r="M179">
        <v>0</v>
      </c>
      <c r="N179" t="str">
        <f t="shared" si="24"/>
        <v>2. 8 a 15 anos</v>
      </c>
      <c r="O179" t="str">
        <f t="shared" si="25"/>
        <v>3. 50 a 149</v>
      </c>
      <c r="P179" t="str">
        <f t="shared" si="26"/>
        <v>2. 3 a 5</v>
      </c>
      <c r="Q179">
        <f t="shared" si="27"/>
        <v>0</v>
      </c>
      <c r="R179">
        <f t="shared" si="28"/>
        <v>0</v>
      </c>
      <c r="S179">
        <f t="shared" si="29"/>
        <v>0</v>
      </c>
      <c r="V179" s="18">
        <f t="shared" si="30"/>
        <v>0.43835616438356162</v>
      </c>
      <c r="W179" s="18">
        <f t="shared" si="31"/>
        <v>0.38095238095238093</v>
      </c>
      <c r="X179" s="18">
        <f t="shared" si="32"/>
        <v>0.58992805755395683</v>
      </c>
      <c r="Y179" s="18">
        <f t="shared" si="33"/>
        <v>0.58333333333333337</v>
      </c>
      <c r="Z179" s="18">
        <f t="shared" si="34"/>
        <v>0.22302158273381295</v>
      </c>
      <c r="AA179" s="10">
        <f t="shared" si="35"/>
        <v>0.4431183038</v>
      </c>
      <c r="AB179" t="str">
        <f>IF(AA179&gt;=Como_Avaliar!$B$15,"Alta",IF(AA179&gt;=Como_Avaliar!$B$16,"Média","Baixa"))</f>
        <v>Média</v>
      </c>
    </row>
    <row r="180" spans="1:28" x14ac:dyDescent="0.25">
      <c r="A180" t="s">
        <v>484</v>
      </c>
      <c r="B180" t="s">
        <v>301</v>
      </c>
      <c r="C180" t="s">
        <v>88</v>
      </c>
      <c r="D180" t="s">
        <v>56</v>
      </c>
      <c r="E180" t="s">
        <v>95</v>
      </c>
      <c r="F180">
        <v>15</v>
      </c>
      <c r="G180">
        <v>13</v>
      </c>
      <c r="H180">
        <v>2</v>
      </c>
      <c r="I180" t="s">
        <v>64</v>
      </c>
      <c r="J180" t="s">
        <v>97</v>
      </c>
      <c r="K180" t="s">
        <v>97</v>
      </c>
      <c r="L180" t="s">
        <v>284</v>
      </c>
      <c r="M180">
        <v>0</v>
      </c>
      <c r="N180" t="str">
        <f t="shared" si="24"/>
        <v>2. 8 a 15 anos</v>
      </c>
      <c r="O180" t="str">
        <f t="shared" si="25"/>
        <v>1. &lt; 20</v>
      </c>
      <c r="P180" t="str">
        <f t="shared" si="26"/>
        <v>1. 1 a 2</v>
      </c>
      <c r="Q180">
        <f t="shared" si="27"/>
        <v>1</v>
      </c>
      <c r="R180">
        <f t="shared" si="28"/>
        <v>0</v>
      </c>
      <c r="S180">
        <f t="shared" si="29"/>
        <v>1</v>
      </c>
      <c r="T180">
        <v>1</v>
      </c>
      <c r="U180" t="s">
        <v>139</v>
      </c>
      <c r="V180" s="18">
        <f t="shared" si="30"/>
        <v>6.8273092369477914E-2</v>
      </c>
      <c r="W180" s="18">
        <f t="shared" si="31"/>
        <v>8.6792452830188674E-2</v>
      </c>
      <c r="X180" s="18">
        <f t="shared" si="32"/>
        <v>0.10309278350515463</v>
      </c>
      <c r="Y180" s="18">
        <f t="shared" si="33"/>
        <v>0.15625</v>
      </c>
      <c r="Z180" s="18">
        <f t="shared" si="34"/>
        <v>0.22302158273381295</v>
      </c>
      <c r="AA180" s="10">
        <f t="shared" si="35"/>
        <v>0.12748598229999999</v>
      </c>
      <c r="AB180" t="str">
        <f>IF(AA180&gt;=Como_Avaliar!$B$15,"Alta",IF(AA180&gt;=Como_Avaliar!$B$16,"Média","Baixa"))</f>
        <v>Baixa</v>
      </c>
    </row>
    <row r="181" spans="1:28" x14ac:dyDescent="0.25">
      <c r="A181" t="s">
        <v>485</v>
      </c>
      <c r="B181" t="s">
        <v>381</v>
      </c>
      <c r="C181" t="s">
        <v>88</v>
      </c>
      <c r="D181" t="s">
        <v>56</v>
      </c>
      <c r="E181" t="s">
        <v>93</v>
      </c>
      <c r="F181">
        <v>26</v>
      </c>
      <c r="G181">
        <v>5</v>
      </c>
      <c r="H181">
        <v>1</v>
      </c>
      <c r="I181" t="s">
        <v>63</v>
      </c>
      <c r="J181" t="s">
        <v>98</v>
      </c>
      <c r="K181" t="s">
        <v>97</v>
      </c>
      <c r="L181" t="s">
        <v>289</v>
      </c>
      <c r="M181">
        <v>0</v>
      </c>
      <c r="N181" t="str">
        <f t="shared" si="24"/>
        <v>3. 16+ anos</v>
      </c>
      <c r="O181" t="str">
        <f t="shared" si="25"/>
        <v>1. &lt; 20</v>
      </c>
      <c r="P181" t="str">
        <f t="shared" si="26"/>
        <v>1. 1 a 2</v>
      </c>
      <c r="Q181">
        <f t="shared" si="27"/>
        <v>1</v>
      </c>
      <c r="R181">
        <f t="shared" si="28"/>
        <v>0</v>
      </c>
      <c r="S181">
        <f t="shared" si="29"/>
        <v>1</v>
      </c>
      <c r="T181">
        <v>1</v>
      </c>
      <c r="U181" t="s">
        <v>139</v>
      </c>
      <c r="V181" s="18">
        <f t="shared" si="30"/>
        <v>6.8273092369477914E-2</v>
      </c>
      <c r="W181" s="18">
        <f t="shared" si="31"/>
        <v>8.6792452830188674E-2</v>
      </c>
      <c r="X181" s="18">
        <f t="shared" si="32"/>
        <v>0.10309278350515463</v>
      </c>
      <c r="Y181" s="18">
        <f t="shared" si="33"/>
        <v>6.5217391304347824E-2</v>
      </c>
      <c r="Z181" s="18">
        <f t="shared" si="34"/>
        <v>0.56634304207119746</v>
      </c>
      <c r="AA181" s="10">
        <f t="shared" si="35"/>
        <v>0.17794375239999999</v>
      </c>
      <c r="AB181" t="str">
        <f>IF(AA181&gt;=Como_Avaliar!$B$15,"Alta",IF(AA181&gt;=Como_Avaliar!$B$16,"Média","Baixa"))</f>
        <v>Baixa</v>
      </c>
    </row>
    <row r="182" spans="1:28" x14ac:dyDescent="0.25">
      <c r="A182" t="s">
        <v>486</v>
      </c>
      <c r="B182" t="s">
        <v>292</v>
      </c>
      <c r="C182" t="s">
        <v>84</v>
      </c>
      <c r="D182" t="s">
        <v>59</v>
      </c>
      <c r="E182" t="s">
        <v>92</v>
      </c>
      <c r="F182">
        <v>10</v>
      </c>
      <c r="G182">
        <v>66</v>
      </c>
      <c r="H182">
        <v>3</v>
      </c>
      <c r="I182" t="s">
        <v>65</v>
      </c>
      <c r="J182" t="s">
        <v>97</v>
      </c>
      <c r="K182" t="s">
        <v>97</v>
      </c>
      <c r="L182" t="s">
        <v>284</v>
      </c>
      <c r="M182">
        <v>0</v>
      </c>
      <c r="N182" t="str">
        <f t="shared" si="24"/>
        <v>2. 8 a 15 anos</v>
      </c>
      <c r="O182" t="str">
        <f t="shared" si="25"/>
        <v>3. 50 a 149</v>
      </c>
      <c r="P182" t="str">
        <f t="shared" si="26"/>
        <v>2. 3 a 5</v>
      </c>
      <c r="Q182">
        <f t="shared" si="27"/>
        <v>0</v>
      </c>
      <c r="R182">
        <f t="shared" si="28"/>
        <v>0</v>
      </c>
      <c r="S182">
        <f t="shared" si="29"/>
        <v>1</v>
      </c>
      <c r="T182">
        <v>4</v>
      </c>
      <c r="U182" t="s">
        <v>137</v>
      </c>
      <c r="V182" s="18">
        <f t="shared" si="30"/>
        <v>0.43835616438356162</v>
      </c>
      <c r="W182" s="18">
        <f t="shared" si="31"/>
        <v>0.38095238095238093</v>
      </c>
      <c r="X182" s="18">
        <f t="shared" si="32"/>
        <v>0.58992805755395683</v>
      </c>
      <c r="Y182" s="18">
        <f t="shared" si="33"/>
        <v>0.39751552795031053</v>
      </c>
      <c r="Z182" s="18">
        <f t="shared" si="34"/>
        <v>0.22302158273381295</v>
      </c>
      <c r="AA182" s="10">
        <f t="shared" si="35"/>
        <v>0.40595474269999998</v>
      </c>
      <c r="AB182" t="str">
        <f>IF(AA182&gt;=Como_Avaliar!$B$15,"Alta",IF(AA182&gt;=Como_Avaliar!$B$16,"Média","Baixa"))</f>
        <v>Média</v>
      </c>
    </row>
    <row r="183" spans="1:28" x14ac:dyDescent="0.25">
      <c r="A183" t="s">
        <v>487</v>
      </c>
      <c r="B183" t="s">
        <v>295</v>
      </c>
      <c r="C183" t="s">
        <v>84</v>
      </c>
      <c r="D183" t="s">
        <v>56</v>
      </c>
      <c r="E183" t="s">
        <v>94</v>
      </c>
      <c r="F183">
        <v>28</v>
      </c>
      <c r="G183">
        <v>24</v>
      </c>
      <c r="H183">
        <v>1</v>
      </c>
      <c r="I183" t="s">
        <v>63</v>
      </c>
      <c r="J183" t="s">
        <v>98</v>
      </c>
      <c r="K183" t="s">
        <v>97</v>
      </c>
      <c r="L183" t="s">
        <v>322</v>
      </c>
      <c r="M183">
        <v>0</v>
      </c>
      <c r="N183" t="str">
        <f t="shared" si="24"/>
        <v>3. 16+ anos</v>
      </c>
      <c r="O183" t="str">
        <f t="shared" si="25"/>
        <v>2. 20 a 49</v>
      </c>
      <c r="P183" t="str">
        <f t="shared" si="26"/>
        <v>1. 1 a 2</v>
      </c>
      <c r="Q183">
        <f t="shared" si="27"/>
        <v>1</v>
      </c>
      <c r="R183">
        <f t="shared" si="28"/>
        <v>0</v>
      </c>
      <c r="S183">
        <f t="shared" si="29"/>
        <v>0</v>
      </c>
      <c r="V183" s="18">
        <f t="shared" si="30"/>
        <v>6.8273092369477914E-2</v>
      </c>
      <c r="W183" s="18">
        <f t="shared" si="31"/>
        <v>8.6792452830188674E-2</v>
      </c>
      <c r="X183" s="18">
        <f t="shared" si="32"/>
        <v>0.25294117647058822</v>
      </c>
      <c r="Y183" s="18">
        <f t="shared" si="33"/>
        <v>6.5217391304347824E-2</v>
      </c>
      <c r="Z183" s="18">
        <f t="shared" si="34"/>
        <v>0.56634304207119746</v>
      </c>
      <c r="AA183" s="10">
        <f t="shared" si="35"/>
        <v>0.20791343100000001</v>
      </c>
      <c r="AB183" t="str">
        <f>IF(AA183&gt;=Como_Avaliar!$B$15,"Alta",IF(AA183&gt;=Como_Avaliar!$B$16,"Média","Baixa"))</f>
        <v>Baixa</v>
      </c>
    </row>
    <row r="184" spans="1:28" x14ac:dyDescent="0.25">
      <c r="A184" t="s">
        <v>488</v>
      </c>
      <c r="B184" t="s">
        <v>363</v>
      </c>
      <c r="C184" t="s">
        <v>87</v>
      </c>
      <c r="D184" t="s">
        <v>56</v>
      </c>
      <c r="E184" t="s">
        <v>90</v>
      </c>
      <c r="F184">
        <v>13</v>
      </c>
      <c r="G184">
        <v>6</v>
      </c>
      <c r="H184">
        <v>2</v>
      </c>
      <c r="I184" t="s">
        <v>63</v>
      </c>
      <c r="J184" t="s">
        <v>97</v>
      </c>
      <c r="K184" t="s">
        <v>97</v>
      </c>
      <c r="L184" t="s">
        <v>284</v>
      </c>
      <c r="M184">
        <v>0</v>
      </c>
      <c r="N184" t="str">
        <f t="shared" si="24"/>
        <v>2. 8 a 15 anos</v>
      </c>
      <c r="O184" t="str">
        <f t="shared" si="25"/>
        <v>1. &lt; 20</v>
      </c>
      <c r="P184" t="str">
        <f t="shared" si="26"/>
        <v>1. 1 a 2</v>
      </c>
      <c r="Q184">
        <f t="shared" si="27"/>
        <v>1</v>
      </c>
      <c r="R184">
        <f t="shared" si="28"/>
        <v>0</v>
      </c>
      <c r="S184">
        <f t="shared" si="29"/>
        <v>1</v>
      </c>
      <c r="T184">
        <v>1</v>
      </c>
      <c r="U184" t="s">
        <v>139</v>
      </c>
      <c r="V184" s="18">
        <f t="shared" si="30"/>
        <v>6.8273092369477914E-2</v>
      </c>
      <c r="W184" s="18">
        <f t="shared" si="31"/>
        <v>8.6792452830188674E-2</v>
      </c>
      <c r="X184" s="18">
        <f t="shared" si="32"/>
        <v>0.10309278350515463</v>
      </c>
      <c r="Y184" s="18">
        <f t="shared" si="33"/>
        <v>6.5217391304347824E-2</v>
      </c>
      <c r="Z184" s="18">
        <f t="shared" si="34"/>
        <v>0.22302158273381295</v>
      </c>
      <c r="AA184" s="10">
        <f t="shared" si="35"/>
        <v>0.10927946049999999</v>
      </c>
      <c r="AB184" t="str">
        <f>IF(AA184&gt;=Como_Avaliar!$B$15,"Alta",IF(AA184&gt;=Como_Avaliar!$B$16,"Média","Baixa"))</f>
        <v>Baixa</v>
      </c>
    </row>
    <row r="185" spans="1:28" x14ac:dyDescent="0.25">
      <c r="A185" t="s">
        <v>489</v>
      </c>
      <c r="B185" t="s">
        <v>286</v>
      </c>
      <c r="C185" t="s">
        <v>88</v>
      </c>
      <c r="D185" t="s">
        <v>58</v>
      </c>
      <c r="E185" t="s">
        <v>90</v>
      </c>
      <c r="F185">
        <v>19</v>
      </c>
      <c r="G185">
        <v>107</v>
      </c>
      <c r="H185">
        <v>28</v>
      </c>
      <c r="I185" t="s">
        <v>62</v>
      </c>
      <c r="J185" t="s">
        <v>98</v>
      </c>
      <c r="K185" t="s">
        <v>97</v>
      </c>
      <c r="L185" t="s">
        <v>284</v>
      </c>
      <c r="M185">
        <v>1</v>
      </c>
      <c r="N185" t="str">
        <f t="shared" si="24"/>
        <v>3. 16+ anos</v>
      </c>
      <c r="O185" t="str">
        <f t="shared" si="25"/>
        <v>3. 50 a 149</v>
      </c>
      <c r="P185" t="str">
        <f t="shared" si="26"/>
        <v>4. 16+</v>
      </c>
      <c r="Q185">
        <f t="shared" si="27"/>
        <v>0</v>
      </c>
      <c r="R185">
        <f t="shared" si="28"/>
        <v>1</v>
      </c>
      <c r="S185">
        <f t="shared" si="29"/>
        <v>0</v>
      </c>
      <c r="V185" s="18">
        <f t="shared" si="30"/>
        <v>0.93975903614457834</v>
      </c>
      <c r="W185" s="18">
        <f t="shared" si="31"/>
        <v>0.97272727272727277</v>
      </c>
      <c r="X185" s="18">
        <f t="shared" si="32"/>
        <v>0.58992805755395683</v>
      </c>
      <c r="Y185" s="18">
        <f t="shared" si="33"/>
        <v>0.37662337662337664</v>
      </c>
      <c r="Z185" s="18">
        <f t="shared" si="34"/>
        <v>0.56634304207119746</v>
      </c>
      <c r="AA185" s="10">
        <f t="shared" si="35"/>
        <v>0.68907615700000002</v>
      </c>
      <c r="AB185" t="str">
        <f>IF(AA185&gt;=Como_Avaliar!$B$15,"Alta",IF(AA185&gt;=Como_Avaliar!$B$16,"Média","Baixa"))</f>
        <v>Alta</v>
      </c>
    </row>
    <row r="186" spans="1:28" x14ac:dyDescent="0.25">
      <c r="A186" t="s">
        <v>490</v>
      </c>
      <c r="B186" t="s">
        <v>301</v>
      </c>
      <c r="C186" t="s">
        <v>88</v>
      </c>
      <c r="D186" t="s">
        <v>57</v>
      </c>
      <c r="E186" t="s">
        <v>94</v>
      </c>
      <c r="F186">
        <v>7</v>
      </c>
      <c r="G186">
        <v>343</v>
      </c>
      <c r="H186">
        <v>38</v>
      </c>
      <c r="I186" t="s">
        <v>66</v>
      </c>
      <c r="J186" t="s">
        <v>97</v>
      </c>
      <c r="K186" t="s">
        <v>98</v>
      </c>
      <c r="L186" t="s">
        <v>329</v>
      </c>
      <c r="M186">
        <v>1</v>
      </c>
      <c r="N186" t="str">
        <f t="shared" si="24"/>
        <v>1. &lt; 8 anos</v>
      </c>
      <c r="O186" t="str">
        <f t="shared" si="25"/>
        <v>4. 150+</v>
      </c>
      <c r="P186" t="str">
        <f t="shared" si="26"/>
        <v>4. 16+</v>
      </c>
      <c r="Q186">
        <f t="shared" si="27"/>
        <v>0</v>
      </c>
      <c r="R186">
        <f t="shared" si="28"/>
        <v>1</v>
      </c>
      <c r="S186">
        <f t="shared" si="29"/>
        <v>0</v>
      </c>
      <c r="V186" s="18">
        <f t="shared" si="30"/>
        <v>1</v>
      </c>
      <c r="W186" s="18">
        <f t="shared" si="31"/>
        <v>0.97272727272727277</v>
      </c>
      <c r="X186" s="18">
        <f t="shared" si="32"/>
        <v>0.97938144329896903</v>
      </c>
      <c r="Y186" s="18">
        <f t="shared" si="33"/>
        <v>1</v>
      </c>
      <c r="Z186" s="18">
        <f t="shared" si="34"/>
        <v>0.22368421052631579</v>
      </c>
      <c r="AA186" s="10">
        <f t="shared" si="35"/>
        <v>0.83515858529999998</v>
      </c>
      <c r="AB186" t="str">
        <f>IF(AA186&gt;=Como_Avaliar!$B$15,"Alta",IF(AA186&gt;=Como_Avaliar!$B$16,"Média","Baixa"))</f>
        <v>Alta</v>
      </c>
    </row>
    <row r="187" spans="1:28" x14ac:dyDescent="0.25">
      <c r="A187" t="s">
        <v>491</v>
      </c>
      <c r="B187" t="s">
        <v>288</v>
      </c>
      <c r="C187" t="s">
        <v>88</v>
      </c>
      <c r="D187" t="s">
        <v>59</v>
      </c>
      <c r="E187" t="s">
        <v>90</v>
      </c>
      <c r="F187">
        <v>17</v>
      </c>
      <c r="G187">
        <v>76</v>
      </c>
      <c r="H187">
        <v>4</v>
      </c>
      <c r="I187" t="s">
        <v>62</v>
      </c>
      <c r="J187" t="s">
        <v>98</v>
      </c>
      <c r="K187" t="s">
        <v>97</v>
      </c>
      <c r="L187" t="s">
        <v>298</v>
      </c>
      <c r="M187">
        <v>0</v>
      </c>
      <c r="N187" t="str">
        <f t="shared" si="24"/>
        <v>3. 16+ anos</v>
      </c>
      <c r="O187" t="str">
        <f t="shared" si="25"/>
        <v>3. 50 a 149</v>
      </c>
      <c r="P187" t="str">
        <f t="shared" si="26"/>
        <v>2. 3 a 5</v>
      </c>
      <c r="Q187">
        <f t="shared" si="27"/>
        <v>0</v>
      </c>
      <c r="R187">
        <f t="shared" si="28"/>
        <v>0</v>
      </c>
      <c r="S187">
        <f t="shared" si="29"/>
        <v>1</v>
      </c>
      <c r="T187">
        <v>3</v>
      </c>
      <c r="U187" t="s">
        <v>138</v>
      </c>
      <c r="V187" s="18">
        <f t="shared" si="30"/>
        <v>0.43835616438356162</v>
      </c>
      <c r="W187" s="18">
        <f t="shared" si="31"/>
        <v>0.38095238095238093</v>
      </c>
      <c r="X187" s="18">
        <f t="shared" si="32"/>
        <v>0.58992805755395683</v>
      </c>
      <c r="Y187" s="18">
        <f t="shared" si="33"/>
        <v>0.37662337662337664</v>
      </c>
      <c r="Z187" s="18">
        <f t="shared" si="34"/>
        <v>0.56634304207119746</v>
      </c>
      <c r="AA187" s="10">
        <f t="shared" si="35"/>
        <v>0.47044060430000001</v>
      </c>
      <c r="AB187" t="str">
        <f>IF(AA187&gt;=Como_Avaliar!$B$15,"Alta",IF(AA187&gt;=Como_Avaliar!$B$16,"Média","Baixa"))</f>
        <v>Média</v>
      </c>
    </row>
    <row r="188" spans="1:28" x14ac:dyDescent="0.25">
      <c r="A188" t="s">
        <v>492</v>
      </c>
      <c r="B188" t="s">
        <v>327</v>
      </c>
      <c r="C188" t="s">
        <v>86</v>
      </c>
      <c r="D188" t="s">
        <v>56</v>
      </c>
      <c r="E188" t="s">
        <v>90</v>
      </c>
      <c r="F188">
        <v>20</v>
      </c>
      <c r="G188">
        <v>13</v>
      </c>
      <c r="H188">
        <v>1</v>
      </c>
      <c r="I188" t="s">
        <v>64</v>
      </c>
      <c r="J188" t="s">
        <v>97</v>
      </c>
      <c r="K188" t="s">
        <v>97</v>
      </c>
      <c r="L188" t="s">
        <v>284</v>
      </c>
      <c r="M188">
        <v>0</v>
      </c>
      <c r="N188" t="str">
        <f t="shared" si="24"/>
        <v>3. 16+ anos</v>
      </c>
      <c r="O188" t="str">
        <f t="shared" si="25"/>
        <v>1. &lt; 20</v>
      </c>
      <c r="P188" t="str">
        <f t="shared" si="26"/>
        <v>1. 1 a 2</v>
      </c>
      <c r="Q188">
        <f t="shared" si="27"/>
        <v>1</v>
      </c>
      <c r="R188">
        <f t="shared" si="28"/>
        <v>0</v>
      </c>
      <c r="S188">
        <f t="shared" si="29"/>
        <v>1</v>
      </c>
      <c r="T188">
        <v>1</v>
      </c>
      <c r="U188" t="s">
        <v>139</v>
      </c>
      <c r="V188" s="18">
        <f t="shared" si="30"/>
        <v>6.8273092369477914E-2</v>
      </c>
      <c r="W188" s="18">
        <f t="shared" si="31"/>
        <v>8.6792452830188674E-2</v>
      </c>
      <c r="X188" s="18">
        <f t="shared" si="32"/>
        <v>0.10309278350515463</v>
      </c>
      <c r="Y188" s="18">
        <f t="shared" si="33"/>
        <v>0.15625</v>
      </c>
      <c r="Z188" s="18">
        <f t="shared" si="34"/>
        <v>0.56634304207119746</v>
      </c>
      <c r="AA188" s="10">
        <f t="shared" si="35"/>
        <v>0.1961502742</v>
      </c>
      <c r="AB188" t="str">
        <f>IF(AA188&gt;=Como_Avaliar!$B$15,"Alta",IF(AA188&gt;=Como_Avaliar!$B$16,"Média","Baixa"))</f>
        <v>Baixa</v>
      </c>
    </row>
    <row r="189" spans="1:28" x14ac:dyDescent="0.25">
      <c r="A189" t="s">
        <v>493</v>
      </c>
      <c r="B189" t="s">
        <v>288</v>
      </c>
      <c r="C189" t="s">
        <v>88</v>
      </c>
      <c r="D189" t="s">
        <v>56</v>
      </c>
      <c r="E189" t="s">
        <v>93</v>
      </c>
      <c r="F189">
        <v>29</v>
      </c>
      <c r="G189">
        <v>10</v>
      </c>
      <c r="H189">
        <v>1</v>
      </c>
      <c r="I189" t="s">
        <v>62</v>
      </c>
      <c r="J189" t="s">
        <v>97</v>
      </c>
      <c r="K189" t="s">
        <v>98</v>
      </c>
      <c r="L189" t="s">
        <v>289</v>
      </c>
      <c r="M189">
        <v>0</v>
      </c>
      <c r="N189" t="str">
        <f t="shared" si="24"/>
        <v>3. 16+ anos</v>
      </c>
      <c r="O189" t="str">
        <f t="shared" si="25"/>
        <v>1. &lt; 20</v>
      </c>
      <c r="P189" t="str">
        <f t="shared" si="26"/>
        <v>1. 1 a 2</v>
      </c>
      <c r="Q189">
        <f t="shared" si="27"/>
        <v>0</v>
      </c>
      <c r="R189">
        <f t="shared" si="28"/>
        <v>0</v>
      </c>
      <c r="S189">
        <f t="shared" si="29"/>
        <v>1</v>
      </c>
      <c r="T189">
        <v>1</v>
      </c>
      <c r="U189" t="s">
        <v>139</v>
      </c>
      <c r="V189" s="18">
        <f t="shared" si="30"/>
        <v>6.8273092369477914E-2</v>
      </c>
      <c r="W189" s="18">
        <f t="shared" si="31"/>
        <v>8.6792452830188674E-2</v>
      </c>
      <c r="X189" s="18">
        <f t="shared" si="32"/>
        <v>0.10309278350515463</v>
      </c>
      <c r="Y189" s="18">
        <f t="shared" si="33"/>
        <v>0.37662337662337664</v>
      </c>
      <c r="Z189" s="18">
        <f t="shared" si="34"/>
        <v>0.56634304207119746</v>
      </c>
      <c r="AA189" s="10">
        <f t="shared" si="35"/>
        <v>0.24022494950000001</v>
      </c>
      <c r="AB189" t="str">
        <f>IF(AA189&gt;=Como_Avaliar!$B$15,"Alta",IF(AA189&gt;=Como_Avaliar!$B$16,"Média","Baixa"))</f>
        <v>Média</v>
      </c>
    </row>
    <row r="190" spans="1:28" x14ac:dyDescent="0.25">
      <c r="A190" t="s">
        <v>494</v>
      </c>
      <c r="B190" t="s">
        <v>286</v>
      </c>
      <c r="C190" t="s">
        <v>88</v>
      </c>
      <c r="D190" t="s">
        <v>59</v>
      </c>
      <c r="E190" t="s">
        <v>95</v>
      </c>
      <c r="F190">
        <v>4</v>
      </c>
      <c r="G190">
        <v>15</v>
      </c>
      <c r="H190">
        <v>10</v>
      </c>
      <c r="I190" t="s">
        <v>65</v>
      </c>
      <c r="J190" t="s">
        <v>97</v>
      </c>
      <c r="K190" t="s">
        <v>97</v>
      </c>
      <c r="L190" t="s">
        <v>284</v>
      </c>
      <c r="M190">
        <v>0</v>
      </c>
      <c r="N190" t="str">
        <f t="shared" si="24"/>
        <v>1. &lt; 8 anos</v>
      </c>
      <c r="O190" t="str">
        <f t="shared" si="25"/>
        <v>1. &lt; 20</v>
      </c>
      <c r="P190" t="str">
        <f t="shared" si="26"/>
        <v>3. 6 a 15</v>
      </c>
      <c r="Q190">
        <f t="shared" si="27"/>
        <v>0</v>
      </c>
      <c r="R190">
        <f t="shared" si="28"/>
        <v>0</v>
      </c>
      <c r="S190">
        <f t="shared" si="29"/>
        <v>1</v>
      </c>
      <c r="T190">
        <v>3</v>
      </c>
      <c r="U190" t="s">
        <v>138</v>
      </c>
      <c r="V190" s="18">
        <f t="shared" si="30"/>
        <v>0.43835616438356162</v>
      </c>
      <c r="W190" s="18">
        <f t="shared" si="31"/>
        <v>0.55319148936170215</v>
      </c>
      <c r="X190" s="18">
        <f t="shared" si="32"/>
        <v>0.10309278350515463</v>
      </c>
      <c r="Y190" s="18">
        <f t="shared" si="33"/>
        <v>0.39751552795031053</v>
      </c>
      <c r="Z190" s="18">
        <f t="shared" si="34"/>
        <v>0.22368421052631579</v>
      </c>
      <c r="AA190" s="10">
        <f t="shared" si="35"/>
        <v>0.34316803509999999</v>
      </c>
      <c r="AB190" t="str">
        <f>IF(AA190&gt;=Como_Avaliar!$B$15,"Alta",IF(AA190&gt;=Como_Avaliar!$B$16,"Média","Baixa"))</f>
        <v>Média</v>
      </c>
    </row>
    <row r="191" spans="1:28" x14ac:dyDescent="0.25">
      <c r="A191" t="s">
        <v>495</v>
      </c>
      <c r="B191" t="s">
        <v>381</v>
      </c>
      <c r="C191" t="s">
        <v>88</v>
      </c>
      <c r="D191" t="s">
        <v>58</v>
      </c>
      <c r="E191" t="s">
        <v>91</v>
      </c>
      <c r="F191">
        <v>5</v>
      </c>
      <c r="G191">
        <v>126</v>
      </c>
      <c r="H191">
        <v>13</v>
      </c>
      <c r="I191" t="s">
        <v>66</v>
      </c>
      <c r="J191" t="s">
        <v>97</v>
      </c>
      <c r="K191" t="s">
        <v>97</v>
      </c>
      <c r="L191" t="s">
        <v>284</v>
      </c>
      <c r="M191">
        <v>1</v>
      </c>
      <c r="N191" t="str">
        <f t="shared" si="24"/>
        <v>1. &lt; 8 anos</v>
      </c>
      <c r="O191" t="str">
        <f t="shared" si="25"/>
        <v>3. 50 a 149</v>
      </c>
      <c r="P191" t="str">
        <f t="shared" si="26"/>
        <v>3. 6 a 15</v>
      </c>
      <c r="Q191">
        <f t="shared" si="27"/>
        <v>0</v>
      </c>
      <c r="R191">
        <f t="shared" si="28"/>
        <v>1</v>
      </c>
      <c r="S191">
        <f t="shared" si="29"/>
        <v>0</v>
      </c>
      <c r="V191" s="18">
        <f t="shared" si="30"/>
        <v>0.93975903614457834</v>
      </c>
      <c r="W191" s="18">
        <f t="shared" si="31"/>
        <v>0.55319148936170215</v>
      </c>
      <c r="X191" s="18">
        <f t="shared" si="32"/>
        <v>0.58992805755395683</v>
      </c>
      <c r="Y191" s="18">
        <f t="shared" si="33"/>
        <v>1</v>
      </c>
      <c r="Z191" s="18">
        <f t="shared" si="34"/>
        <v>0.22368421052631579</v>
      </c>
      <c r="AA191" s="10">
        <f t="shared" si="35"/>
        <v>0.66131255870000005</v>
      </c>
      <c r="AB191" t="str">
        <f>IF(AA191&gt;=Como_Avaliar!$B$15,"Alta",IF(AA191&gt;=Como_Avaliar!$B$16,"Média","Baixa"))</f>
        <v>Alta</v>
      </c>
    </row>
    <row r="192" spans="1:28" x14ac:dyDescent="0.25">
      <c r="A192" t="s">
        <v>496</v>
      </c>
      <c r="B192" t="s">
        <v>301</v>
      </c>
      <c r="C192" t="s">
        <v>88</v>
      </c>
      <c r="D192" t="s">
        <v>56</v>
      </c>
      <c r="E192" t="s">
        <v>92</v>
      </c>
      <c r="F192">
        <v>23</v>
      </c>
      <c r="G192">
        <v>15</v>
      </c>
      <c r="H192">
        <v>2</v>
      </c>
      <c r="I192" t="s">
        <v>62</v>
      </c>
      <c r="J192" t="s">
        <v>97</v>
      </c>
      <c r="K192" t="s">
        <v>98</v>
      </c>
      <c r="L192" t="s">
        <v>322</v>
      </c>
      <c r="M192">
        <v>0</v>
      </c>
      <c r="N192" t="str">
        <f t="shared" si="24"/>
        <v>3. 16+ anos</v>
      </c>
      <c r="O192" t="str">
        <f t="shared" si="25"/>
        <v>1. &lt; 20</v>
      </c>
      <c r="P192" t="str">
        <f t="shared" si="26"/>
        <v>1. 1 a 2</v>
      </c>
      <c r="Q192">
        <f t="shared" si="27"/>
        <v>0</v>
      </c>
      <c r="R192">
        <f t="shared" si="28"/>
        <v>0</v>
      </c>
      <c r="S192">
        <f t="shared" si="29"/>
        <v>0</v>
      </c>
      <c r="V192" s="18">
        <f t="shared" si="30"/>
        <v>6.8273092369477914E-2</v>
      </c>
      <c r="W192" s="18">
        <f t="shared" si="31"/>
        <v>8.6792452830188674E-2</v>
      </c>
      <c r="X192" s="18">
        <f t="shared" si="32"/>
        <v>0.10309278350515463</v>
      </c>
      <c r="Y192" s="18">
        <f t="shared" si="33"/>
        <v>0.37662337662337664</v>
      </c>
      <c r="Z192" s="18">
        <f t="shared" si="34"/>
        <v>0.56634304207119746</v>
      </c>
      <c r="AA192" s="10">
        <f t="shared" si="35"/>
        <v>0.24022494950000001</v>
      </c>
      <c r="AB192" t="str">
        <f>IF(AA192&gt;=Como_Avaliar!$B$15,"Alta",IF(AA192&gt;=Como_Avaliar!$B$16,"Média","Baixa"))</f>
        <v>Média</v>
      </c>
    </row>
    <row r="193" spans="1:28" x14ac:dyDescent="0.25">
      <c r="A193" t="s">
        <v>497</v>
      </c>
      <c r="B193" t="s">
        <v>288</v>
      </c>
      <c r="C193" t="s">
        <v>88</v>
      </c>
      <c r="D193" t="s">
        <v>59</v>
      </c>
      <c r="E193" t="s">
        <v>96</v>
      </c>
      <c r="F193">
        <v>7</v>
      </c>
      <c r="G193">
        <v>45</v>
      </c>
      <c r="H193">
        <v>10</v>
      </c>
      <c r="I193" t="s">
        <v>65</v>
      </c>
      <c r="J193" t="s">
        <v>98</v>
      </c>
      <c r="K193" t="s">
        <v>98</v>
      </c>
      <c r="L193" t="s">
        <v>293</v>
      </c>
      <c r="M193">
        <v>0</v>
      </c>
      <c r="N193" t="str">
        <f t="shared" si="24"/>
        <v>1. &lt; 8 anos</v>
      </c>
      <c r="O193" t="str">
        <f t="shared" si="25"/>
        <v>2. 20 a 49</v>
      </c>
      <c r="P193" t="str">
        <f t="shared" si="26"/>
        <v>3. 6 a 15</v>
      </c>
      <c r="Q193">
        <f t="shared" si="27"/>
        <v>0</v>
      </c>
      <c r="R193">
        <f t="shared" si="28"/>
        <v>0</v>
      </c>
      <c r="S193">
        <f t="shared" si="29"/>
        <v>1</v>
      </c>
      <c r="T193">
        <v>3</v>
      </c>
      <c r="U193" t="s">
        <v>138</v>
      </c>
      <c r="V193" s="18">
        <f t="shared" si="30"/>
        <v>0.43835616438356162</v>
      </c>
      <c r="W193" s="18">
        <f t="shared" si="31"/>
        <v>0.55319148936170215</v>
      </c>
      <c r="X193" s="18">
        <f t="shared" si="32"/>
        <v>0.25294117647058822</v>
      </c>
      <c r="Y193" s="18">
        <f t="shared" si="33"/>
        <v>0.39751552795031053</v>
      </c>
      <c r="Z193" s="18">
        <f t="shared" si="34"/>
        <v>0.22368421052631579</v>
      </c>
      <c r="AA193" s="10">
        <f t="shared" si="35"/>
        <v>0.37313771369999998</v>
      </c>
      <c r="AB193" t="str">
        <f>IF(AA193&gt;=Como_Avaliar!$B$15,"Alta",IF(AA193&gt;=Como_Avaliar!$B$16,"Média","Baixa"))</f>
        <v>Média</v>
      </c>
    </row>
    <row r="194" spans="1:28" x14ac:dyDescent="0.25">
      <c r="A194" t="s">
        <v>498</v>
      </c>
      <c r="B194" t="s">
        <v>288</v>
      </c>
      <c r="C194" t="s">
        <v>88</v>
      </c>
      <c r="D194" t="s">
        <v>59</v>
      </c>
      <c r="E194" t="s">
        <v>93</v>
      </c>
      <c r="F194">
        <v>13</v>
      </c>
      <c r="G194">
        <v>72</v>
      </c>
      <c r="H194">
        <v>8</v>
      </c>
      <c r="I194" t="s">
        <v>68</v>
      </c>
      <c r="J194" t="s">
        <v>98</v>
      </c>
      <c r="K194" t="s">
        <v>98</v>
      </c>
      <c r="L194" t="s">
        <v>322</v>
      </c>
      <c r="M194">
        <v>1</v>
      </c>
      <c r="N194" t="str">
        <f t="shared" ref="N194:N257" si="36">IF(F194&lt;8,"1. &lt; 8 anos",IF(F194&lt;16,"2. 8 a 15 anos","3. 16+ anos"))</f>
        <v>2. 8 a 15 anos</v>
      </c>
      <c r="O194" t="str">
        <f t="shared" ref="O194:O257" si="37">IF(G194&lt;20,"1. &lt; 20",IF(G194&lt;50,"2. 20 a 49",IF(G194&lt;150,"3. 50 a 149","4. 150+")))</f>
        <v>3. 50 a 149</v>
      </c>
      <c r="P194" t="str">
        <f t="shared" ref="P194:P257" si="38">IF(H194&lt;=2,"1. 1 a 2",IF(H194&lt;=5,"2. 3 a 5",IF(H194&lt;=15,"3. 6 a 15","4. 16+")))</f>
        <v>3. 6 a 15</v>
      </c>
      <c r="Q194">
        <f t="shared" ref="Q194:Q257" si="39">IF(OR(I194="Nenhum",I194="Planilha",I194="ContaAzul"),1,0)</f>
        <v>0</v>
      </c>
      <c r="R194">
        <f t="shared" ref="R194:R257" si="40">IF(AND(G194&gt;=50,H194&gt;=6,Q194=0),1,0)</f>
        <v>1</v>
      </c>
      <c r="S194">
        <f t="shared" ref="S194:S257" si="41">IF(AND(L194&lt;&gt;"Cliente Ativo",M194=0),1,0)</f>
        <v>0</v>
      </c>
      <c r="V194" s="18">
        <f t="shared" ref="V194:V257" si="42">AVERAGEIF($D$2:$D$601,D194,$M$2:$M$601)</f>
        <v>0.43835616438356162</v>
      </c>
      <c r="W194" s="18">
        <f t="shared" ref="W194:W257" si="43">AVERAGEIF($P$2:$P$601,P194,$M$2:$M$601)</f>
        <v>0.55319148936170215</v>
      </c>
      <c r="X194" s="18">
        <f t="shared" ref="X194:X257" si="44">AVERAGEIF($O$2:$O$601,O194,$M$2:$M$601)</f>
        <v>0.58992805755395683</v>
      </c>
      <c r="Y194" s="18">
        <f t="shared" ref="Y194:Y257" si="45">AVERAGEIF($I$2:$I$601,I194,$M$2:$M$601)</f>
        <v>0.58333333333333337</v>
      </c>
      <c r="Z194" s="18">
        <f t="shared" ref="Z194:Z257" si="46">AVERAGEIF($N$2:$N$601,N194,$M$2:$M$601)</f>
        <v>0.22302158273381295</v>
      </c>
      <c r="AA194" s="10">
        <f t="shared" ref="AA194:AA257" si="47">ROUND(AVERAGE(V194:Z194),10)</f>
        <v>0.47756612549999999</v>
      </c>
      <c r="AB194" t="str">
        <f>IF(AA194&gt;=Como_Avaliar!$B$15,"Alta",IF(AA194&gt;=Como_Avaliar!$B$16,"Média","Baixa"))</f>
        <v>Média</v>
      </c>
    </row>
    <row r="195" spans="1:28" x14ac:dyDescent="0.25">
      <c r="A195" t="s">
        <v>499</v>
      </c>
      <c r="B195" t="s">
        <v>355</v>
      </c>
      <c r="C195" t="s">
        <v>86</v>
      </c>
      <c r="D195" t="s">
        <v>56</v>
      </c>
      <c r="E195" t="s">
        <v>96</v>
      </c>
      <c r="F195">
        <v>15</v>
      </c>
      <c r="G195">
        <v>11</v>
      </c>
      <c r="H195">
        <v>2</v>
      </c>
      <c r="I195" t="s">
        <v>62</v>
      </c>
      <c r="J195" t="s">
        <v>97</v>
      </c>
      <c r="K195" t="s">
        <v>97</v>
      </c>
      <c r="L195" t="s">
        <v>284</v>
      </c>
      <c r="M195">
        <v>0</v>
      </c>
      <c r="N195" t="str">
        <f t="shared" si="36"/>
        <v>2. 8 a 15 anos</v>
      </c>
      <c r="O195" t="str">
        <f t="shared" si="37"/>
        <v>1. &lt; 20</v>
      </c>
      <c r="P195" t="str">
        <f t="shared" si="38"/>
        <v>1. 1 a 2</v>
      </c>
      <c r="Q195">
        <f t="shared" si="39"/>
        <v>0</v>
      </c>
      <c r="R195">
        <f t="shared" si="40"/>
        <v>0</v>
      </c>
      <c r="S195">
        <f t="shared" si="41"/>
        <v>1</v>
      </c>
      <c r="T195">
        <v>1</v>
      </c>
      <c r="U195" t="s">
        <v>139</v>
      </c>
      <c r="V195" s="18">
        <f t="shared" si="42"/>
        <v>6.8273092369477914E-2</v>
      </c>
      <c r="W195" s="18">
        <f t="shared" si="43"/>
        <v>8.6792452830188674E-2</v>
      </c>
      <c r="X195" s="18">
        <f t="shared" si="44"/>
        <v>0.10309278350515463</v>
      </c>
      <c r="Y195" s="18">
        <f t="shared" si="45"/>
        <v>0.37662337662337664</v>
      </c>
      <c r="Z195" s="18">
        <f t="shared" si="46"/>
        <v>0.22302158273381295</v>
      </c>
      <c r="AA195" s="10">
        <f t="shared" si="47"/>
        <v>0.1715606576</v>
      </c>
      <c r="AB195" t="str">
        <f>IF(AA195&gt;=Como_Avaliar!$B$15,"Alta",IF(AA195&gt;=Como_Avaliar!$B$16,"Média","Baixa"))</f>
        <v>Baixa</v>
      </c>
    </row>
    <row r="196" spans="1:28" x14ac:dyDescent="0.25">
      <c r="A196" t="s">
        <v>500</v>
      </c>
      <c r="B196" t="s">
        <v>381</v>
      </c>
      <c r="C196" t="s">
        <v>88</v>
      </c>
      <c r="D196" t="s">
        <v>59</v>
      </c>
      <c r="E196" t="s">
        <v>94</v>
      </c>
      <c r="F196">
        <v>11</v>
      </c>
      <c r="G196">
        <v>57</v>
      </c>
      <c r="H196">
        <v>5</v>
      </c>
      <c r="I196" t="s">
        <v>60</v>
      </c>
      <c r="J196" t="s">
        <v>98</v>
      </c>
      <c r="K196" t="s">
        <v>97</v>
      </c>
      <c r="L196" t="s">
        <v>284</v>
      </c>
      <c r="M196">
        <v>0</v>
      </c>
      <c r="N196" t="str">
        <f t="shared" si="36"/>
        <v>2. 8 a 15 anos</v>
      </c>
      <c r="O196" t="str">
        <f t="shared" si="37"/>
        <v>3. 50 a 149</v>
      </c>
      <c r="P196" t="str">
        <f t="shared" si="38"/>
        <v>2. 3 a 5</v>
      </c>
      <c r="Q196">
        <f t="shared" si="39"/>
        <v>0</v>
      </c>
      <c r="R196">
        <f t="shared" si="40"/>
        <v>0</v>
      </c>
      <c r="S196">
        <f t="shared" si="41"/>
        <v>1</v>
      </c>
      <c r="T196">
        <v>3</v>
      </c>
      <c r="U196" t="s">
        <v>138</v>
      </c>
      <c r="V196" s="18">
        <f t="shared" si="42"/>
        <v>0.43835616438356162</v>
      </c>
      <c r="W196" s="18">
        <f t="shared" si="43"/>
        <v>0.38095238095238093</v>
      </c>
      <c r="X196" s="18">
        <f t="shared" si="44"/>
        <v>0.58992805755395683</v>
      </c>
      <c r="Y196" s="18">
        <f t="shared" si="45"/>
        <v>0.65217391304347827</v>
      </c>
      <c r="Z196" s="18">
        <f t="shared" si="46"/>
        <v>0.22302158273381295</v>
      </c>
      <c r="AA196" s="10">
        <f t="shared" si="47"/>
        <v>0.45688641969999999</v>
      </c>
      <c r="AB196" t="str">
        <f>IF(AA196&gt;=Como_Avaliar!$B$15,"Alta",IF(AA196&gt;=Como_Avaliar!$B$16,"Média","Baixa"))</f>
        <v>Média</v>
      </c>
    </row>
    <row r="197" spans="1:28" x14ac:dyDescent="0.25">
      <c r="A197" t="s">
        <v>501</v>
      </c>
      <c r="B197" t="s">
        <v>327</v>
      </c>
      <c r="C197" t="s">
        <v>86</v>
      </c>
      <c r="D197" t="s">
        <v>56</v>
      </c>
      <c r="E197" t="s">
        <v>91</v>
      </c>
      <c r="F197">
        <v>29</v>
      </c>
      <c r="G197">
        <v>12</v>
      </c>
      <c r="H197">
        <v>2</v>
      </c>
      <c r="I197" t="s">
        <v>64</v>
      </c>
      <c r="J197" t="s">
        <v>98</v>
      </c>
      <c r="K197" t="s">
        <v>97</v>
      </c>
      <c r="L197" t="s">
        <v>329</v>
      </c>
      <c r="M197">
        <v>0</v>
      </c>
      <c r="N197" t="str">
        <f t="shared" si="36"/>
        <v>3. 16+ anos</v>
      </c>
      <c r="O197" t="str">
        <f t="shared" si="37"/>
        <v>1. &lt; 20</v>
      </c>
      <c r="P197" t="str">
        <f t="shared" si="38"/>
        <v>1. 1 a 2</v>
      </c>
      <c r="Q197">
        <f t="shared" si="39"/>
        <v>1</v>
      </c>
      <c r="R197">
        <f t="shared" si="40"/>
        <v>0</v>
      </c>
      <c r="S197">
        <f t="shared" si="41"/>
        <v>1</v>
      </c>
      <c r="T197">
        <v>1</v>
      </c>
      <c r="U197" t="s">
        <v>139</v>
      </c>
      <c r="V197" s="18">
        <f t="shared" si="42"/>
        <v>6.8273092369477914E-2</v>
      </c>
      <c r="W197" s="18">
        <f t="shared" si="43"/>
        <v>8.6792452830188674E-2</v>
      </c>
      <c r="X197" s="18">
        <f t="shared" si="44"/>
        <v>0.10309278350515463</v>
      </c>
      <c r="Y197" s="18">
        <f t="shared" si="45"/>
        <v>0.15625</v>
      </c>
      <c r="Z197" s="18">
        <f t="shared" si="46"/>
        <v>0.56634304207119746</v>
      </c>
      <c r="AA197" s="10">
        <f t="shared" si="47"/>
        <v>0.1961502742</v>
      </c>
      <c r="AB197" t="str">
        <f>IF(AA197&gt;=Como_Avaliar!$B$15,"Alta",IF(AA197&gt;=Como_Avaliar!$B$16,"Média","Baixa"))</f>
        <v>Baixa</v>
      </c>
    </row>
    <row r="198" spans="1:28" x14ac:dyDescent="0.25">
      <c r="A198" t="s">
        <v>502</v>
      </c>
      <c r="B198" t="s">
        <v>312</v>
      </c>
      <c r="C198" t="s">
        <v>89</v>
      </c>
      <c r="D198" t="s">
        <v>59</v>
      </c>
      <c r="E198" t="s">
        <v>93</v>
      </c>
      <c r="F198">
        <v>4</v>
      </c>
      <c r="G198">
        <v>16</v>
      </c>
      <c r="H198">
        <v>4</v>
      </c>
      <c r="I198" t="s">
        <v>68</v>
      </c>
      <c r="J198" t="s">
        <v>97</v>
      </c>
      <c r="K198" t="s">
        <v>97</v>
      </c>
      <c r="L198" t="s">
        <v>298</v>
      </c>
      <c r="M198">
        <v>0</v>
      </c>
      <c r="N198" t="str">
        <f t="shared" si="36"/>
        <v>1. &lt; 8 anos</v>
      </c>
      <c r="O198" t="str">
        <f t="shared" si="37"/>
        <v>1. &lt; 20</v>
      </c>
      <c r="P198" t="str">
        <f t="shared" si="38"/>
        <v>2. 3 a 5</v>
      </c>
      <c r="Q198">
        <f t="shared" si="39"/>
        <v>0</v>
      </c>
      <c r="R198">
        <f t="shared" si="40"/>
        <v>0</v>
      </c>
      <c r="S198">
        <f t="shared" si="41"/>
        <v>1</v>
      </c>
      <c r="T198">
        <v>3</v>
      </c>
      <c r="U198" t="s">
        <v>138</v>
      </c>
      <c r="V198" s="18">
        <f t="shared" si="42"/>
        <v>0.43835616438356162</v>
      </c>
      <c r="W198" s="18">
        <f t="shared" si="43"/>
        <v>0.38095238095238093</v>
      </c>
      <c r="X198" s="18">
        <f t="shared" si="44"/>
        <v>0.10309278350515463</v>
      </c>
      <c r="Y198" s="18">
        <f t="shared" si="45"/>
        <v>0.58333333333333337</v>
      </c>
      <c r="Z198" s="18">
        <f t="shared" si="46"/>
        <v>0.22368421052631579</v>
      </c>
      <c r="AA198" s="10">
        <f t="shared" si="47"/>
        <v>0.34588377450000002</v>
      </c>
      <c r="AB198" t="str">
        <f>IF(AA198&gt;=Como_Avaliar!$B$15,"Alta",IF(AA198&gt;=Como_Avaliar!$B$16,"Média","Baixa"))</f>
        <v>Média</v>
      </c>
    </row>
    <row r="199" spans="1:28" x14ac:dyDescent="0.25">
      <c r="A199" t="s">
        <v>503</v>
      </c>
      <c r="B199" t="s">
        <v>286</v>
      </c>
      <c r="C199" t="s">
        <v>88</v>
      </c>
      <c r="D199" t="s">
        <v>59</v>
      </c>
      <c r="E199" t="s">
        <v>96</v>
      </c>
      <c r="F199">
        <v>13</v>
      </c>
      <c r="G199">
        <v>48</v>
      </c>
      <c r="H199">
        <v>4</v>
      </c>
      <c r="I199" t="s">
        <v>65</v>
      </c>
      <c r="J199" t="s">
        <v>97</v>
      </c>
      <c r="K199" t="s">
        <v>97</v>
      </c>
      <c r="L199" t="s">
        <v>289</v>
      </c>
      <c r="M199">
        <v>0</v>
      </c>
      <c r="N199" t="str">
        <f t="shared" si="36"/>
        <v>2. 8 a 15 anos</v>
      </c>
      <c r="O199" t="str">
        <f t="shared" si="37"/>
        <v>2. 20 a 49</v>
      </c>
      <c r="P199" t="str">
        <f t="shared" si="38"/>
        <v>2. 3 a 5</v>
      </c>
      <c r="Q199">
        <f t="shared" si="39"/>
        <v>0</v>
      </c>
      <c r="R199">
        <f t="shared" si="40"/>
        <v>0</v>
      </c>
      <c r="S199">
        <f t="shared" si="41"/>
        <v>1</v>
      </c>
      <c r="T199">
        <v>3</v>
      </c>
      <c r="U199" t="s">
        <v>138</v>
      </c>
      <c r="V199" s="18">
        <f t="shared" si="42"/>
        <v>0.43835616438356162</v>
      </c>
      <c r="W199" s="18">
        <f t="shared" si="43"/>
        <v>0.38095238095238093</v>
      </c>
      <c r="X199" s="18">
        <f t="shared" si="44"/>
        <v>0.25294117647058822</v>
      </c>
      <c r="Y199" s="18">
        <f t="shared" si="45"/>
        <v>0.39751552795031053</v>
      </c>
      <c r="Z199" s="18">
        <f t="shared" si="46"/>
        <v>0.22302158273381295</v>
      </c>
      <c r="AA199" s="10">
        <f t="shared" si="47"/>
        <v>0.33855736650000001</v>
      </c>
      <c r="AB199" t="str">
        <f>IF(AA199&gt;=Como_Avaliar!$B$15,"Alta",IF(AA199&gt;=Como_Avaliar!$B$16,"Média","Baixa"))</f>
        <v>Média</v>
      </c>
    </row>
    <row r="200" spans="1:28" x14ac:dyDescent="0.25">
      <c r="A200" t="s">
        <v>504</v>
      </c>
      <c r="B200" t="s">
        <v>391</v>
      </c>
      <c r="C200" t="s">
        <v>87</v>
      </c>
      <c r="D200" t="s">
        <v>56</v>
      </c>
      <c r="E200" t="s">
        <v>90</v>
      </c>
      <c r="F200">
        <v>7</v>
      </c>
      <c r="G200">
        <v>23</v>
      </c>
      <c r="H200">
        <v>2</v>
      </c>
      <c r="I200" t="s">
        <v>63</v>
      </c>
      <c r="J200" t="s">
        <v>97</v>
      </c>
      <c r="K200" t="s">
        <v>97</v>
      </c>
      <c r="L200" t="s">
        <v>289</v>
      </c>
      <c r="M200">
        <v>0</v>
      </c>
      <c r="N200" t="str">
        <f t="shared" si="36"/>
        <v>1. &lt; 8 anos</v>
      </c>
      <c r="O200" t="str">
        <f t="shared" si="37"/>
        <v>2. 20 a 49</v>
      </c>
      <c r="P200" t="str">
        <f t="shared" si="38"/>
        <v>1. 1 a 2</v>
      </c>
      <c r="Q200">
        <f t="shared" si="39"/>
        <v>1</v>
      </c>
      <c r="R200">
        <f t="shared" si="40"/>
        <v>0</v>
      </c>
      <c r="S200">
        <f t="shared" si="41"/>
        <v>1</v>
      </c>
      <c r="T200">
        <v>2</v>
      </c>
      <c r="U200" t="s">
        <v>139</v>
      </c>
      <c r="V200" s="18">
        <f t="shared" si="42"/>
        <v>6.8273092369477914E-2</v>
      </c>
      <c r="W200" s="18">
        <f t="shared" si="43"/>
        <v>8.6792452830188674E-2</v>
      </c>
      <c r="X200" s="18">
        <f t="shared" si="44"/>
        <v>0.25294117647058822</v>
      </c>
      <c r="Y200" s="18">
        <f t="shared" si="45"/>
        <v>6.5217391304347824E-2</v>
      </c>
      <c r="Z200" s="18">
        <f t="shared" si="46"/>
        <v>0.22368421052631579</v>
      </c>
      <c r="AA200" s="10">
        <f t="shared" si="47"/>
        <v>0.13938166469999999</v>
      </c>
      <c r="AB200" t="str">
        <f>IF(AA200&gt;=Como_Avaliar!$B$15,"Alta",IF(AA200&gt;=Como_Avaliar!$B$16,"Média","Baixa"))</f>
        <v>Baixa</v>
      </c>
    </row>
    <row r="201" spans="1:28" x14ac:dyDescent="0.25">
      <c r="A201" t="s">
        <v>505</v>
      </c>
      <c r="B201" t="s">
        <v>327</v>
      </c>
      <c r="C201" t="s">
        <v>86</v>
      </c>
      <c r="D201" t="s">
        <v>56</v>
      </c>
      <c r="E201" t="s">
        <v>91</v>
      </c>
      <c r="F201">
        <v>27</v>
      </c>
      <c r="G201">
        <v>14</v>
      </c>
      <c r="H201">
        <v>2</v>
      </c>
      <c r="I201" t="s">
        <v>64</v>
      </c>
      <c r="J201" t="s">
        <v>98</v>
      </c>
      <c r="K201" t="s">
        <v>98</v>
      </c>
      <c r="L201" t="s">
        <v>284</v>
      </c>
      <c r="M201">
        <v>0</v>
      </c>
      <c r="N201" t="str">
        <f t="shared" si="36"/>
        <v>3. 16+ anos</v>
      </c>
      <c r="O201" t="str">
        <f t="shared" si="37"/>
        <v>1. &lt; 20</v>
      </c>
      <c r="P201" t="str">
        <f t="shared" si="38"/>
        <v>1. 1 a 2</v>
      </c>
      <c r="Q201">
        <f t="shared" si="39"/>
        <v>1</v>
      </c>
      <c r="R201">
        <f t="shared" si="40"/>
        <v>0</v>
      </c>
      <c r="S201">
        <f t="shared" si="41"/>
        <v>1</v>
      </c>
      <c r="T201">
        <v>1</v>
      </c>
      <c r="U201" t="s">
        <v>139</v>
      </c>
      <c r="V201" s="18">
        <f t="shared" si="42"/>
        <v>6.8273092369477914E-2</v>
      </c>
      <c r="W201" s="18">
        <f t="shared" si="43"/>
        <v>8.6792452830188674E-2</v>
      </c>
      <c r="X201" s="18">
        <f t="shared" si="44"/>
        <v>0.10309278350515463</v>
      </c>
      <c r="Y201" s="18">
        <f t="shared" si="45"/>
        <v>0.15625</v>
      </c>
      <c r="Z201" s="18">
        <f t="shared" si="46"/>
        <v>0.56634304207119746</v>
      </c>
      <c r="AA201" s="10">
        <f t="shared" si="47"/>
        <v>0.1961502742</v>
      </c>
      <c r="AB201" t="str">
        <f>IF(AA201&gt;=Como_Avaliar!$B$15,"Alta",IF(AA201&gt;=Como_Avaliar!$B$16,"Média","Baixa"))</f>
        <v>Baixa</v>
      </c>
    </row>
    <row r="202" spans="1:28" x14ac:dyDescent="0.25">
      <c r="A202" t="s">
        <v>506</v>
      </c>
      <c r="B202" t="s">
        <v>334</v>
      </c>
      <c r="C202" t="s">
        <v>87</v>
      </c>
      <c r="D202" t="s">
        <v>59</v>
      </c>
      <c r="E202" t="s">
        <v>91</v>
      </c>
      <c r="F202">
        <v>19</v>
      </c>
      <c r="G202">
        <v>45</v>
      </c>
      <c r="H202">
        <v>2</v>
      </c>
      <c r="I202" t="s">
        <v>64</v>
      </c>
      <c r="J202" t="s">
        <v>98</v>
      </c>
      <c r="K202" t="s">
        <v>98</v>
      </c>
      <c r="L202" t="s">
        <v>322</v>
      </c>
      <c r="M202">
        <v>0</v>
      </c>
      <c r="N202" t="str">
        <f t="shared" si="36"/>
        <v>3. 16+ anos</v>
      </c>
      <c r="O202" t="str">
        <f t="shared" si="37"/>
        <v>2. 20 a 49</v>
      </c>
      <c r="P202" t="str">
        <f t="shared" si="38"/>
        <v>1. 1 a 2</v>
      </c>
      <c r="Q202">
        <f t="shared" si="39"/>
        <v>1</v>
      </c>
      <c r="R202">
        <f t="shared" si="40"/>
        <v>0</v>
      </c>
      <c r="S202">
        <f t="shared" si="41"/>
        <v>0</v>
      </c>
      <c r="V202" s="18">
        <f t="shared" si="42"/>
        <v>0.43835616438356162</v>
      </c>
      <c r="W202" s="18">
        <f t="shared" si="43"/>
        <v>8.6792452830188674E-2</v>
      </c>
      <c r="X202" s="18">
        <f t="shared" si="44"/>
        <v>0.25294117647058822</v>
      </c>
      <c r="Y202" s="18">
        <f t="shared" si="45"/>
        <v>0.15625</v>
      </c>
      <c r="Z202" s="18">
        <f t="shared" si="46"/>
        <v>0.56634304207119746</v>
      </c>
      <c r="AA202" s="10">
        <f t="shared" si="47"/>
        <v>0.30013656719999998</v>
      </c>
      <c r="AB202" t="str">
        <f>IF(AA202&gt;=Como_Avaliar!$B$15,"Alta",IF(AA202&gt;=Como_Avaliar!$B$16,"Média","Baixa"))</f>
        <v>Média</v>
      </c>
    </row>
    <row r="203" spans="1:28" x14ac:dyDescent="0.25">
      <c r="A203" t="s">
        <v>507</v>
      </c>
      <c r="B203" t="s">
        <v>355</v>
      </c>
      <c r="C203" t="s">
        <v>86</v>
      </c>
      <c r="D203" t="s">
        <v>57</v>
      </c>
      <c r="E203" t="s">
        <v>95</v>
      </c>
      <c r="F203">
        <v>22</v>
      </c>
      <c r="G203">
        <v>263</v>
      </c>
      <c r="H203">
        <v>50</v>
      </c>
      <c r="I203" t="s">
        <v>66</v>
      </c>
      <c r="J203" t="s">
        <v>98</v>
      </c>
      <c r="K203" t="s">
        <v>98</v>
      </c>
      <c r="L203" t="s">
        <v>298</v>
      </c>
      <c r="M203">
        <v>1</v>
      </c>
      <c r="N203" t="str">
        <f t="shared" si="36"/>
        <v>3. 16+ anos</v>
      </c>
      <c r="O203" t="str">
        <f t="shared" si="37"/>
        <v>4. 150+</v>
      </c>
      <c r="P203" t="str">
        <f t="shared" si="38"/>
        <v>4. 16+</v>
      </c>
      <c r="Q203">
        <f t="shared" si="39"/>
        <v>0</v>
      </c>
      <c r="R203">
        <f t="shared" si="40"/>
        <v>1</v>
      </c>
      <c r="S203">
        <f t="shared" si="41"/>
        <v>0</v>
      </c>
      <c r="V203" s="18">
        <f t="shared" si="42"/>
        <v>1</v>
      </c>
      <c r="W203" s="18">
        <f t="shared" si="43"/>
        <v>0.97272727272727277</v>
      </c>
      <c r="X203" s="18">
        <f t="shared" si="44"/>
        <v>0.97938144329896903</v>
      </c>
      <c r="Y203" s="18">
        <f t="shared" si="45"/>
        <v>1</v>
      </c>
      <c r="Z203" s="18">
        <f t="shared" si="46"/>
        <v>0.56634304207119746</v>
      </c>
      <c r="AA203" s="10">
        <f t="shared" si="47"/>
        <v>0.9036903516</v>
      </c>
      <c r="AB203" t="str">
        <f>IF(AA203&gt;=Como_Avaliar!$B$15,"Alta",IF(AA203&gt;=Como_Avaliar!$B$16,"Média","Baixa"))</f>
        <v>Alta</v>
      </c>
    </row>
    <row r="204" spans="1:28" x14ac:dyDescent="0.25">
      <c r="A204" t="s">
        <v>508</v>
      </c>
      <c r="B204" t="s">
        <v>327</v>
      </c>
      <c r="C204" t="s">
        <v>86</v>
      </c>
      <c r="D204" t="s">
        <v>57</v>
      </c>
      <c r="E204" t="s">
        <v>95</v>
      </c>
      <c r="F204">
        <v>28</v>
      </c>
      <c r="G204">
        <v>321</v>
      </c>
      <c r="H204">
        <v>82</v>
      </c>
      <c r="I204" t="s">
        <v>60</v>
      </c>
      <c r="J204" t="s">
        <v>97</v>
      </c>
      <c r="K204" t="s">
        <v>97</v>
      </c>
      <c r="L204" t="s">
        <v>329</v>
      </c>
      <c r="M204">
        <v>1</v>
      </c>
      <c r="N204" t="str">
        <f t="shared" si="36"/>
        <v>3. 16+ anos</v>
      </c>
      <c r="O204" t="str">
        <f t="shared" si="37"/>
        <v>4. 150+</v>
      </c>
      <c r="P204" t="str">
        <f t="shared" si="38"/>
        <v>4. 16+</v>
      </c>
      <c r="Q204">
        <f t="shared" si="39"/>
        <v>0</v>
      </c>
      <c r="R204">
        <f t="shared" si="40"/>
        <v>1</v>
      </c>
      <c r="S204">
        <f t="shared" si="41"/>
        <v>0</v>
      </c>
      <c r="V204" s="18">
        <f t="shared" si="42"/>
        <v>1</v>
      </c>
      <c r="W204" s="18">
        <f t="shared" si="43"/>
        <v>0.97272727272727277</v>
      </c>
      <c r="X204" s="18">
        <f t="shared" si="44"/>
        <v>0.97938144329896903</v>
      </c>
      <c r="Y204" s="18">
        <f t="shared" si="45"/>
        <v>0.65217391304347827</v>
      </c>
      <c r="Z204" s="18">
        <f t="shared" si="46"/>
        <v>0.56634304207119746</v>
      </c>
      <c r="AA204" s="10">
        <f t="shared" si="47"/>
        <v>0.83412513420000001</v>
      </c>
      <c r="AB204" t="str">
        <f>IF(AA204&gt;=Como_Avaliar!$B$15,"Alta",IF(AA204&gt;=Como_Avaliar!$B$16,"Média","Baixa"))</f>
        <v>Alta</v>
      </c>
    </row>
    <row r="205" spans="1:28" x14ac:dyDescent="0.25">
      <c r="A205" t="s">
        <v>509</v>
      </c>
      <c r="B205" t="s">
        <v>286</v>
      </c>
      <c r="C205" t="s">
        <v>88</v>
      </c>
      <c r="D205" t="s">
        <v>58</v>
      </c>
      <c r="E205" t="s">
        <v>96</v>
      </c>
      <c r="F205">
        <v>2</v>
      </c>
      <c r="G205">
        <v>179</v>
      </c>
      <c r="H205">
        <v>26</v>
      </c>
      <c r="I205" t="s">
        <v>68</v>
      </c>
      <c r="J205" t="s">
        <v>97</v>
      </c>
      <c r="K205" t="s">
        <v>97</v>
      </c>
      <c r="L205" t="s">
        <v>284</v>
      </c>
      <c r="M205">
        <v>1</v>
      </c>
      <c r="N205" t="str">
        <f t="shared" si="36"/>
        <v>1. &lt; 8 anos</v>
      </c>
      <c r="O205" t="str">
        <f t="shared" si="37"/>
        <v>4. 150+</v>
      </c>
      <c r="P205" t="str">
        <f t="shared" si="38"/>
        <v>4. 16+</v>
      </c>
      <c r="Q205">
        <f t="shared" si="39"/>
        <v>0</v>
      </c>
      <c r="R205">
        <f t="shared" si="40"/>
        <v>1</v>
      </c>
      <c r="S205">
        <f t="shared" si="41"/>
        <v>0</v>
      </c>
      <c r="V205" s="18">
        <f t="shared" si="42"/>
        <v>0.93975903614457834</v>
      </c>
      <c r="W205" s="18">
        <f t="shared" si="43"/>
        <v>0.97272727272727277</v>
      </c>
      <c r="X205" s="18">
        <f t="shared" si="44"/>
        <v>0.97938144329896903</v>
      </c>
      <c r="Y205" s="18">
        <f t="shared" si="45"/>
        <v>0.58333333333333337</v>
      </c>
      <c r="Z205" s="18">
        <f t="shared" si="46"/>
        <v>0.22368421052631579</v>
      </c>
      <c r="AA205" s="10">
        <f t="shared" si="47"/>
        <v>0.73977705920000003</v>
      </c>
      <c r="AB205" t="str">
        <f>IF(AA205&gt;=Como_Avaliar!$B$15,"Alta",IF(AA205&gt;=Como_Avaliar!$B$16,"Média","Baixa"))</f>
        <v>Alta</v>
      </c>
    </row>
    <row r="206" spans="1:28" x14ac:dyDescent="0.25">
      <c r="A206" t="s">
        <v>510</v>
      </c>
      <c r="B206" t="s">
        <v>305</v>
      </c>
      <c r="C206" t="s">
        <v>89</v>
      </c>
      <c r="D206" t="s">
        <v>56</v>
      </c>
      <c r="E206" t="s">
        <v>92</v>
      </c>
      <c r="F206">
        <v>10</v>
      </c>
      <c r="G206">
        <v>12</v>
      </c>
      <c r="H206">
        <v>2</v>
      </c>
      <c r="I206" t="s">
        <v>64</v>
      </c>
      <c r="J206" t="s">
        <v>97</v>
      </c>
      <c r="K206" t="s">
        <v>97</v>
      </c>
      <c r="L206" t="s">
        <v>289</v>
      </c>
      <c r="M206">
        <v>0</v>
      </c>
      <c r="N206" t="str">
        <f t="shared" si="36"/>
        <v>2. 8 a 15 anos</v>
      </c>
      <c r="O206" t="str">
        <f t="shared" si="37"/>
        <v>1. &lt; 20</v>
      </c>
      <c r="P206" t="str">
        <f t="shared" si="38"/>
        <v>1. 1 a 2</v>
      </c>
      <c r="Q206">
        <f t="shared" si="39"/>
        <v>1</v>
      </c>
      <c r="R206">
        <f t="shared" si="40"/>
        <v>0</v>
      </c>
      <c r="S206">
        <f t="shared" si="41"/>
        <v>1</v>
      </c>
      <c r="T206">
        <v>1</v>
      </c>
      <c r="U206" t="s">
        <v>139</v>
      </c>
      <c r="V206" s="18">
        <f t="shared" si="42"/>
        <v>6.8273092369477914E-2</v>
      </c>
      <c r="W206" s="18">
        <f t="shared" si="43"/>
        <v>8.6792452830188674E-2</v>
      </c>
      <c r="X206" s="18">
        <f t="shared" si="44"/>
        <v>0.10309278350515463</v>
      </c>
      <c r="Y206" s="18">
        <f t="shared" si="45"/>
        <v>0.15625</v>
      </c>
      <c r="Z206" s="18">
        <f t="shared" si="46"/>
        <v>0.22302158273381295</v>
      </c>
      <c r="AA206" s="10">
        <f t="shared" si="47"/>
        <v>0.12748598229999999</v>
      </c>
      <c r="AB206" t="str">
        <f>IF(AA206&gt;=Como_Avaliar!$B$15,"Alta",IF(AA206&gt;=Como_Avaliar!$B$16,"Média","Baixa"))</f>
        <v>Baixa</v>
      </c>
    </row>
    <row r="207" spans="1:28" x14ac:dyDescent="0.25">
      <c r="A207" t="s">
        <v>511</v>
      </c>
      <c r="B207" t="s">
        <v>286</v>
      </c>
      <c r="C207" t="s">
        <v>88</v>
      </c>
      <c r="D207" t="s">
        <v>59</v>
      </c>
      <c r="E207" t="s">
        <v>95</v>
      </c>
      <c r="F207">
        <v>13</v>
      </c>
      <c r="G207">
        <v>35</v>
      </c>
      <c r="H207">
        <v>8</v>
      </c>
      <c r="I207" t="s">
        <v>60</v>
      </c>
      <c r="J207" t="s">
        <v>98</v>
      </c>
      <c r="K207" t="s">
        <v>97</v>
      </c>
      <c r="L207" t="s">
        <v>329</v>
      </c>
      <c r="M207">
        <v>0</v>
      </c>
      <c r="N207" t="str">
        <f t="shared" si="36"/>
        <v>2. 8 a 15 anos</v>
      </c>
      <c r="O207" t="str">
        <f t="shared" si="37"/>
        <v>2. 20 a 49</v>
      </c>
      <c r="P207" t="str">
        <f t="shared" si="38"/>
        <v>3. 6 a 15</v>
      </c>
      <c r="Q207">
        <f t="shared" si="39"/>
        <v>0</v>
      </c>
      <c r="R207">
        <f t="shared" si="40"/>
        <v>0</v>
      </c>
      <c r="S207">
        <f t="shared" si="41"/>
        <v>1</v>
      </c>
      <c r="T207">
        <v>3</v>
      </c>
      <c r="U207" t="s">
        <v>138</v>
      </c>
      <c r="V207" s="18">
        <f t="shared" si="42"/>
        <v>0.43835616438356162</v>
      </c>
      <c r="W207" s="18">
        <f t="shared" si="43"/>
        <v>0.55319148936170215</v>
      </c>
      <c r="X207" s="18">
        <f t="shared" si="44"/>
        <v>0.25294117647058822</v>
      </c>
      <c r="Y207" s="18">
        <f t="shared" si="45"/>
        <v>0.65217391304347827</v>
      </c>
      <c r="Z207" s="18">
        <f t="shared" si="46"/>
        <v>0.22302158273381295</v>
      </c>
      <c r="AA207" s="10">
        <f t="shared" si="47"/>
        <v>0.42393686520000001</v>
      </c>
      <c r="AB207" t="str">
        <f>IF(AA207&gt;=Como_Avaliar!$B$15,"Alta",IF(AA207&gt;=Como_Avaliar!$B$16,"Média","Baixa"))</f>
        <v>Média</v>
      </c>
    </row>
    <row r="208" spans="1:28" x14ac:dyDescent="0.25">
      <c r="A208" t="s">
        <v>512</v>
      </c>
      <c r="B208" t="s">
        <v>301</v>
      </c>
      <c r="C208" t="s">
        <v>88</v>
      </c>
      <c r="D208" t="s">
        <v>59</v>
      </c>
      <c r="E208" t="s">
        <v>91</v>
      </c>
      <c r="F208">
        <v>25</v>
      </c>
      <c r="G208">
        <v>66</v>
      </c>
      <c r="H208">
        <v>2</v>
      </c>
      <c r="I208" t="s">
        <v>60</v>
      </c>
      <c r="J208" t="s">
        <v>98</v>
      </c>
      <c r="K208" t="s">
        <v>98</v>
      </c>
      <c r="L208" t="s">
        <v>289</v>
      </c>
      <c r="M208">
        <v>0</v>
      </c>
      <c r="N208" t="str">
        <f t="shared" si="36"/>
        <v>3. 16+ anos</v>
      </c>
      <c r="O208" t="str">
        <f t="shared" si="37"/>
        <v>3. 50 a 149</v>
      </c>
      <c r="P208" t="str">
        <f t="shared" si="38"/>
        <v>1. 1 a 2</v>
      </c>
      <c r="Q208">
        <f t="shared" si="39"/>
        <v>0</v>
      </c>
      <c r="R208">
        <f t="shared" si="40"/>
        <v>0</v>
      </c>
      <c r="S208">
        <f t="shared" si="41"/>
        <v>1</v>
      </c>
      <c r="T208">
        <v>3</v>
      </c>
      <c r="U208" t="s">
        <v>138</v>
      </c>
      <c r="V208" s="18">
        <f t="shared" si="42"/>
        <v>0.43835616438356162</v>
      </c>
      <c r="W208" s="18">
        <f t="shared" si="43"/>
        <v>8.6792452830188674E-2</v>
      </c>
      <c r="X208" s="18">
        <f t="shared" si="44"/>
        <v>0.58992805755395683</v>
      </c>
      <c r="Y208" s="18">
        <f t="shared" si="45"/>
        <v>0.65217391304347827</v>
      </c>
      <c r="Z208" s="18">
        <f t="shared" si="46"/>
        <v>0.56634304207119746</v>
      </c>
      <c r="AA208" s="10">
        <f t="shared" si="47"/>
        <v>0.46671872599999997</v>
      </c>
      <c r="AB208" t="str">
        <f>IF(AA208&gt;=Como_Avaliar!$B$15,"Alta",IF(AA208&gt;=Como_Avaliar!$B$16,"Média","Baixa"))</f>
        <v>Média</v>
      </c>
    </row>
    <row r="209" spans="1:28" x14ac:dyDescent="0.25">
      <c r="A209" t="s">
        <v>513</v>
      </c>
      <c r="B209" t="s">
        <v>286</v>
      </c>
      <c r="C209" t="s">
        <v>88</v>
      </c>
      <c r="D209" t="s">
        <v>56</v>
      </c>
      <c r="E209" t="s">
        <v>91</v>
      </c>
      <c r="F209">
        <v>21</v>
      </c>
      <c r="G209">
        <v>24</v>
      </c>
      <c r="H209">
        <v>1</v>
      </c>
      <c r="I209" t="s">
        <v>63</v>
      </c>
      <c r="J209" t="s">
        <v>97</v>
      </c>
      <c r="K209" t="s">
        <v>97</v>
      </c>
      <c r="L209" t="s">
        <v>284</v>
      </c>
      <c r="M209">
        <v>0</v>
      </c>
      <c r="N209" t="str">
        <f t="shared" si="36"/>
        <v>3. 16+ anos</v>
      </c>
      <c r="O209" t="str">
        <f t="shared" si="37"/>
        <v>2. 20 a 49</v>
      </c>
      <c r="P209" t="str">
        <f t="shared" si="38"/>
        <v>1. 1 a 2</v>
      </c>
      <c r="Q209">
        <f t="shared" si="39"/>
        <v>1</v>
      </c>
      <c r="R209">
        <f t="shared" si="40"/>
        <v>0</v>
      </c>
      <c r="S209">
        <f t="shared" si="41"/>
        <v>1</v>
      </c>
      <c r="T209">
        <v>2</v>
      </c>
      <c r="U209" t="s">
        <v>139</v>
      </c>
      <c r="V209" s="18">
        <f t="shared" si="42"/>
        <v>6.8273092369477914E-2</v>
      </c>
      <c r="W209" s="18">
        <f t="shared" si="43"/>
        <v>8.6792452830188674E-2</v>
      </c>
      <c r="X209" s="18">
        <f t="shared" si="44"/>
        <v>0.25294117647058822</v>
      </c>
      <c r="Y209" s="18">
        <f t="shared" si="45"/>
        <v>6.5217391304347824E-2</v>
      </c>
      <c r="Z209" s="18">
        <f t="shared" si="46"/>
        <v>0.56634304207119746</v>
      </c>
      <c r="AA209" s="10">
        <f t="shared" si="47"/>
        <v>0.20791343100000001</v>
      </c>
      <c r="AB209" t="str">
        <f>IF(AA209&gt;=Como_Avaliar!$B$15,"Alta",IF(AA209&gt;=Como_Avaliar!$B$16,"Média","Baixa"))</f>
        <v>Baixa</v>
      </c>
    </row>
    <row r="210" spans="1:28" x14ac:dyDescent="0.25">
      <c r="A210" t="s">
        <v>514</v>
      </c>
      <c r="B210" t="s">
        <v>301</v>
      </c>
      <c r="C210" t="s">
        <v>88</v>
      </c>
      <c r="D210" t="s">
        <v>56</v>
      </c>
      <c r="E210" t="s">
        <v>90</v>
      </c>
      <c r="F210">
        <v>6</v>
      </c>
      <c r="G210">
        <v>19</v>
      </c>
      <c r="H210">
        <v>1</v>
      </c>
      <c r="I210" t="s">
        <v>63</v>
      </c>
      <c r="J210" t="s">
        <v>97</v>
      </c>
      <c r="K210" t="s">
        <v>98</v>
      </c>
      <c r="L210" t="s">
        <v>284</v>
      </c>
      <c r="M210">
        <v>0</v>
      </c>
      <c r="N210" t="str">
        <f t="shared" si="36"/>
        <v>1. &lt; 8 anos</v>
      </c>
      <c r="O210" t="str">
        <f t="shared" si="37"/>
        <v>1. &lt; 20</v>
      </c>
      <c r="P210" t="str">
        <f t="shared" si="38"/>
        <v>1. 1 a 2</v>
      </c>
      <c r="Q210">
        <f t="shared" si="39"/>
        <v>1</v>
      </c>
      <c r="R210">
        <f t="shared" si="40"/>
        <v>0</v>
      </c>
      <c r="S210">
        <f t="shared" si="41"/>
        <v>1</v>
      </c>
      <c r="T210">
        <v>2</v>
      </c>
      <c r="U210" t="s">
        <v>139</v>
      </c>
      <c r="V210" s="18">
        <f t="shared" si="42"/>
        <v>6.8273092369477914E-2</v>
      </c>
      <c r="W210" s="18">
        <f t="shared" si="43"/>
        <v>8.6792452830188674E-2</v>
      </c>
      <c r="X210" s="18">
        <f t="shared" si="44"/>
        <v>0.10309278350515463</v>
      </c>
      <c r="Y210" s="18">
        <f t="shared" si="45"/>
        <v>6.5217391304347824E-2</v>
      </c>
      <c r="Z210" s="18">
        <f t="shared" si="46"/>
        <v>0.22368421052631579</v>
      </c>
      <c r="AA210" s="10">
        <f t="shared" si="47"/>
        <v>0.1094119861</v>
      </c>
      <c r="AB210" t="str">
        <f>IF(AA210&gt;=Como_Avaliar!$B$15,"Alta",IF(AA210&gt;=Como_Avaliar!$B$16,"Média","Baixa"))</f>
        <v>Baixa</v>
      </c>
    </row>
    <row r="211" spans="1:28" x14ac:dyDescent="0.25">
      <c r="A211" t="s">
        <v>515</v>
      </c>
      <c r="B211" t="s">
        <v>363</v>
      </c>
      <c r="C211" t="s">
        <v>87</v>
      </c>
      <c r="D211" t="s">
        <v>57</v>
      </c>
      <c r="E211" t="s">
        <v>95</v>
      </c>
      <c r="F211">
        <v>28</v>
      </c>
      <c r="G211">
        <v>518</v>
      </c>
      <c r="H211">
        <v>60</v>
      </c>
      <c r="I211" t="s">
        <v>65</v>
      </c>
      <c r="J211" t="s">
        <v>97</v>
      </c>
      <c r="K211" t="s">
        <v>98</v>
      </c>
      <c r="L211" t="s">
        <v>329</v>
      </c>
      <c r="M211">
        <v>1</v>
      </c>
      <c r="N211" t="str">
        <f t="shared" si="36"/>
        <v>3. 16+ anos</v>
      </c>
      <c r="O211" t="str">
        <f t="shared" si="37"/>
        <v>4. 150+</v>
      </c>
      <c r="P211" t="str">
        <f t="shared" si="38"/>
        <v>4. 16+</v>
      </c>
      <c r="Q211">
        <f t="shared" si="39"/>
        <v>0</v>
      </c>
      <c r="R211">
        <f t="shared" si="40"/>
        <v>1</v>
      </c>
      <c r="S211">
        <f t="shared" si="41"/>
        <v>0</v>
      </c>
      <c r="V211" s="18">
        <f t="shared" si="42"/>
        <v>1</v>
      </c>
      <c r="W211" s="18">
        <f t="shared" si="43"/>
        <v>0.97272727272727277</v>
      </c>
      <c r="X211" s="18">
        <f t="shared" si="44"/>
        <v>0.97938144329896903</v>
      </c>
      <c r="Y211" s="18">
        <f t="shared" si="45"/>
        <v>0.39751552795031053</v>
      </c>
      <c r="Z211" s="18">
        <f t="shared" si="46"/>
        <v>0.56634304207119746</v>
      </c>
      <c r="AA211" s="10">
        <f t="shared" si="47"/>
        <v>0.7831934572</v>
      </c>
      <c r="AB211" t="str">
        <f>IF(AA211&gt;=Como_Avaliar!$B$15,"Alta",IF(AA211&gt;=Como_Avaliar!$B$16,"Média","Baixa"))</f>
        <v>Alta</v>
      </c>
    </row>
    <row r="212" spans="1:28" x14ac:dyDescent="0.25">
      <c r="A212" t="s">
        <v>516</v>
      </c>
      <c r="B212" t="s">
        <v>288</v>
      </c>
      <c r="C212" t="s">
        <v>88</v>
      </c>
      <c r="D212" t="s">
        <v>56</v>
      </c>
      <c r="E212" t="s">
        <v>96</v>
      </c>
      <c r="F212">
        <v>28</v>
      </c>
      <c r="G212">
        <v>25</v>
      </c>
      <c r="H212">
        <v>1</v>
      </c>
      <c r="I212" t="s">
        <v>63</v>
      </c>
      <c r="J212" t="s">
        <v>97</v>
      </c>
      <c r="K212" t="s">
        <v>97</v>
      </c>
      <c r="L212" t="s">
        <v>322</v>
      </c>
      <c r="M212">
        <v>0</v>
      </c>
      <c r="N212" t="str">
        <f t="shared" si="36"/>
        <v>3. 16+ anos</v>
      </c>
      <c r="O212" t="str">
        <f t="shared" si="37"/>
        <v>2. 20 a 49</v>
      </c>
      <c r="P212" t="str">
        <f t="shared" si="38"/>
        <v>1. 1 a 2</v>
      </c>
      <c r="Q212">
        <f t="shared" si="39"/>
        <v>1</v>
      </c>
      <c r="R212">
        <f t="shared" si="40"/>
        <v>0</v>
      </c>
      <c r="S212">
        <f t="shared" si="41"/>
        <v>0</v>
      </c>
      <c r="V212" s="18">
        <f t="shared" si="42"/>
        <v>6.8273092369477914E-2</v>
      </c>
      <c r="W212" s="18">
        <f t="shared" si="43"/>
        <v>8.6792452830188674E-2</v>
      </c>
      <c r="X212" s="18">
        <f t="shared" si="44"/>
        <v>0.25294117647058822</v>
      </c>
      <c r="Y212" s="18">
        <f t="shared" si="45"/>
        <v>6.5217391304347824E-2</v>
      </c>
      <c r="Z212" s="18">
        <f t="shared" si="46"/>
        <v>0.56634304207119746</v>
      </c>
      <c r="AA212" s="10">
        <f t="shared" si="47"/>
        <v>0.20791343100000001</v>
      </c>
      <c r="AB212" t="str">
        <f>IF(AA212&gt;=Como_Avaliar!$B$15,"Alta",IF(AA212&gt;=Como_Avaliar!$B$16,"Média","Baixa"))</f>
        <v>Baixa</v>
      </c>
    </row>
    <row r="213" spans="1:28" x14ac:dyDescent="0.25">
      <c r="A213" t="s">
        <v>517</v>
      </c>
      <c r="B213" t="s">
        <v>314</v>
      </c>
      <c r="C213" t="s">
        <v>84</v>
      </c>
      <c r="D213" t="s">
        <v>58</v>
      </c>
      <c r="E213" t="s">
        <v>94</v>
      </c>
      <c r="F213">
        <v>12</v>
      </c>
      <c r="G213">
        <v>90</v>
      </c>
      <c r="H213">
        <v>26</v>
      </c>
      <c r="I213" t="s">
        <v>65</v>
      </c>
      <c r="J213" t="s">
        <v>98</v>
      </c>
      <c r="K213" t="s">
        <v>98</v>
      </c>
      <c r="L213" t="s">
        <v>329</v>
      </c>
      <c r="M213">
        <v>1</v>
      </c>
      <c r="N213" t="str">
        <f t="shared" si="36"/>
        <v>2. 8 a 15 anos</v>
      </c>
      <c r="O213" t="str">
        <f t="shared" si="37"/>
        <v>3. 50 a 149</v>
      </c>
      <c r="P213" t="str">
        <f t="shared" si="38"/>
        <v>4. 16+</v>
      </c>
      <c r="Q213">
        <f t="shared" si="39"/>
        <v>0</v>
      </c>
      <c r="R213">
        <f t="shared" si="40"/>
        <v>1</v>
      </c>
      <c r="S213">
        <f t="shared" si="41"/>
        <v>0</v>
      </c>
      <c r="V213" s="18">
        <f t="shared" si="42"/>
        <v>0.93975903614457834</v>
      </c>
      <c r="W213" s="18">
        <f t="shared" si="43"/>
        <v>0.97272727272727277</v>
      </c>
      <c r="X213" s="18">
        <f t="shared" si="44"/>
        <v>0.58992805755395683</v>
      </c>
      <c r="Y213" s="18">
        <f t="shared" si="45"/>
        <v>0.39751552795031053</v>
      </c>
      <c r="Z213" s="18">
        <f t="shared" si="46"/>
        <v>0.22302158273381295</v>
      </c>
      <c r="AA213" s="10">
        <f t="shared" si="47"/>
        <v>0.6245902954</v>
      </c>
      <c r="AB213" t="str">
        <f>IF(AA213&gt;=Como_Avaliar!$B$15,"Alta",IF(AA213&gt;=Como_Avaliar!$B$16,"Média","Baixa"))</f>
        <v>Alta</v>
      </c>
    </row>
    <row r="214" spans="1:28" x14ac:dyDescent="0.25">
      <c r="A214" t="s">
        <v>518</v>
      </c>
      <c r="B214" t="s">
        <v>381</v>
      </c>
      <c r="C214" t="s">
        <v>88</v>
      </c>
      <c r="D214" t="s">
        <v>56</v>
      </c>
      <c r="E214" t="s">
        <v>92</v>
      </c>
      <c r="F214">
        <v>12</v>
      </c>
      <c r="G214">
        <v>23</v>
      </c>
      <c r="H214">
        <v>1</v>
      </c>
      <c r="I214" t="s">
        <v>64</v>
      </c>
      <c r="J214" t="s">
        <v>98</v>
      </c>
      <c r="K214" t="s">
        <v>97</v>
      </c>
      <c r="L214" t="s">
        <v>293</v>
      </c>
      <c r="M214">
        <v>0</v>
      </c>
      <c r="N214" t="str">
        <f t="shared" si="36"/>
        <v>2. 8 a 15 anos</v>
      </c>
      <c r="O214" t="str">
        <f t="shared" si="37"/>
        <v>2. 20 a 49</v>
      </c>
      <c r="P214" t="str">
        <f t="shared" si="38"/>
        <v>1. 1 a 2</v>
      </c>
      <c r="Q214">
        <f t="shared" si="39"/>
        <v>1</v>
      </c>
      <c r="R214">
        <f t="shared" si="40"/>
        <v>0</v>
      </c>
      <c r="S214">
        <f t="shared" si="41"/>
        <v>1</v>
      </c>
      <c r="T214">
        <v>2</v>
      </c>
      <c r="U214" t="s">
        <v>139</v>
      </c>
      <c r="V214" s="18">
        <f t="shared" si="42"/>
        <v>6.8273092369477914E-2</v>
      </c>
      <c r="W214" s="18">
        <f t="shared" si="43"/>
        <v>8.6792452830188674E-2</v>
      </c>
      <c r="X214" s="18">
        <f t="shared" si="44"/>
        <v>0.25294117647058822</v>
      </c>
      <c r="Y214" s="18">
        <f t="shared" si="45"/>
        <v>0.15625</v>
      </c>
      <c r="Z214" s="18">
        <f t="shared" si="46"/>
        <v>0.22302158273381295</v>
      </c>
      <c r="AA214" s="10">
        <f t="shared" si="47"/>
        <v>0.15745566089999999</v>
      </c>
      <c r="AB214" t="str">
        <f>IF(AA214&gt;=Como_Avaliar!$B$15,"Alta",IF(AA214&gt;=Como_Avaliar!$B$16,"Média","Baixa"))</f>
        <v>Baixa</v>
      </c>
    </row>
    <row r="215" spans="1:28" x14ac:dyDescent="0.25">
      <c r="A215" t="s">
        <v>519</v>
      </c>
      <c r="B215" t="s">
        <v>301</v>
      </c>
      <c r="C215" t="s">
        <v>88</v>
      </c>
      <c r="D215" t="s">
        <v>57</v>
      </c>
      <c r="E215" t="s">
        <v>95</v>
      </c>
      <c r="F215">
        <v>20</v>
      </c>
      <c r="G215">
        <v>502</v>
      </c>
      <c r="H215">
        <v>93</v>
      </c>
      <c r="I215" t="s">
        <v>65</v>
      </c>
      <c r="J215" t="s">
        <v>98</v>
      </c>
      <c r="K215" t="s">
        <v>97</v>
      </c>
      <c r="L215" t="s">
        <v>284</v>
      </c>
      <c r="M215">
        <v>1</v>
      </c>
      <c r="N215" t="str">
        <f t="shared" si="36"/>
        <v>3. 16+ anos</v>
      </c>
      <c r="O215" t="str">
        <f t="shared" si="37"/>
        <v>4. 150+</v>
      </c>
      <c r="P215" t="str">
        <f t="shared" si="38"/>
        <v>4. 16+</v>
      </c>
      <c r="Q215">
        <f t="shared" si="39"/>
        <v>0</v>
      </c>
      <c r="R215">
        <f t="shared" si="40"/>
        <v>1</v>
      </c>
      <c r="S215">
        <f t="shared" si="41"/>
        <v>0</v>
      </c>
      <c r="V215" s="18">
        <f t="shared" si="42"/>
        <v>1</v>
      </c>
      <c r="W215" s="18">
        <f t="shared" si="43"/>
        <v>0.97272727272727277</v>
      </c>
      <c r="X215" s="18">
        <f t="shared" si="44"/>
        <v>0.97938144329896903</v>
      </c>
      <c r="Y215" s="18">
        <f t="shared" si="45"/>
        <v>0.39751552795031053</v>
      </c>
      <c r="Z215" s="18">
        <f t="shared" si="46"/>
        <v>0.56634304207119746</v>
      </c>
      <c r="AA215" s="10">
        <f t="shared" si="47"/>
        <v>0.7831934572</v>
      </c>
      <c r="AB215" t="str">
        <f>IF(AA215&gt;=Como_Avaliar!$B$15,"Alta",IF(AA215&gt;=Como_Avaliar!$B$16,"Média","Baixa"))</f>
        <v>Alta</v>
      </c>
    </row>
    <row r="216" spans="1:28" x14ac:dyDescent="0.25">
      <c r="A216" t="s">
        <v>520</v>
      </c>
      <c r="B216" t="s">
        <v>321</v>
      </c>
      <c r="C216" t="s">
        <v>86</v>
      </c>
      <c r="D216" t="s">
        <v>56</v>
      </c>
      <c r="E216" t="s">
        <v>91</v>
      </c>
      <c r="F216">
        <v>11</v>
      </c>
      <c r="G216">
        <v>14</v>
      </c>
      <c r="H216">
        <v>1</v>
      </c>
      <c r="I216" t="s">
        <v>64</v>
      </c>
      <c r="J216" t="s">
        <v>97</v>
      </c>
      <c r="K216" t="s">
        <v>97</v>
      </c>
      <c r="L216" t="s">
        <v>329</v>
      </c>
      <c r="M216">
        <v>0</v>
      </c>
      <c r="N216" t="str">
        <f t="shared" si="36"/>
        <v>2. 8 a 15 anos</v>
      </c>
      <c r="O216" t="str">
        <f t="shared" si="37"/>
        <v>1. &lt; 20</v>
      </c>
      <c r="P216" t="str">
        <f t="shared" si="38"/>
        <v>1. 1 a 2</v>
      </c>
      <c r="Q216">
        <f t="shared" si="39"/>
        <v>1</v>
      </c>
      <c r="R216">
        <f t="shared" si="40"/>
        <v>0</v>
      </c>
      <c r="S216">
        <f t="shared" si="41"/>
        <v>1</v>
      </c>
      <c r="T216">
        <v>1</v>
      </c>
      <c r="U216" t="s">
        <v>139</v>
      </c>
      <c r="V216" s="18">
        <f t="shared" si="42"/>
        <v>6.8273092369477914E-2</v>
      </c>
      <c r="W216" s="18">
        <f t="shared" si="43"/>
        <v>8.6792452830188674E-2</v>
      </c>
      <c r="X216" s="18">
        <f t="shared" si="44"/>
        <v>0.10309278350515463</v>
      </c>
      <c r="Y216" s="18">
        <f t="shared" si="45"/>
        <v>0.15625</v>
      </c>
      <c r="Z216" s="18">
        <f t="shared" si="46"/>
        <v>0.22302158273381295</v>
      </c>
      <c r="AA216" s="10">
        <f t="shared" si="47"/>
        <v>0.12748598229999999</v>
      </c>
      <c r="AB216" t="str">
        <f>IF(AA216&gt;=Como_Avaliar!$B$15,"Alta",IF(AA216&gt;=Como_Avaliar!$B$16,"Média","Baixa"))</f>
        <v>Baixa</v>
      </c>
    </row>
    <row r="217" spans="1:28" x14ac:dyDescent="0.25">
      <c r="A217" t="s">
        <v>521</v>
      </c>
      <c r="B217" t="s">
        <v>391</v>
      </c>
      <c r="C217" t="s">
        <v>87</v>
      </c>
      <c r="D217" t="s">
        <v>56</v>
      </c>
      <c r="E217" t="s">
        <v>93</v>
      </c>
      <c r="F217">
        <v>26</v>
      </c>
      <c r="G217">
        <v>22</v>
      </c>
      <c r="H217">
        <v>2</v>
      </c>
      <c r="I217" t="s">
        <v>65</v>
      </c>
      <c r="J217" t="s">
        <v>97</v>
      </c>
      <c r="K217" t="s">
        <v>98</v>
      </c>
      <c r="L217" t="s">
        <v>289</v>
      </c>
      <c r="M217">
        <v>0</v>
      </c>
      <c r="N217" t="str">
        <f t="shared" si="36"/>
        <v>3. 16+ anos</v>
      </c>
      <c r="O217" t="str">
        <f t="shared" si="37"/>
        <v>2. 20 a 49</v>
      </c>
      <c r="P217" t="str">
        <f t="shared" si="38"/>
        <v>1. 1 a 2</v>
      </c>
      <c r="Q217">
        <f t="shared" si="39"/>
        <v>0</v>
      </c>
      <c r="R217">
        <f t="shared" si="40"/>
        <v>0</v>
      </c>
      <c r="S217">
        <f t="shared" si="41"/>
        <v>1</v>
      </c>
      <c r="T217">
        <v>2</v>
      </c>
      <c r="U217" t="s">
        <v>139</v>
      </c>
      <c r="V217" s="18">
        <f t="shared" si="42"/>
        <v>6.8273092369477914E-2</v>
      </c>
      <c r="W217" s="18">
        <f t="shared" si="43"/>
        <v>8.6792452830188674E-2</v>
      </c>
      <c r="X217" s="18">
        <f t="shared" si="44"/>
        <v>0.25294117647058822</v>
      </c>
      <c r="Y217" s="18">
        <f t="shared" si="45"/>
        <v>0.39751552795031053</v>
      </c>
      <c r="Z217" s="18">
        <f t="shared" si="46"/>
        <v>0.56634304207119746</v>
      </c>
      <c r="AA217" s="10">
        <f t="shared" si="47"/>
        <v>0.27437305829999997</v>
      </c>
      <c r="AB217" t="str">
        <f>IF(AA217&gt;=Como_Avaliar!$B$15,"Alta",IF(AA217&gt;=Como_Avaliar!$B$16,"Média","Baixa"))</f>
        <v>Média</v>
      </c>
    </row>
    <row r="218" spans="1:28" x14ac:dyDescent="0.25">
      <c r="A218" t="s">
        <v>522</v>
      </c>
      <c r="B218" t="s">
        <v>312</v>
      </c>
      <c r="C218" t="s">
        <v>89</v>
      </c>
      <c r="D218" t="s">
        <v>58</v>
      </c>
      <c r="E218" t="s">
        <v>92</v>
      </c>
      <c r="F218">
        <v>23</v>
      </c>
      <c r="G218">
        <v>116</v>
      </c>
      <c r="H218">
        <v>18</v>
      </c>
      <c r="I218" t="s">
        <v>62</v>
      </c>
      <c r="J218" t="s">
        <v>98</v>
      </c>
      <c r="K218" t="s">
        <v>98</v>
      </c>
      <c r="L218" t="s">
        <v>289</v>
      </c>
      <c r="M218">
        <v>1</v>
      </c>
      <c r="N218" t="str">
        <f t="shared" si="36"/>
        <v>3. 16+ anos</v>
      </c>
      <c r="O218" t="str">
        <f t="shared" si="37"/>
        <v>3. 50 a 149</v>
      </c>
      <c r="P218" t="str">
        <f t="shared" si="38"/>
        <v>4. 16+</v>
      </c>
      <c r="Q218">
        <f t="shared" si="39"/>
        <v>0</v>
      </c>
      <c r="R218">
        <f t="shared" si="40"/>
        <v>1</v>
      </c>
      <c r="S218">
        <f t="shared" si="41"/>
        <v>0</v>
      </c>
      <c r="V218" s="18">
        <f t="shared" si="42"/>
        <v>0.93975903614457834</v>
      </c>
      <c r="W218" s="18">
        <f t="shared" si="43"/>
        <v>0.97272727272727277</v>
      </c>
      <c r="X218" s="18">
        <f t="shared" si="44"/>
        <v>0.58992805755395683</v>
      </c>
      <c r="Y218" s="18">
        <f t="shared" si="45"/>
        <v>0.37662337662337664</v>
      </c>
      <c r="Z218" s="18">
        <f t="shared" si="46"/>
        <v>0.56634304207119746</v>
      </c>
      <c r="AA218" s="10">
        <f t="shared" si="47"/>
        <v>0.68907615700000002</v>
      </c>
      <c r="AB218" t="str">
        <f>IF(AA218&gt;=Como_Avaliar!$B$15,"Alta",IF(AA218&gt;=Como_Avaliar!$B$16,"Média","Baixa"))</f>
        <v>Alta</v>
      </c>
    </row>
    <row r="219" spans="1:28" x14ac:dyDescent="0.25">
      <c r="A219" t="s">
        <v>523</v>
      </c>
      <c r="B219" t="s">
        <v>292</v>
      </c>
      <c r="C219" t="s">
        <v>84</v>
      </c>
      <c r="D219" t="s">
        <v>59</v>
      </c>
      <c r="E219" t="s">
        <v>95</v>
      </c>
      <c r="F219">
        <v>28</v>
      </c>
      <c r="G219">
        <v>43</v>
      </c>
      <c r="H219">
        <v>5</v>
      </c>
      <c r="I219" t="s">
        <v>62</v>
      </c>
      <c r="J219" t="s">
        <v>98</v>
      </c>
      <c r="K219" t="s">
        <v>97</v>
      </c>
      <c r="L219" t="s">
        <v>298</v>
      </c>
      <c r="M219">
        <v>1</v>
      </c>
      <c r="N219" t="str">
        <f t="shared" si="36"/>
        <v>3. 16+ anos</v>
      </c>
      <c r="O219" t="str">
        <f t="shared" si="37"/>
        <v>2. 20 a 49</v>
      </c>
      <c r="P219" t="str">
        <f t="shared" si="38"/>
        <v>2. 3 a 5</v>
      </c>
      <c r="Q219">
        <f t="shared" si="39"/>
        <v>0</v>
      </c>
      <c r="R219">
        <f t="shared" si="40"/>
        <v>0</v>
      </c>
      <c r="S219">
        <f t="shared" si="41"/>
        <v>0</v>
      </c>
      <c r="V219" s="18">
        <f t="shared" si="42"/>
        <v>0.43835616438356162</v>
      </c>
      <c r="W219" s="18">
        <f t="shared" si="43"/>
        <v>0.38095238095238093</v>
      </c>
      <c r="X219" s="18">
        <f t="shared" si="44"/>
        <v>0.25294117647058822</v>
      </c>
      <c r="Y219" s="18">
        <f t="shared" si="45"/>
        <v>0.37662337662337664</v>
      </c>
      <c r="Z219" s="18">
        <f t="shared" si="46"/>
        <v>0.56634304207119746</v>
      </c>
      <c r="AA219" s="10">
        <f t="shared" si="47"/>
        <v>0.40304322809999998</v>
      </c>
      <c r="AB219" t="str">
        <f>IF(AA219&gt;=Como_Avaliar!$B$15,"Alta",IF(AA219&gt;=Como_Avaliar!$B$16,"Média","Baixa"))</f>
        <v>Média</v>
      </c>
    </row>
    <row r="220" spans="1:28" x14ac:dyDescent="0.25">
      <c r="A220" t="s">
        <v>524</v>
      </c>
      <c r="B220" t="s">
        <v>286</v>
      </c>
      <c r="C220" t="s">
        <v>88</v>
      </c>
      <c r="D220" t="s">
        <v>59</v>
      </c>
      <c r="E220" t="s">
        <v>92</v>
      </c>
      <c r="F220">
        <v>25</v>
      </c>
      <c r="G220">
        <v>32</v>
      </c>
      <c r="H220">
        <v>9</v>
      </c>
      <c r="I220" t="s">
        <v>65</v>
      </c>
      <c r="J220" t="s">
        <v>98</v>
      </c>
      <c r="K220" t="s">
        <v>97</v>
      </c>
      <c r="L220" t="s">
        <v>284</v>
      </c>
      <c r="M220">
        <v>1</v>
      </c>
      <c r="N220" t="str">
        <f t="shared" si="36"/>
        <v>3. 16+ anos</v>
      </c>
      <c r="O220" t="str">
        <f t="shared" si="37"/>
        <v>2. 20 a 49</v>
      </c>
      <c r="P220" t="str">
        <f t="shared" si="38"/>
        <v>3. 6 a 15</v>
      </c>
      <c r="Q220">
        <f t="shared" si="39"/>
        <v>0</v>
      </c>
      <c r="R220">
        <f t="shared" si="40"/>
        <v>0</v>
      </c>
      <c r="S220">
        <f t="shared" si="41"/>
        <v>0</v>
      </c>
      <c r="V220" s="18">
        <f t="shared" si="42"/>
        <v>0.43835616438356162</v>
      </c>
      <c r="W220" s="18">
        <f t="shared" si="43"/>
        <v>0.55319148936170215</v>
      </c>
      <c r="X220" s="18">
        <f t="shared" si="44"/>
        <v>0.25294117647058822</v>
      </c>
      <c r="Y220" s="18">
        <f t="shared" si="45"/>
        <v>0.39751552795031053</v>
      </c>
      <c r="Z220" s="18">
        <f t="shared" si="46"/>
        <v>0.56634304207119746</v>
      </c>
      <c r="AA220" s="10">
        <f t="shared" si="47"/>
        <v>0.44166948</v>
      </c>
      <c r="AB220" t="str">
        <f>IF(AA220&gt;=Como_Avaliar!$B$15,"Alta",IF(AA220&gt;=Como_Avaliar!$B$16,"Média","Baixa"))</f>
        <v>Média</v>
      </c>
    </row>
    <row r="221" spans="1:28" x14ac:dyDescent="0.25">
      <c r="A221" t="s">
        <v>525</v>
      </c>
      <c r="B221" t="s">
        <v>288</v>
      </c>
      <c r="C221" t="s">
        <v>88</v>
      </c>
      <c r="D221" t="s">
        <v>59</v>
      </c>
      <c r="E221" t="s">
        <v>93</v>
      </c>
      <c r="F221">
        <v>7</v>
      </c>
      <c r="G221">
        <v>76</v>
      </c>
      <c r="H221">
        <v>3</v>
      </c>
      <c r="I221" t="s">
        <v>68</v>
      </c>
      <c r="J221" t="s">
        <v>98</v>
      </c>
      <c r="K221" t="s">
        <v>97</v>
      </c>
      <c r="L221" t="s">
        <v>293</v>
      </c>
      <c r="M221">
        <v>0</v>
      </c>
      <c r="N221" t="str">
        <f t="shared" si="36"/>
        <v>1. &lt; 8 anos</v>
      </c>
      <c r="O221" t="str">
        <f t="shared" si="37"/>
        <v>3. 50 a 149</v>
      </c>
      <c r="P221" t="str">
        <f t="shared" si="38"/>
        <v>2. 3 a 5</v>
      </c>
      <c r="Q221">
        <f t="shared" si="39"/>
        <v>0</v>
      </c>
      <c r="R221">
        <f t="shared" si="40"/>
        <v>0</v>
      </c>
      <c r="S221">
        <f t="shared" si="41"/>
        <v>1</v>
      </c>
      <c r="T221">
        <v>3</v>
      </c>
      <c r="U221" t="s">
        <v>138</v>
      </c>
      <c r="V221" s="18">
        <f t="shared" si="42"/>
        <v>0.43835616438356162</v>
      </c>
      <c r="W221" s="18">
        <f t="shared" si="43"/>
        <v>0.38095238095238093</v>
      </c>
      <c r="X221" s="18">
        <f t="shared" si="44"/>
        <v>0.58992805755395683</v>
      </c>
      <c r="Y221" s="18">
        <f t="shared" si="45"/>
        <v>0.58333333333333337</v>
      </c>
      <c r="Z221" s="18">
        <f t="shared" si="46"/>
        <v>0.22368421052631579</v>
      </c>
      <c r="AA221" s="10">
        <f t="shared" si="47"/>
        <v>0.44325082929999998</v>
      </c>
      <c r="AB221" t="str">
        <f>IF(AA221&gt;=Como_Avaliar!$B$15,"Alta",IF(AA221&gt;=Como_Avaliar!$B$16,"Média","Baixa"))</f>
        <v>Média</v>
      </c>
    </row>
    <row r="222" spans="1:28" x14ac:dyDescent="0.25">
      <c r="A222" t="s">
        <v>526</v>
      </c>
      <c r="B222" t="s">
        <v>334</v>
      </c>
      <c r="C222" t="s">
        <v>87</v>
      </c>
      <c r="D222" t="s">
        <v>59</v>
      </c>
      <c r="E222" t="s">
        <v>96</v>
      </c>
      <c r="F222">
        <v>1</v>
      </c>
      <c r="G222">
        <v>34</v>
      </c>
      <c r="H222">
        <v>6</v>
      </c>
      <c r="I222" t="s">
        <v>65</v>
      </c>
      <c r="J222" t="s">
        <v>98</v>
      </c>
      <c r="K222" t="s">
        <v>97</v>
      </c>
      <c r="L222" t="s">
        <v>329</v>
      </c>
      <c r="M222">
        <v>0</v>
      </c>
      <c r="N222" t="str">
        <f t="shared" si="36"/>
        <v>1. &lt; 8 anos</v>
      </c>
      <c r="O222" t="str">
        <f t="shared" si="37"/>
        <v>2. 20 a 49</v>
      </c>
      <c r="P222" t="str">
        <f t="shared" si="38"/>
        <v>3. 6 a 15</v>
      </c>
      <c r="Q222">
        <f t="shared" si="39"/>
        <v>0</v>
      </c>
      <c r="R222">
        <f t="shared" si="40"/>
        <v>0</v>
      </c>
      <c r="S222">
        <f t="shared" si="41"/>
        <v>1</v>
      </c>
      <c r="T222">
        <v>3</v>
      </c>
      <c r="U222" t="s">
        <v>138</v>
      </c>
      <c r="V222" s="18">
        <f t="shared" si="42"/>
        <v>0.43835616438356162</v>
      </c>
      <c r="W222" s="18">
        <f t="shared" si="43"/>
        <v>0.55319148936170215</v>
      </c>
      <c r="X222" s="18">
        <f t="shared" si="44"/>
        <v>0.25294117647058822</v>
      </c>
      <c r="Y222" s="18">
        <f t="shared" si="45"/>
        <v>0.39751552795031053</v>
      </c>
      <c r="Z222" s="18">
        <f t="shared" si="46"/>
        <v>0.22368421052631579</v>
      </c>
      <c r="AA222" s="10">
        <f t="shared" si="47"/>
        <v>0.37313771369999998</v>
      </c>
      <c r="AB222" t="str">
        <f>IF(AA222&gt;=Como_Avaliar!$B$15,"Alta",IF(AA222&gt;=Como_Avaliar!$B$16,"Média","Baixa"))</f>
        <v>Média</v>
      </c>
    </row>
    <row r="223" spans="1:28" x14ac:dyDescent="0.25">
      <c r="A223" t="s">
        <v>527</v>
      </c>
      <c r="B223" t="s">
        <v>312</v>
      </c>
      <c r="C223" t="s">
        <v>89</v>
      </c>
      <c r="D223" t="s">
        <v>59</v>
      </c>
      <c r="E223" t="s">
        <v>91</v>
      </c>
      <c r="F223">
        <v>1</v>
      </c>
      <c r="G223">
        <v>73</v>
      </c>
      <c r="H223">
        <v>9</v>
      </c>
      <c r="I223" t="s">
        <v>65</v>
      </c>
      <c r="J223" t="s">
        <v>97</v>
      </c>
      <c r="K223" t="s">
        <v>97</v>
      </c>
      <c r="L223" t="s">
        <v>322</v>
      </c>
      <c r="M223">
        <v>1</v>
      </c>
      <c r="N223" t="str">
        <f t="shared" si="36"/>
        <v>1. &lt; 8 anos</v>
      </c>
      <c r="O223" t="str">
        <f t="shared" si="37"/>
        <v>3. 50 a 149</v>
      </c>
      <c r="P223" t="str">
        <f t="shared" si="38"/>
        <v>3. 6 a 15</v>
      </c>
      <c r="Q223">
        <f t="shared" si="39"/>
        <v>0</v>
      </c>
      <c r="R223">
        <f t="shared" si="40"/>
        <v>1</v>
      </c>
      <c r="S223">
        <f t="shared" si="41"/>
        <v>0</v>
      </c>
      <c r="V223" s="18">
        <f t="shared" si="42"/>
        <v>0.43835616438356162</v>
      </c>
      <c r="W223" s="18">
        <f t="shared" si="43"/>
        <v>0.55319148936170215</v>
      </c>
      <c r="X223" s="18">
        <f t="shared" si="44"/>
        <v>0.58992805755395683</v>
      </c>
      <c r="Y223" s="18">
        <f t="shared" si="45"/>
        <v>0.39751552795031053</v>
      </c>
      <c r="Z223" s="18">
        <f t="shared" si="46"/>
        <v>0.22368421052631579</v>
      </c>
      <c r="AA223" s="10">
        <f t="shared" si="47"/>
        <v>0.44053509000000002</v>
      </c>
      <c r="AB223" t="str">
        <f>IF(AA223&gt;=Como_Avaliar!$B$15,"Alta",IF(AA223&gt;=Como_Avaliar!$B$16,"Média","Baixa"))</f>
        <v>Média</v>
      </c>
    </row>
    <row r="224" spans="1:28" x14ac:dyDescent="0.25">
      <c r="A224" t="s">
        <v>528</v>
      </c>
      <c r="B224" t="s">
        <v>305</v>
      </c>
      <c r="C224" t="s">
        <v>89</v>
      </c>
      <c r="D224" t="s">
        <v>58</v>
      </c>
      <c r="E224" t="s">
        <v>94</v>
      </c>
      <c r="F224">
        <v>25</v>
      </c>
      <c r="G224">
        <v>215</v>
      </c>
      <c r="H224">
        <v>24</v>
      </c>
      <c r="I224" t="s">
        <v>68</v>
      </c>
      <c r="J224" t="s">
        <v>97</v>
      </c>
      <c r="K224" t="s">
        <v>97</v>
      </c>
      <c r="L224" t="s">
        <v>329</v>
      </c>
      <c r="M224">
        <v>1</v>
      </c>
      <c r="N224" t="str">
        <f t="shared" si="36"/>
        <v>3. 16+ anos</v>
      </c>
      <c r="O224" t="str">
        <f t="shared" si="37"/>
        <v>4. 150+</v>
      </c>
      <c r="P224" t="str">
        <f t="shared" si="38"/>
        <v>4. 16+</v>
      </c>
      <c r="Q224">
        <f t="shared" si="39"/>
        <v>0</v>
      </c>
      <c r="R224">
        <f t="shared" si="40"/>
        <v>1</v>
      </c>
      <c r="S224">
        <f t="shared" si="41"/>
        <v>0</v>
      </c>
      <c r="V224" s="18">
        <f t="shared" si="42"/>
        <v>0.93975903614457834</v>
      </c>
      <c r="W224" s="18">
        <f t="shared" si="43"/>
        <v>0.97272727272727277</v>
      </c>
      <c r="X224" s="18">
        <f t="shared" si="44"/>
        <v>0.97938144329896903</v>
      </c>
      <c r="Y224" s="18">
        <f t="shared" si="45"/>
        <v>0.58333333333333337</v>
      </c>
      <c r="Z224" s="18">
        <f t="shared" si="46"/>
        <v>0.56634304207119746</v>
      </c>
      <c r="AA224" s="10">
        <f t="shared" si="47"/>
        <v>0.80830882550000005</v>
      </c>
      <c r="AB224" t="str">
        <f>IF(AA224&gt;=Como_Avaliar!$B$15,"Alta",IF(AA224&gt;=Como_Avaliar!$B$16,"Média","Baixa"))</f>
        <v>Alta</v>
      </c>
    </row>
    <row r="225" spans="1:28" x14ac:dyDescent="0.25">
      <c r="A225" t="s">
        <v>529</v>
      </c>
      <c r="B225" t="s">
        <v>426</v>
      </c>
      <c r="C225" t="s">
        <v>84</v>
      </c>
      <c r="D225" t="s">
        <v>59</v>
      </c>
      <c r="E225" t="s">
        <v>90</v>
      </c>
      <c r="F225">
        <v>27</v>
      </c>
      <c r="G225">
        <v>62</v>
      </c>
      <c r="H225">
        <v>7</v>
      </c>
      <c r="I225" t="s">
        <v>62</v>
      </c>
      <c r="J225" t="s">
        <v>98</v>
      </c>
      <c r="K225" t="s">
        <v>97</v>
      </c>
      <c r="L225" t="s">
        <v>298</v>
      </c>
      <c r="M225">
        <v>1</v>
      </c>
      <c r="N225" t="str">
        <f t="shared" si="36"/>
        <v>3. 16+ anos</v>
      </c>
      <c r="O225" t="str">
        <f t="shared" si="37"/>
        <v>3. 50 a 149</v>
      </c>
      <c r="P225" t="str">
        <f t="shared" si="38"/>
        <v>3. 6 a 15</v>
      </c>
      <c r="Q225">
        <f t="shared" si="39"/>
        <v>0</v>
      </c>
      <c r="R225">
        <f t="shared" si="40"/>
        <v>1</v>
      </c>
      <c r="S225">
        <f t="shared" si="41"/>
        <v>0</v>
      </c>
      <c r="V225" s="18">
        <f t="shared" si="42"/>
        <v>0.43835616438356162</v>
      </c>
      <c r="W225" s="18">
        <f t="shared" si="43"/>
        <v>0.55319148936170215</v>
      </c>
      <c r="X225" s="18">
        <f t="shared" si="44"/>
        <v>0.58992805755395683</v>
      </c>
      <c r="Y225" s="18">
        <f t="shared" si="45"/>
        <v>0.37662337662337664</v>
      </c>
      <c r="Z225" s="18">
        <f t="shared" si="46"/>
        <v>0.56634304207119746</v>
      </c>
      <c r="AA225" s="10">
        <f t="shared" si="47"/>
        <v>0.50488842599999995</v>
      </c>
      <c r="AB225" t="str">
        <f>IF(AA225&gt;=Como_Avaliar!$B$15,"Alta",IF(AA225&gt;=Como_Avaliar!$B$16,"Média","Baixa"))</f>
        <v>Alta</v>
      </c>
    </row>
    <row r="226" spans="1:28" x14ac:dyDescent="0.25">
      <c r="A226" t="s">
        <v>530</v>
      </c>
      <c r="B226" t="s">
        <v>286</v>
      </c>
      <c r="C226" t="s">
        <v>88</v>
      </c>
      <c r="D226" t="s">
        <v>59</v>
      </c>
      <c r="E226" t="s">
        <v>96</v>
      </c>
      <c r="F226">
        <v>25</v>
      </c>
      <c r="G226">
        <v>68</v>
      </c>
      <c r="H226">
        <v>8</v>
      </c>
      <c r="I226" t="s">
        <v>64</v>
      </c>
      <c r="J226" t="s">
        <v>98</v>
      </c>
      <c r="K226" t="s">
        <v>97</v>
      </c>
      <c r="L226" t="s">
        <v>322</v>
      </c>
      <c r="M226">
        <v>1</v>
      </c>
      <c r="N226" t="str">
        <f t="shared" si="36"/>
        <v>3. 16+ anos</v>
      </c>
      <c r="O226" t="str">
        <f t="shared" si="37"/>
        <v>3. 50 a 149</v>
      </c>
      <c r="P226" t="str">
        <f t="shared" si="38"/>
        <v>3. 6 a 15</v>
      </c>
      <c r="Q226">
        <f t="shared" si="39"/>
        <v>1</v>
      </c>
      <c r="R226">
        <f t="shared" si="40"/>
        <v>0</v>
      </c>
      <c r="S226">
        <f t="shared" si="41"/>
        <v>0</v>
      </c>
      <c r="V226" s="18">
        <f t="shared" si="42"/>
        <v>0.43835616438356162</v>
      </c>
      <c r="W226" s="18">
        <f t="shared" si="43"/>
        <v>0.55319148936170215</v>
      </c>
      <c r="X226" s="18">
        <f t="shared" si="44"/>
        <v>0.58992805755395683</v>
      </c>
      <c r="Y226" s="18">
        <f t="shared" si="45"/>
        <v>0.15625</v>
      </c>
      <c r="Z226" s="18">
        <f t="shared" si="46"/>
        <v>0.56634304207119746</v>
      </c>
      <c r="AA226" s="10">
        <f t="shared" si="47"/>
        <v>0.46081375070000002</v>
      </c>
      <c r="AB226" t="str">
        <f>IF(AA226&gt;=Como_Avaliar!$B$15,"Alta",IF(AA226&gt;=Como_Avaliar!$B$16,"Média","Baixa"))</f>
        <v>Média</v>
      </c>
    </row>
    <row r="227" spans="1:28" x14ac:dyDescent="0.25">
      <c r="A227" t="s">
        <v>531</v>
      </c>
      <c r="B227" t="s">
        <v>312</v>
      </c>
      <c r="C227" t="s">
        <v>89</v>
      </c>
      <c r="D227" t="s">
        <v>56</v>
      </c>
      <c r="E227" t="s">
        <v>91</v>
      </c>
      <c r="F227">
        <v>20</v>
      </c>
      <c r="G227">
        <v>25</v>
      </c>
      <c r="H227">
        <v>2</v>
      </c>
      <c r="I227" t="s">
        <v>65</v>
      </c>
      <c r="J227" t="s">
        <v>97</v>
      </c>
      <c r="K227" t="s">
        <v>97</v>
      </c>
      <c r="L227" t="s">
        <v>322</v>
      </c>
      <c r="M227">
        <v>0</v>
      </c>
      <c r="N227" t="str">
        <f t="shared" si="36"/>
        <v>3. 16+ anos</v>
      </c>
      <c r="O227" t="str">
        <f t="shared" si="37"/>
        <v>2. 20 a 49</v>
      </c>
      <c r="P227" t="str">
        <f t="shared" si="38"/>
        <v>1. 1 a 2</v>
      </c>
      <c r="Q227">
        <f t="shared" si="39"/>
        <v>0</v>
      </c>
      <c r="R227">
        <f t="shared" si="40"/>
        <v>0</v>
      </c>
      <c r="S227">
        <f t="shared" si="41"/>
        <v>0</v>
      </c>
      <c r="V227" s="18">
        <f t="shared" si="42"/>
        <v>6.8273092369477914E-2</v>
      </c>
      <c r="W227" s="18">
        <f t="shared" si="43"/>
        <v>8.6792452830188674E-2</v>
      </c>
      <c r="X227" s="18">
        <f t="shared" si="44"/>
        <v>0.25294117647058822</v>
      </c>
      <c r="Y227" s="18">
        <f t="shared" si="45"/>
        <v>0.39751552795031053</v>
      </c>
      <c r="Z227" s="18">
        <f t="shared" si="46"/>
        <v>0.56634304207119746</v>
      </c>
      <c r="AA227" s="10">
        <f t="shared" si="47"/>
        <v>0.27437305829999997</v>
      </c>
      <c r="AB227" t="str">
        <f>IF(AA227&gt;=Como_Avaliar!$B$15,"Alta",IF(AA227&gt;=Como_Avaliar!$B$16,"Média","Baixa"))</f>
        <v>Média</v>
      </c>
    </row>
    <row r="228" spans="1:28" x14ac:dyDescent="0.25">
      <c r="A228" t="s">
        <v>532</v>
      </c>
      <c r="B228" t="s">
        <v>305</v>
      </c>
      <c r="C228" t="s">
        <v>89</v>
      </c>
      <c r="D228" t="s">
        <v>56</v>
      </c>
      <c r="E228" t="s">
        <v>93</v>
      </c>
      <c r="F228">
        <v>13</v>
      </c>
      <c r="G228">
        <v>20</v>
      </c>
      <c r="H228">
        <v>1</v>
      </c>
      <c r="I228" t="s">
        <v>62</v>
      </c>
      <c r="J228" t="s">
        <v>97</v>
      </c>
      <c r="K228" t="s">
        <v>97</v>
      </c>
      <c r="L228" t="s">
        <v>293</v>
      </c>
      <c r="M228">
        <v>0</v>
      </c>
      <c r="N228" t="str">
        <f t="shared" si="36"/>
        <v>2. 8 a 15 anos</v>
      </c>
      <c r="O228" t="str">
        <f t="shared" si="37"/>
        <v>2. 20 a 49</v>
      </c>
      <c r="P228" t="str">
        <f t="shared" si="38"/>
        <v>1. 1 a 2</v>
      </c>
      <c r="Q228">
        <f t="shared" si="39"/>
        <v>0</v>
      </c>
      <c r="R228">
        <f t="shared" si="40"/>
        <v>0</v>
      </c>
      <c r="S228">
        <f t="shared" si="41"/>
        <v>1</v>
      </c>
      <c r="T228">
        <v>2</v>
      </c>
      <c r="U228" t="s">
        <v>139</v>
      </c>
      <c r="V228" s="18">
        <f t="shared" si="42"/>
        <v>6.8273092369477914E-2</v>
      </c>
      <c r="W228" s="18">
        <f t="shared" si="43"/>
        <v>8.6792452830188674E-2</v>
      </c>
      <c r="X228" s="18">
        <f t="shared" si="44"/>
        <v>0.25294117647058822</v>
      </c>
      <c r="Y228" s="18">
        <f t="shared" si="45"/>
        <v>0.37662337662337664</v>
      </c>
      <c r="Z228" s="18">
        <f t="shared" si="46"/>
        <v>0.22302158273381295</v>
      </c>
      <c r="AA228" s="10">
        <f t="shared" si="47"/>
        <v>0.20153033619999999</v>
      </c>
      <c r="AB228" t="str">
        <f>IF(AA228&gt;=Como_Avaliar!$B$15,"Alta",IF(AA228&gt;=Como_Avaliar!$B$16,"Média","Baixa"))</f>
        <v>Baixa</v>
      </c>
    </row>
    <row r="229" spans="1:28" x14ac:dyDescent="0.25">
      <c r="A229" t="s">
        <v>533</v>
      </c>
      <c r="B229" t="s">
        <v>327</v>
      </c>
      <c r="C229" t="s">
        <v>86</v>
      </c>
      <c r="D229" t="s">
        <v>59</v>
      </c>
      <c r="E229" t="s">
        <v>90</v>
      </c>
      <c r="F229">
        <v>9</v>
      </c>
      <c r="G229">
        <v>75</v>
      </c>
      <c r="H229">
        <v>7</v>
      </c>
      <c r="I229" t="s">
        <v>68</v>
      </c>
      <c r="J229" t="s">
        <v>97</v>
      </c>
      <c r="K229" t="s">
        <v>98</v>
      </c>
      <c r="L229" t="s">
        <v>284</v>
      </c>
      <c r="M229">
        <v>0</v>
      </c>
      <c r="N229" t="str">
        <f t="shared" si="36"/>
        <v>2. 8 a 15 anos</v>
      </c>
      <c r="O229" t="str">
        <f t="shared" si="37"/>
        <v>3. 50 a 149</v>
      </c>
      <c r="P229" t="str">
        <f t="shared" si="38"/>
        <v>3. 6 a 15</v>
      </c>
      <c r="Q229">
        <f t="shared" si="39"/>
        <v>0</v>
      </c>
      <c r="R229">
        <f t="shared" si="40"/>
        <v>1</v>
      </c>
      <c r="S229">
        <f t="shared" si="41"/>
        <v>1</v>
      </c>
      <c r="T229">
        <v>3</v>
      </c>
      <c r="U229" t="s">
        <v>138</v>
      </c>
      <c r="V229" s="18">
        <f t="shared" si="42"/>
        <v>0.43835616438356162</v>
      </c>
      <c r="W229" s="18">
        <f t="shared" si="43"/>
        <v>0.55319148936170215</v>
      </c>
      <c r="X229" s="18">
        <f t="shared" si="44"/>
        <v>0.58992805755395683</v>
      </c>
      <c r="Y229" s="18">
        <f t="shared" si="45"/>
        <v>0.58333333333333337</v>
      </c>
      <c r="Z229" s="18">
        <f t="shared" si="46"/>
        <v>0.22302158273381295</v>
      </c>
      <c r="AA229" s="10">
        <f t="shared" si="47"/>
        <v>0.47756612549999999</v>
      </c>
      <c r="AB229" t="str">
        <f>IF(AA229&gt;=Como_Avaliar!$B$15,"Alta",IF(AA229&gt;=Como_Avaliar!$B$16,"Média","Baixa"))</f>
        <v>Média</v>
      </c>
    </row>
    <row r="230" spans="1:28" x14ac:dyDescent="0.25">
      <c r="A230" t="s">
        <v>534</v>
      </c>
      <c r="B230" t="s">
        <v>286</v>
      </c>
      <c r="C230" t="s">
        <v>88</v>
      </c>
      <c r="D230" t="s">
        <v>59</v>
      </c>
      <c r="E230" t="s">
        <v>94</v>
      </c>
      <c r="F230">
        <v>3</v>
      </c>
      <c r="G230">
        <v>42</v>
      </c>
      <c r="H230">
        <v>7</v>
      </c>
      <c r="I230" t="s">
        <v>62</v>
      </c>
      <c r="J230" t="s">
        <v>98</v>
      </c>
      <c r="K230" t="s">
        <v>97</v>
      </c>
      <c r="L230" t="s">
        <v>284</v>
      </c>
      <c r="M230">
        <v>0</v>
      </c>
      <c r="N230" t="str">
        <f t="shared" si="36"/>
        <v>1. &lt; 8 anos</v>
      </c>
      <c r="O230" t="str">
        <f t="shared" si="37"/>
        <v>2. 20 a 49</v>
      </c>
      <c r="P230" t="str">
        <f t="shared" si="38"/>
        <v>3. 6 a 15</v>
      </c>
      <c r="Q230">
        <f t="shared" si="39"/>
        <v>0</v>
      </c>
      <c r="R230">
        <f t="shared" si="40"/>
        <v>0</v>
      </c>
      <c r="S230">
        <f t="shared" si="41"/>
        <v>1</v>
      </c>
      <c r="T230">
        <v>5</v>
      </c>
      <c r="U230" t="s">
        <v>137</v>
      </c>
      <c r="V230" s="18">
        <f t="shared" si="42"/>
        <v>0.43835616438356162</v>
      </c>
      <c r="W230" s="18">
        <f t="shared" si="43"/>
        <v>0.55319148936170215</v>
      </c>
      <c r="X230" s="18">
        <f t="shared" si="44"/>
        <v>0.25294117647058822</v>
      </c>
      <c r="Y230" s="18">
        <f t="shared" si="45"/>
        <v>0.37662337662337664</v>
      </c>
      <c r="Z230" s="18">
        <f t="shared" si="46"/>
        <v>0.22368421052631579</v>
      </c>
      <c r="AA230" s="10">
        <f t="shared" si="47"/>
        <v>0.36895928350000001</v>
      </c>
      <c r="AB230" t="str">
        <f>IF(AA230&gt;=Como_Avaliar!$B$15,"Alta",IF(AA230&gt;=Como_Avaliar!$B$16,"Média","Baixa"))</f>
        <v>Média</v>
      </c>
    </row>
    <row r="231" spans="1:28" x14ac:dyDescent="0.25">
      <c r="A231" t="s">
        <v>535</v>
      </c>
      <c r="B231" t="s">
        <v>334</v>
      </c>
      <c r="C231" t="s">
        <v>87</v>
      </c>
      <c r="D231" t="s">
        <v>58</v>
      </c>
      <c r="E231" t="s">
        <v>91</v>
      </c>
      <c r="F231">
        <v>7</v>
      </c>
      <c r="G231">
        <v>123</v>
      </c>
      <c r="H231">
        <v>22</v>
      </c>
      <c r="I231" t="s">
        <v>60</v>
      </c>
      <c r="J231" t="s">
        <v>97</v>
      </c>
      <c r="K231" t="s">
        <v>98</v>
      </c>
      <c r="L231" t="s">
        <v>289</v>
      </c>
      <c r="M231">
        <v>1</v>
      </c>
      <c r="N231" t="str">
        <f t="shared" si="36"/>
        <v>1. &lt; 8 anos</v>
      </c>
      <c r="O231" t="str">
        <f t="shared" si="37"/>
        <v>3. 50 a 149</v>
      </c>
      <c r="P231" t="str">
        <f t="shared" si="38"/>
        <v>4. 16+</v>
      </c>
      <c r="Q231">
        <f t="shared" si="39"/>
        <v>0</v>
      </c>
      <c r="R231">
        <f t="shared" si="40"/>
        <v>1</v>
      </c>
      <c r="S231">
        <f t="shared" si="41"/>
        <v>0</v>
      </c>
      <c r="V231" s="18">
        <f t="shared" si="42"/>
        <v>0.93975903614457834</v>
      </c>
      <c r="W231" s="18">
        <f t="shared" si="43"/>
        <v>0.97272727272727277</v>
      </c>
      <c r="X231" s="18">
        <f t="shared" si="44"/>
        <v>0.58992805755395683</v>
      </c>
      <c r="Y231" s="18">
        <f t="shared" si="45"/>
        <v>0.65217391304347827</v>
      </c>
      <c r="Z231" s="18">
        <f t="shared" si="46"/>
        <v>0.22368421052631579</v>
      </c>
      <c r="AA231" s="10">
        <f t="shared" si="47"/>
        <v>0.67565449799999999</v>
      </c>
      <c r="AB231" t="str">
        <f>IF(AA231&gt;=Como_Avaliar!$B$15,"Alta",IF(AA231&gt;=Como_Avaliar!$B$16,"Média","Baixa"))</f>
        <v>Alta</v>
      </c>
    </row>
    <row r="232" spans="1:28" x14ac:dyDescent="0.25">
      <c r="A232" t="s">
        <v>536</v>
      </c>
      <c r="B232" t="s">
        <v>286</v>
      </c>
      <c r="C232" t="s">
        <v>88</v>
      </c>
      <c r="D232" t="s">
        <v>59</v>
      </c>
      <c r="E232" t="s">
        <v>90</v>
      </c>
      <c r="F232">
        <v>6</v>
      </c>
      <c r="G232">
        <v>25</v>
      </c>
      <c r="H232">
        <v>4</v>
      </c>
      <c r="I232" t="s">
        <v>62</v>
      </c>
      <c r="J232" t="s">
        <v>98</v>
      </c>
      <c r="K232" t="s">
        <v>97</v>
      </c>
      <c r="L232" t="s">
        <v>284</v>
      </c>
      <c r="M232">
        <v>0</v>
      </c>
      <c r="N232" t="str">
        <f t="shared" si="36"/>
        <v>1. &lt; 8 anos</v>
      </c>
      <c r="O232" t="str">
        <f t="shared" si="37"/>
        <v>2. 20 a 49</v>
      </c>
      <c r="P232" t="str">
        <f t="shared" si="38"/>
        <v>2. 3 a 5</v>
      </c>
      <c r="Q232">
        <f t="shared" si="39"/>
        <v>0</v>
      </c>
      <c r="R232">
        <f t="shared" si="40"/>
        <v>0</v>
      </c>
      <c r="S232">
        <f t="shared" si="41"/>
        <v>1</v>
      </c>
      <c r="T232">
        <v>5</v>
      </c>
      <c r="U232" t="s">
        <v>137</v>
      </c>
      <c r="V232" s="18">
        <f t="shared" si="42"/>
        <v>0.43835616438356162</v>
      </c>
      <c r="W232" s="18">
        <f t="shared" si="43"/>
        <v>0.38095238095238093</v>
      </c>
      <c r="X232" s="18">
        <f t="shared" si="44"/>
        <v>0.25294117647058822</v>
      </c>
      <c r="Y232" s="18">
        <f t="shared" si="45"/>
        <v>0.37662337662337664</v>
      </c>
      <c r="Z232" s="18">
        <f t="shared" si="46"/>
        <v>0.22368421052631579</v>
      </c>
      <c r="AA232" s="10">
        <f t="shared" si="47"/>
        <v>0.33451146180000002</v>
      </c>
      <c r="AB232" t="str">
        <f>IF(AA232&gt;=Como_Avaliar!$B$15,"Alta",IF(AA232&gt;=Como_Avaliar!$B$16,"Média","Baixa"))</f>
        <v>Média</v>
      </c>
    </row>
    <row r="233" spans="1:28" x14ac:dyDescent="0.25">
      <c r="A233" t="s">
        <v>537</v>
      </c>
      <c r="B233" t="s">
        <v>286</v>
      </c>
      <c r="C233" t="s">
        <v>88</v>
      </c>
      <c r="D233" t="s">
        <v>56</v>
      </c>
      <c r="E233" t="s">
        <v>95</v>
      </c>
      <c r="F233">
        <v>8</v>
      </c>
      <c r="G233">
        <v>19</v>
      </c>
      <c r="H233">
        <v>2</v>
      </c>
      <c r="I233" t="s">
        <v>62</v>
      </c>
      <c r="J233" t="s">
        <v>97</v>
      </c>
      <c r="K233" t="s">
        <v>97</v>
      </c>
      <c r="L233" t="s">
        <v>298</v>
      </c>
      <c r="M233">
        <v>0</v>
      </c>
      <c r="N233" t="str">
        <f t="shared" si="36"/>
        <v>2. 8 a 15 anos</v>
      </c>
      <c r="O233" t="str">
        <f t="shared" si="37"/>
        <v>1. &lt; 20</v>
      </c>
      <c r="P233" t="str">
        <f t="shared" si="38"/>
        <v>1. 1 a 2</v>
      </c>
      <c r="Q233">
        <f t="shared" si="39"/>
        <v>0</v>
      </c>
      <c r="R233">
        <f t="shared" si="40"/>
        <v>0</v>
      </c>
      <c r="S233">
        <f t="shared" si="41"/>
        <v>1</v>
      </c>
      <c r="T233">
        <v>2</v>
      </c>
      <c r="U233" t="s">
        <v>139</v>
      </c>
      <c r="V233" s="18">
        <f t="shared" si="42"/>
        <v>6.8273092369477914E-2</v>
      </c>
      <c r="W233" s="18">
        <f t="shared" si="43"/>
        <v>8.6792452830188674E-2</v>
      </c>
      <c r="X233" s="18">
        <f t="shared" si="44"/>
        <v>0.10309278350515463</v>
      </c>
      <c r="Y233" s="18">
        <f t="shared" si="45"/>
        <v>0.37662337662337664</v>
      </c>
      <c r="Z233" s="18">
        <f t="shared" si="46"/>
        <v>0.22302158273381295</v>
      </c>
      <c r="AA233" s="10">
        <f t="shared" si="47"/>
        <v>0.1715606576</v>
      </c>
      <c r="AB233" t="str">
        <f>IF(AA233&gt;=Como_Avaliar!$B$15,"Alta",IF(AA233&gt;=Como_Avaliar!$B$16,"Média","Baixa"))</f>
        <v>Baixa</v>
      </c>
    </row>
    <row r="234" spans="1:28" x14ac:dyDescent="0.25">
      <c r="A234" t="s">
        <v>538</v>
      </c>
      <c r="B234" t="s">
        <v>312</v>
      </c>
      <c r="C234" t="s">
        <v>89</v>
      </c>
      <c r="D234" t="s">
        <v>56</v>
      </c>
      <c r="E234" t="s">
        <v>95</v>
      </c>
      <c r="F234">
        <v>27</v>
      </c>
      <c r="G234">
        <v>17</v>
      </c>
      <c r="H234">
        <v>1</v>
      </c>
      <c r="I234" t="s">
        <v>62</v>
      </c>
      <c r="J234" t="s">
        <v>98</v>
      </c>
      <c r="K234" t="s">
        <v>97</v>
      </c>
      <c r="L234" t="s">
        <v>284</v>
      </c>
      <c r="M234">
        <v>0</v>
      </c>
      <c r="N234" t="str">
        <f t="shared" si="36"/>
        <v>3. 16+ anos</v>
      </c>
      <c r="O234" t="str">
        <f t="shared" si="37"/>
        <v>1. &lt; 20</v>
      </c>
      <c r="P234" t="str">
        <f t="shared" si="38"/>
        <v>1. 1 a 2</v>
      </c>
      <c r="Q234">
        <f t="shared" si="39"/>
        <v>0</v>
      </c>
      <c r="R234">
        <f t="shared" si="40"/>
        <v>0</v>
      </c>
      <c r="S234">
        <f t="shared" si="41"/>
        <v>1</v>
      </c>
      <c r="T234">
        <v>2</v>
      </c>
      <c r="U234" t="s">
        <v>139</v>
      </c>
      <c r="V234" s="18">
        <f t="shared" si="42"/>
        <v>6.8273092369477914E-2</v>
      </c>
      <c r="W234" s="18">
        <f t="shared" si="43"/>
        <v>8.6792452830188674E-2</v>
      </c>
      <c r="X234" s="18">
        <f t="shared" si="44"/>
        <v>0.10309278350515463</v>
      </c>
      <c r="Y234" s="18">
        <f t="shared" si="45"/>
        <v>0.37662337662337664</v>
      </c>
      <c r="Z234" s="18">
        <f t="shared" si="46"/>
        <v>0.56634304207119746</v>
      </c>
      <c r="AA234" s="10">
        <f t="shared" si="47"/>
        <v>0.24022494950000001</v>
      </c>
      <c r="AB234" t="str">
        <f>IF(AA234&gt;=Como_Avaliar!$B$15,"Alta",IF(AA234&gt;=Como_Avaliar!$B$16,"Média","Baixa"))</f>
        <v>Média</v>
      </c>
    </row>
    <row r="235" spans="1:28" x14ac:dyDescent="0.25">
      <c r="A235" t="s">
        <v>539</v>
      </c>
      <c r="B235" t="s">
        <v>295</v>
      </c>
      <c r="C235" t="s">
        <v>84</v>
      </c>
      <c r="D235" t="s">
        <v>59</v>
      </c>
      <c r="E235" t="s">
        <v>95</v>
      </c>
      <c r="F235">
        <v>9</v>
      </c>
      <c r="G235">
        <v>61</v>
      </c>
      <c r="H235">
        <v>4</v>
      </c>
      <c r="I235" t="s">
        <v>62</v>
      </c>
      <c r="J235" t="s">
        <v>97</v>
      </c>
      <c r="K235" t="s">
        <v>98</v>
      </c>
      <c r="L235" t="s">
        <v>284</v>
      </c>
      <c r="M235">
        <v>0</v>
      </c>
      <c r="N235" t="str">
        <f t="shared" si="36"/>
        <v>2. 8 a 15 anos</v>
      </c>
      <c r="O235" t="str">
        <f t="shared" si="37"/>
        <v>3. 50 a 149</v>
      </c>
      <c r="P235" t="str">
        <f t="shared" si="38"/>
        <v>2. 3 a 5</v>
      </c>
      <c r="Q235">
        <f t="shared" si="39"/>
        <v>0</v>
      </c>
      <c r="R235">
        <f t="shared" si="40"/>
        <v>0</v>
      </c>
      <c r="S235">
        <f t="shared" si="41"/>
        <v>1</v>
      </c>
      <c r="T235">
        <v>3</v>
      </c>
      <c r="U235" t="s">
        <v>138</v>
      </c>
      <c r="V235" s="18">
        <f t="shared" si="42"/>
        <v>0.43835616438356162</v>
      </c>
      <c r="W235" s="18">
        <f t="shared" si="43"/>
        <v>0.38095238095238093</v>
      </c>
      <c r="X235" s="18">
        <f t="shared" si="44"/>
        <v>0.58992805755395683</v>
      </c>
      <c r="Y235" s="18">
        <f t="shared" si="45"/>
        <v>0.37662337662337664</v>
      </c>
      <c r="Z235" s="18">
        <f t="shared" si="46"/>
        <v>0.22302158273381295</v>
      </c>
      <c r="AA235" s="10">
        <f t="shared" si="47"/>
        <v>0.4017763124</v>
      </c>
      <c r="AB235" t="str">
        <f>IF(AA235&gt;=Como_Avaliar!$B$15,"Alta",IF(AA235&gt;=Como_Avaliar!$B$16,"Média","Baixa"))</f>
        <v>Média</v>
      </c>
    </row>
    <row r="236" spans="1:28" x14ac:dyDescent="0.25">
      <c r="A236" t="s">
        <v>540</v>
      </c>
      <c r="B236" t="s">
        <v>288</v>
      </c>
      <c r="C236" t="s">
        <v>88</v>
      </c>
      <c r="D236" t="s">
        <v>57</v>
      </c>
      <c r="E236" t="s">
        <v>92</v>
      </c>
      <c r="F236">
        <v>5</v>
      </c>
      <c r="G236">
        <v>279</v>
      </c>
      <c r="H236">
        <v>65</v>
      </c>
      <c r="I236" t="s">
        <v>66</v>
      </c>
      <c r="J236" t="s">
        <v>98</v>
      </c>
      <c r="K236" t="s">
        <v>97</v>
      </c>
      <c r="L236" t="s">
        <v>298</v>
      </c>
      <c r="M236">
        <v>1</v>
      </c>
      <c r="N236" t="str">
        <f t="shared" si="36"/>
        <v>1. &lt; 8 anos</v>
      </c>
      <c r="O236" t="str">
        <f t="shared" si="37"/>
        <v>4. 150+</v>
      </c>
      <c r="P236" t="str">
        <f t="shared" si="38"/>
        <v>4. 16+</v>
      </c>
      <c r="Q236">
        <f t="shared" si="39"/>
        <v>0</v>
      </c>
      <c r="R236">
        <f t="shared" si="40"/>
        <v>1</v>
      </c>
      <c r="S236">
        <f t="shared" si="41"/>
        <v>0</v>
      </c>
      <c r="V236" s="18">
        <f t="shared" si="42"/>
        <v>1</v>
      </c>
      <c r="W236" s="18">
        <f t="shared" si="43"/>
        <v>0.97272727272727277</v>
      </c>
      <c r="X236" s="18">
        <f t="shared" si="44"/>
        <v>0.97938144329896903</v>
      </c>
      <c r="Y236" s="18">
        <f t="shared" si="45"/>
        <v>1</v>
      </c>
      <c r="Z236" s="18">
        <f t="shared" si="46"/>
        <v>0.22368421052631579</v>
      </c>
      <c r="AA236" s="10">
        <f t="shared" si="47"/>
        <v>0.83515858529999998</v>
      </c>
      <c r="AB236" t="str">
        <f>IF(AA236&gt;=Como_Avaliar!$B$15,"Alta",IF(AA236&gt;=Como_Avaliar!$B$16,"Média","Baixa"))</f>
        <v>Alta</v>
      </c>
    </row>
    <row r="237" spans="1:28" x14ac:dyDescent="0.25">
      <c r="A237" t="s">
        <v>541</v>
      </c>
      <c r="B237" t="s">
        <v>286</v>
      </c>
      <c r="C237" t="s">
        <v>88</v>
      </c>
      <c r="D237" t="s">
        <v>59</v>
      </c>
      <c r="E237" t="s">
        <v>95</v>
      </c>
      <c r="F237">
        <v>1</v>
      </c>
      <c r="G237">
        <v>29</v>
      </c>
      <c r="H237">
        <v>3</v>
      </c>
      <c r="I237" t="s">
        <v>65</v>
      </c>
      <c r="J237" t="s">
        <v>97</v>
      </c>
      <c r="K237" t="s">
        <v>97</v>
      </c>
      <c r="L237" t="s">
        <v>284</v>
      </c>
      <c r="M237">
        <v>0</v>
      </c>
      <c r="N237" t="str">
        <f t="shared" si="36"/>
        <v>1. &lt; 8 anos</v>
      </c>
      <c r="O237" t="str">
        <f t="shared" si="37"/>
        <v>2. 20 a 49</v>
      </c>
      <c r="P237" t="str">
        <f t="shared" si="38"/>
        <v>2. 3 a 5</v>
      </c>
      <c r="Q237">
        <f t="shared" si="39"/>
        <v>0</v>
      </c>
      <c r="R237">
        <f t="shared" si="40"/>
        <v>0</v>
      </c>
      <c r="S237">
        <f t="shared" si="41"/>
        <v>1</v>
      </c>
      <c r="T237">
        <v>3</v>
      </c>
      <c r="U237" t="s">
        <v>138</v>
      </c>
      <c r="V237" s="18">
        <f t="shared" si="42"/>
        <v>0.43835616438356162</v>
      </c>
      <c r="W237" s="18">
        <f t="shared" si="43"/>
        <v>0.38095238095238093</v>
      </c>
      <c r="X237" s="18">
        <f t="shared" si="44"/>
        <v>0.25294117647058822</v>
      </c>
      <c r="Y237" s="18">
        <f t="shared" si="45"/>
        <v>0.39751552795031053</v>
      </c>
      <c r="Z237" s="18">
        <f t="shared" si="46"/>
        <v>0.22368421052631579</v>
      </c>
      <c r="AA237" s="10">
        <f t="shared" si="47"/>
        <v>0.3386898921</v>
      </c>
      <c r="AB237" t="str">
        <f>IF(AA237&gt;=Como_Avaliar!$B$15,"Alta",IF(AA237&gt;=Como_Avaliar!$B$16,"Média","Baixa"))</f>
        <v>Média</v>
      </c>
    </row>
    <row r="238" spans="1:28" x14ac:dyDescent="0.25">
      <c r="A238" t="s">
        <v>542</v>
      </c>
      <c r="B238" t="s">
        <v>297</v>
      </c>
      <c r="C238" t="s">
        <v>86</v>
      </c>
      <c r="D238" t="s">
        <v>58</v>
      </c>
      <c r="E238" t="s">
        <v>93</v>
      </c>
      <c r="F238">
        <v>19</v>
      </c>
      <c r="G238">
        <v>75</v>
      </c>
      <c r="H238">
        <v>15</v>
      </c>
      <c r="I238" t="s">
        <v>68</v>
      </c>
      <c r="J238" t="s">
        <v>98</v>
      </c>
      <c r="K238" t="s">
        <v>98</v>
      </c>
      <c r="L238" t="s">
        <v>289</v>
      </c>
      <c r="M238">
        <v>1</v>
      </c>
      <c r="N238" t="str">
        <f t="shared" si="36"/>
        <v>3. 16+ anos</v>
      </c>
      <c r="O238" t="str">
        <f t="shared" si="37"/>
        <v>3. 50 a 149</v>
      </c>
      <c r="P238" t="str">
        <f t="shared" si="38"/>
        <v>3. 6 a 15</v>
      </c>
      <c r="Q238">
        <f t="shared" si="39"/>
        <v>0</v>
      </c>
      <c r="R238">
        <f t="shared" si="40"/>
        <v>1</v>
      </c>
      <c r="S238">
        <f t="shared" si="41"/>
        <v>0</v>
      </c>
      <c r="V238" s="18">
        <f t="shared" si="42"/>
        <v>0.93975903614457834</v>
      </c>
      <c r="W238" s="18">
        <f t="shared" si="43"/>
        <v>0.55319148936170215</v>
      </c>
      <c r="X238" s="18">
        <f t="shared" si="44"/>
        <v>0.58992805755395683</v>
      </c>
      <c r="Y238" s="18">
        <f t="shared" si="45"/>
        <v>0.58333333333333337</v>
      </c>
      <c r="Z238" s="18">
        <f t="shared" si="46"/>
        <v>0.56634304207119746</v>
      </c>
      <c r="AA238" s="10">
        <f t="shared" si="47"/>
        <v>0.64651099170000004</v>
      </c>
      <c r="AB238" t="str">
        <f>IF(AA238&gt;=Como_Avaliar!$B$15,"Alta",IF(AA238&gt;=Como_Avaliar!$B$16,"Média","Baixa"))</f>
        <v>Alta</v>
      </c>
    </row>
    <row r="239" spans="1:28" x14ac:dyDescent="0.25">
      <c r="A239" t="s">
        <v>543</v>
      </c>
      <c r="B239" t="s">
        <v>288</v>
      </c>
      <c r="C239" t="s">
        <v>88</v>
      </c>
      <c r="D239" t="s">
        <v>58</v>
      </c>
      <c r="E239" t="s">
        <v>96</v>
      </c>
      <c r="F239">
        <v>10</v>
      </c>
      <c r="G239">
        <v>200</v>
      </c>
      <c r="H239">
        <v>17</v>
      </c>
      <c r="I239" t="s">
        <v>66</v>
      </c>
      <c r="J239" t="s">
        <v>97</v>
      </c>
      <c r="K239" t="s">
        <v>98</v>
      </c>
      <c r="L239" t="s">
        <v>284</v>
      </c>
      <c r="M239">
        <v>1</v>
      </c>
      <c r="N239" t="str">
        <f t="shared" si="36"/>
        <v>2. 8 a 15 anos</v>
      </c>
      <c r="O239" t="str">
        <f t="shared" si="37"/>
        <v>4. 150+</v>
      </c>
      <c r="P239" t="str">
        <f t="shared" si="38"/>
        <v>4. 16+</v>
      </c>
      <c r="Q239">
        <f t="shared" si="39"/>
        <v>0</v>
      </c>
      <c r="R239">
        <f t="shared" si="40"/>
        <v>1</v>
      </c>
      <c r="S239">
        <f t="shared" si="41"/>
        <v>0</v>
      </c>
      <c r="V239" s="18">
        <f t="shared" si="42"/>
        <v>0.93975903614457834</v>
      </c>
      <c r="W239" s="18">
        <f t="shared" si="43"/>
        <v>0.97272727272727277</v>
      </c>
      <c r="X239" s="18">
        <f t="shared" si="44"/>
        <v>0.97938144329896903</v>
      </c>
      <c r="Y239" s="18">
        <f t="shared" si="45"/>
        <v>1</v>
      </c>
      <c r="Z239" s="18">
        <f t="shared" si="46"/>
        <v>0.22302158273381295</v>
      </c>
      <c r="AA239" s="10">
        <f t="shared" si="47"/>
        <v>0.82297786699999997</v>
      </c>
      <c r="AB239" t="str">
        <f>IF(AA239&gt;=Como_Avaliar!$B$15,"Alta",IF(AA239&gt;=Como_Avaliar!$B$16,"Média","Baixa"))</f>
        <v>Alta</v>
      </c>
    </row>
    <row r="240" spans="1:28" x14ac:dyDescent="0.25">
      <c r="A240" t="s">
        <v>544</v>
      </c>
      <c r="B240" t="s">
        <v>312</v>
      </c>
      <c r="C240" t="s">
        <v>89</v>
      </c>
      <c r="D240" t="s">
        <v>56</v>
      </c>
      <c r="E240" t="s">
        <v>94</v>
      </c>
      <c r="F240">
        <v>12</v>
      </c>
      <c r="G240">
        <v>19</v>
      </c>
      <c r="H240">
        <v>1</v>
      </c>
      <c r="I240" t="s">
        <v>63</v>
      </c>
      <c r="J240" t="s">
        <v>98</v>
      </c>
      <c r="K240" t="s">
        <v>97</v>
      </c>
      <c r="L240" t="s">
        <v>298</v>
      </c>
      <c r="M240">
        <v>0</v>
      </c>
      <c r="N240" t="str">
        <f t="shared" si="36"/>
        <v>2. 8 a 15 anos</v>
      </c>
      <c r="O240" t="str">
        <f t="shared" si="37"/>
        <v>1. &lt; 20</v>
      </c>
      <c r="P240" t="str">
        <f t="shared" si="38"/>
        <v>1. 1 a 2</v>
      </c>
      <c r="Q240">
        <f t="shared" si="39"/>
        <v>1</v>
      </c>
      <c r="R240">
        <f t="shared" si="40"/>
        <v>0</v>
      </c>
      <c r="S240">
        <f t="shared" si="41"/>
        <v>1</v>
      </c>
      <c r="T240">
        <v>3</v>
      </c>
      <c r="U240" t="s">
        <v>138</v>
      </c>
      <c r="V240" s="18">
        <f t="shared" si="42"/>
        <v>6.8273092369477914E-2</v>
      </c>
      <c r="W240" s="18">
        <f t="shared" si="43"/>
        <v>8.6792452830188674E-2</v>
      </c>
      <c r="X240" s="18">
        <f t="shared" si="44"/>
        <v>0.10309278350515463</v>
      </c>
      <c r="Y240" s="18">
        <f t="shared" si="45"/>
        <v>6.5217391304347824E-2</v>
      </c>
      <c r="Z240" s="18">
        <f t="shared" si="46"/>
        <v>0.22302158273381295</v>
      </c>
      <c r="AA240" s="10">
        <f t="shared" si="47"/>
        <v>0.10927946049999999</v>
      </c>
      <c r="AB240" t="str">
        <f>IF(AA240&gt;=Como_Avaliar!$B$15,"Alta",IF(AA240&gt;=Como_Avaliar!$B$16,"Média","Baixa"))</f>
        <v>Baixa</v>
      </c>
    </row>
    <row r="241" spans="1:28" x14ac:dyDescent="0.25">
      <c r="A241" t="s">
        <v>545</v>
      </c>
      <c r="B241" t="s">
        <v>283</v>
      </c>
      <c r="C241" t="s">
        <v>89</v>
      </c>
      <c r="D241" t="s">
        <v>56</v>
      </c>
      <c r="E241" t="s">
        <v>92</v>
      </c>
      <c r="F241">
        <v>24</v>
      </c>
      <c r="G241">
        <v>9</v>
      </c>
      <c r="H241">
        <v>1</v>
      </c>
      <c r="I241" t="s">
        <v>65</v>
      </c>
      <c r="J241" t="s">
        <v>97</v>
      </c>
      <c r="K241" t="s">
        <v>97</v>
      </c>
      <c r="L241" t="s">
        <v>284</v>
      </c>
      <c r="M241">
        <v>0</v>
      </c>
      <c r="N241" t="str">
        <f t="shared" si="36"/>
        <v>3. 16+ anos</v>
      </c>
      <c r="O241" t="str">
        <f t="shared" si="37"/>
        <v>1. &lt; 20</v>
      </c>
      <c r="P241" t="str">
        <f t="shared" si="38"/>
        <v>1. 1 a 2</v>
      </c>
      <c r="Q241">
        <f t="shared" si="39"/>
        <v>0</v>
      </c>
      <c r="R241">
        <f t="shared" si="40"/>
        <v>0</v>
      </c>
      <c r="S241">
        <f t="shared" si="41"/>
        <v>1</v>
      </c>
      <c r="T241">
        <v>1</v>
      </c>
      <c r="U241" t="s">
        <v>139</v>
      </c>
      <c r="V241" s="18">
        <f t="shared" si="42"/>
        <v>6.8273092369477914E-2</v>
      </c>
      <c r="W241" s="18">
        <f t="shared" si="43"/>
        <v>8.6792452830188674E-2</v>
      </c>
      <c r="X241" s="18">
        <f t="shared" si="44"/>
        <v>0.10309278350515463</v>
      </c>
      <c r="Y241" s="18">
        <f t="shared" si="45"/>
        <v>0.39751552795031053</v>
      </c>
      <c r="Z241" s="18">
        <f t="shared" si="46"/>
        <v>0.56634304207119746</v>
      </c>
      <c r="AA241" s="10">
        <f t="shared" si="47"/>
        <v>0.24440337970000001</v>
      </c>
      <c r="AB241" t="str">
        <f>IF(AA241&gt;=Como_Avaliar!$B$15,"Alta",IF(AA241&gt;=Como_Avaliar!$B$16,"Média","Baixa"))</f>
        <v>Média</v>
      </c>
    </row>
    <row r="242" spans="1:28" x14ac:dyDescent="0.25">
      <c r="A242" t="s">
        <v>546</v>
      </c>
      <c r="B242" t="s">
        <v>301</v>
      </c>
      <c r="C242" t="s">
        <v>88</v>
      </c>
      <c r="D242" t="s">
        <v>57</v>
      </c>
      <c r="E242" t="s">
        <v>95</v>
      </c>
      <c r="F242">
        <v>15</v>
      </c>
      <c r="G242">
        <v>786</v>
      </c>
      <c r="H242">
        <v>72</v>
      </c>
      <c r="I242" t="s">
        <v>65</v>
      </c>
      <c r="J242" t="s">
        <v>98</v>
      </c>
      <c r="K242" t="s">
        <v>97</v>
      </c>
      <c r="L242" t="s">
        <v>289</v>
      </c>
      <c r="M242">
        <v>1</v>
      </c>
      <c r="N242" t="str">
        <f t="shared" si="36"/>
        <v>2. 8 a 15 anos</v>
      </c>
      <c r="O242" t="str">
        <f t="shared" si="37"/>
        <v>4. 150+</v>
      </c>
      <c r="P242" t="str">
        <f t="shared" si="38"/>
        <v>4. 16+</v>
      </c>
      <c r="Q242">
        <f t="shared" si="39"/>
        <v>0</v>
      </c>
      <c r="R242">
        <f t="shared" si="40"/>
        <v>1</v>
      </c>
      <c r="S242">
        <f t="shared" si="41"/>
        <v>0</v>
      </c>
      <c r="V242" s="18">
        <f t="shared" si="42"/>
        <v>1</v>
      </c>
      <c r="W242" s="18">
        <f t="shared" si="43"/>
        <v>0.97272727272727277</v>
      </c>
      <c r="X242" s="18">
        <f t="shared" si="44"/>
        <v>0.97938144329896903</v>
      </c>
      <c r="Y242" s="18">
        <f t="shared" si="45"/>
        <v>0.39751552795031053</v>
      </c>
      <c r="Z242" s="18">
        <f t="shared" si="46"/>
        <v>0.22302158273381295</v>
      </c>
      <c r="AA242" s="10">
        <f t="shared" si="47"/>
        <v>0.71452916529999999</v>
      </c>
      <c r="AB242" t="str">
        <f>IF(AA242&gt;=Como_Avaliar!$B$15,"Alta",IF(AA242&gt;=Como_Avaliar!$B$16,"Média","Baixa"))</f>
        <v>Alta</v>
      </c>
    </row>
    <row r="243" spans="1:28" x14ac:dyDescent="0.25">
      <c r="A243" t="s">
        <v>547</v>
      </c>
      <c r="B243" t="s">
        <v>312</v>
      </c>
      <c r="C243" t="s">
        <v>89</v>
      </c>
      <c r="D243" t="s">
        <v>58</v>
      </c>
      <c r="E243" t="s">
        <v>92</v>
      </c>
      <c r="F243">
        <v>27</v>
      </c>
      <c r="G243">
        <v>197</v>
      </c>
      <c r="H243">
        <v>30</v>
      </c>
      <c r="I243" t="s">
        <v>65</v>
      </c>
      <c r="J243" t="s">
        <v>98</v>
      </c>
      <c r="K243" t="s">
        <v>97</v>
      </c>
      <c r="L243" t="s">
        <v>322</v>
      </c>
      <c r="M243">
        <v>1</v>
      </c>
      <c r="N243" t="str">
        <f t="shared" si="36"/>
        <v>3. 16+ anos</v>
      </c>
      <c r="O243" t="str">
        <f t="shared" si="37"/>
        <v>4. 150+</v>
      </c>
      <c r="P243" t="str">
        <f t="shared" si="38"/>
        <v>4. 16+</v>
      </c>
      <c r="Q243">
        <f t="shared" si="39"/>
        <v>0</v>
      </c>
      <c r="R243">
        <f t="shared" si="40"/>
        <v>1</v>
      </c>
      <c r="S243">
        <f t="shared" si="41"/>
        <v>0</v>
      </c>
      <c r="V243" s="18">
        <f t="shared" si="42"/>
        <v>0.93975903614457834</v>
      </c>
      <c r="W243" s="18">
        <f t="shared" si="43"/>
        <v>0.97272727272727277</v>
      </c>
      <c r="X243" s="18">
        <f t="shared" si="44"/>
        <v>0.97938144329896903</v>
      </c>
      <c r="Y243" s="18">
        <f t="shared" si="45"/>
        <v>0.39751552795031053</v>
      </c>
      <c r="Z243" s="18">
        <f t="shared" si="46"/>
        <v>0.56634304207119746</v>
      </c>
      <c r="AA243" s="10">
        <f t="shared" si="47"/>
        <v>0.77114526439999997</v>
      </c>
      <c r="AB243" t="str">
        <f>IF(AA243&gt;=Como_Avaliar!$B$15,"Alta",IF(AA243&gt;=Como_Avaliar!$B$16,"Média","Baixa"))</f>
        <v>Alta</v>
      </c>
    </row>
    <row r="244" spans="1:28" x14ac:dyDescent="0.25">
      <c r="A244" t="s">
        <v>548</v>
      </c>
      <c r="B244" t="s">
        <v>305</v>
      </c>
      <c r="C244" t="s">
        <v>89</v>
      </c>
      <c r="D244" t="s">
        <v>58</v>
      </c>
      <c r="E244" t="s">
        <v>94</v>
      </c>
      <c r="F244">
        <v>22</v>
      </c>
      <c r="G244">
        <v>98</v>
      </c>
      <c r="H244">
        <v>12</v>
      </c>
      <c r="I244" t="s">
        <v>68</v>
      </c>
      <c r="J244" t="s">
        <v>97</v>
      </c>
      <c r="K244" t="s">
        <v>98</v>
      </c>
      <c r="L244" t="s">
        <v>322</v>
      </c>
      <c r="M244">
        <v>1</v>
      </c>
      <c r="N244" t="str">
        <f t="shared" si="36"/>
        <v>3. 16+ anos</v>
      </c>
      <c r="O244" t="str">
        <f t="shared" si="37"/>
        <v>3. 50 a 149</v>
      </c>
      <c r="P244" t="str">
        <f t="shared" si="38"/>
        <v>3. 6 a 15</v>
      </c>
      <c r="Q244">
        <f t="shared" si="39"/>
        <v>0</v>
      </c>
      <c r="R244">
        <f t="shared" si="40"/>
        <v>1</v>
      </c>
      <c r="S244">
        <f t="shared" si="41"/>
        <v>0</v>
      </c>
      <c r="V244" s="18">
        <f t="shared" si="42"/>
        <v>0.93975903614457834</v>
      </c>
      <c r="W244" s="18">
        <f t="shared" si="43"/>
        <v>0.55319148936170215</v>
      </c>
      <c r="X244" s="18">
        <f t="shared" si="44"/>
        <v>0.58992805755395683</v>
      </c>
      <c r="Y244" s="18">
        <f t="shared" si="45"/>
        <v>0.58333333333333337</v>
      </c>
      <c r="Z244" s="18">
        <f t="shared" si="46"/>
        <v>0.56634304207119746</v>
      </c>
      <c r="AA244" s="10">
        <f t="shared" si="47"/>
        <v>0.64651099170000004</v>
      </c>
      <c r="AB244" t="str">
        <f>IF(AA244&gt;=Como_Avaliar!$B$15,"Alta",IF(AA244&gt;=Como_Avaliar!$B$16,"Média","Baixa"))</f>
        <v>Alta</v>
      </c>
    </row>
    <row r="245" spans="1:28" x14ac:dyDescent="0.25">
      <c r="A245" t="s">
        <v>549</v>
      </c>
      <c r="B245" t="s">
        <v>355</v>
      </c>
      <c r="C245" t="s">
        <v>86</v>
      </c>
      <c r="D245" t="s">
        <v>56</v>
      </c>
      <c r="E245" t="s">
        <v>96</v>
      </c>
      <c r="F245">
        <v>24</v>
      </c>
      <c r="G245">
        <v>8</v>
      </c>
      <c r="H245">
        <v>2</v>
      </c>
      <c r="I245" t="s">
        <v>65</v>
      </c>
      <c r="J245" t="s">
        <v>98</v>
      </c>
      <c r="K245" t="s">
        <v>97</v>
      </c>
      <c r="L245" t="s">
        <v>284</v>
      </c>
      <c r="M245">
        <v>0</v>
      </c>
      <c r="N245" t="str">
        <f t="shared" si="36"/>
        <v>3. 16+ anos</v>
      </c>
      <c r="O245" t="str">
        <f t="shared" si="37"/>
        <v>1. &lt; 20</v>
      </c>
      <c r="P245" t="str">
        <f t="shared" si="38"/>
        <v>1. 1 a 2</v>
      </c>
      <c r="Q245">
        <f t="shared" si="39"/>
        <v>0</v>
      </c>
      <c r="R245">
        <f t="shared" si="40"/>
        <v>0</v>
      </c>
      <c r="S245">
        <f t="shared" si="41"/>
        <v>1</v>
      </c>
      <c r="T245">
        <v>1</v>
      </c>
      <c r="U245" t="s">
        <v>139</v>
      </c>
      <c r="V245" s="18">
        <f t="shared" si="42"/>
        <v>6.8273092369477914E-2</v>
      </c>
      <c r="W245" s="18">
        <f t="shared" si="43"/>
        <v>8.6792452830188674E-2</v>
      </c>
      <c r="X245" s="18">
        <f t="shared" si="44"/>
        <v>0.10309278350515463</v>
      </c>
      <c r="Y245" s="18">
        <f t="shared" si="45"/>
        <v>0.39751552795031053</v>
      </c>
      <c r="Z245" s="18">
        <f t="shared" si="46"/>
        <v>0.56634304207119746</v>
      </c>
      <c r="AA245" s="10">
        <f t="shared" si="47"/>
        <v>0.24440337970000001</v>
      </c>
      <c r="AB245" t="str">
        <f>IF(AA245&gt;=Como_Avaliar!$B$15,"Alta",IF(AA245&gt;=Como_Avaliar!$B$16,"Média","Baixa"))</f>
        <v>Média</v>
      </c>
    </row>
    <row r="246" spans="1:28" x14ac:dyDescent="0.25">
      <c r="A246" t="s">
        <v>550</v>
      </c>
      <c r="B246" t="s">
        <v>286</v>
      </c>
      <c r="C246" t="s">
        <v>88</v>
      </c>
      <c r="D246" t="s">
        <v>59</v>
      </c>
      <c r="E246" t="s">
        <v>95</v>
      </c>
      <c r="F246">
        <v>9</v>
      </c>
      <c r="G246">
        <v>56</v>
      </c>
      <c r="H246">
        <v>8</v>
      </c>
      <c r="I246" t="s">
        <v>68</v>
      </c>
      <c r="J246" t="s">
        <v>97</v>
      </c>
      <c r="K246" t="s">
        <v>97</v>
      </c>
      <c r="L246" t="s">
        <v>284</v>
      </c>
      <c r="M246">
        <v>1</v>
      </c>
      <c r="N246" t="str">
        <f t="shared" si="36"/>
        <v>2. 8 a 15 anos</v>
      </c>
      <c r="O246" t="str">
        <f t="shared" si="37"/>
        <v>3. 50 a 149</v>
      </c>
      <c r="P246" t="str">
        <f t="shared" si="38"/>
        <v>3. 6 a 15</v>
      </c>
      <c r="Q246">
        <f t="shared" si="39"/>
        <v>0</v>
      </c>
      <c r="R246">
        <f t="shared" si="40"/>
        <v>1</v>
      </c>
      <c r="S246">
        <f t="shared" si="41"/>
        <v>0</v>
      </c>
      <c r="V246" s="18">
        <f t="shared" si="42"/>
        <v>0.43835616438356162</v>
      </c>
      <c r="W246" s="18">
        <f t="shared" si="43"/>
        <v>0.55319148936170215</v>
      </c>
      <c r="X246" s="18">
        <f t="shared" si="44"/>
        <v>0.58992805755395683</v>
      </c>
      <c r="Y246" s="18">
        <f t="shared" si="45"/>
        <v>0.58333333333333337</v>
      </c>
      <c r="Z246" s="18">
        <f t="shared" si="46"/>
        <v>0.22302158273381295</v>
      </c>
      <c r="AA246" s="10">
        <f t="shared" si="47"/>
        <v>0.47756612549999999</v>
      </c>
      <c r="AB246" t="str">
        <f>IF(AA246&gt;=Como_Avaliar!$B$15,"Alta",IF(AA246&gt;=Como_Avaliar!$B$16,"Média","Baixa"))</f>
        <v>Média</v>
      </c>
    </row>
    <row r="247" spans="1:28" x14ac:dyDescent="0.25">
      <c r="A247" t="s">
        <v>551</v>
      </c>
      <c r="B247" t="s">
        <v>292</v>
      </c>
      <c r="C247" t="s">
        <v>84</v>
      </c>
      <c r="D247" t="s">
        <v>59</v>
      </c>
      <c r="E247" t="s">
        <v>93</v>
      </c>
      <c r="F247">
        <v>20</v>
      </c>
      <c r="G247">
        <v>71</v>
      </c>
      <c r="H247">
        <v>4</v>
      </c>
      <c r="I247" t="s">
        <v>65</v>
      </c>
      <c r="J247" t="s">
        <v>98</v>
      </c>
      <c r="K247" t="s">
        <v>97</v>
      </c>
      <c r="L247" t="s">
        <v>322</v>
      </c>
      <c r="M247">
        <v>0</v>
      </c>
      <c r="N247" t="str">
        <f t="shared" si="36"/>
        <v>3. 16+ anos</v>
      </c>
      <c r="O247" t="str">
        <f t="shared" si="37"/>
        <v>3. 50 a 149</v>
      </c>
      <c r="P247" t="str">
        <f t="shared" si="38"/>
        <v>2. 3 a 5</v>
      </c>
      <c r="Q247">
        <f t="shared" si="39"/>
        <v>0</v>
      </c>
      <c r="R247">
        <f t="shared" si="40"/>
        <v>0</v>
      </c>
      <c r="S247">
        <f t="shared" si="41"/>
        <v>0</v>
      </c>
      <c r="V247" s="18">
        <f t="shared" si="42"/>
        <v>0.43835616438356162</v>
      </c>
      <c r="W247" s="18">
        <f t="shared" si="43"/>
        <v>0.38095238095238093</v>
      </c>
      <c r="X247" s="18">
        <f t="shared" si="44"/>
        <v>0.58992805755395683</v>
      </c>
      <c r="Y247" s="18">
        <f t="shared" si="45"/>
        <v>0.39751552795031053</v>
      </c>
      <c r="Z247" s="18">
        <f t="shared" si="46"/>
        <v>0.56634304207119746</v>
      </c>
      <c r="AA247" s="10">
        <f t="shared" si="47"/>
        <v>0.47461903459999999</v>
      </c>
      <c r="AB247" t="str">
        <f>IF(AA247&gt;=Como_Avaliar!$B$15,"Alta",IF(AA247&gt;=Como_Avaliar!$B$16,"Média","Baixa"))</f>
        <v>Média</v>
      </c>
    </row>
    <row r="248" spans="1:28" x14ac:dyDescent="0.25">
      <c r="A248" t="s">
        <v>552</v>
      </c>
      <c r="B248" t="s">
        <v>288</v>
      </c>
      <c r="C248" t="s">
        <v>88</v>
      </c>
      <c r="D248" t="s">
        <v>59</v>
      </c>
      <c r="E248" t="s">
        <v>90</v>
      </c>
      <c r="F248">
        <v>17</v>
      </c>
      <c r="G248">
        <v>29</v>
      </c>
      <c r="H248">
        <v>8</v>
      </c>
      <c r="I248" t="s">
        <v>65</v>
      </c>
      <c r="J248" t="s">
        <v>97</v>
      </c>
      <c r="K248" t="s">
        <v>97</v>
      </c>
      <c r="L248" t="s">
        <v>298</v>
      </c>
      <c r="M248">
        <v>0</v>
      </c>
      <c r="N248" t="str">
        <f t="shared" si="36"/>
        <v>3. 16+ anos</v>
      </c>
      <c r="O248" t="str">
        <f t="shared" si="37"/>
        <v>2. 20 a 49</v>
      </c>
      <c r="P248" t="str">
        <f t="shared" si="38"/>
        <v>3. 6 a 15</v>
      </c>
      <c r="Q248">
        <f t="shared" si="39"/>
        <v>0</v>
      </c>
      <c r="R248">
        <f t="shared" si="40"/>
        <v>0</v>
      </c>
      <c r="S248">
        <f t="shared" si="41"/>
        <v>1</v>
      </c>
      <c r="T248">
        <v>3</v>
      </c>
      <c r="U248" t="s">
        <v>138</v>
      </c>
      <c r="V248" s="18">
        <f t="shared" si="42"/>
        <v>0.43835616438356162</v>
      </c>
      <c r="W248" s="18">
        <f t="shared" si="43"/>
        <v>0.55319148936170215</v>
      </c>
      <c r="X248" s="18">
        <f t="shared" si="44"/>
        <v>0.25294117647058822</v>
      </c>
      <c r="Y248" s="18">
        <f t="shared" si="45"/>
        <v>0.39751552795031053</v>
      </c>
      <c r="Z248" s="18">
        <f t="shared" si="46"/>
        <v>0.56634304207119746</v>
      </c>
      <c r="AA248" s="10">
        <f t="shared" si="47"/>
        <v>0.44166948</v>
      </c>
      <c r="AB248" t="str">
        <f>IF(AA248&gt;=Como_Avaliar!$B$15,"Alta",IF(AA248&gt;=Como_Avaliar!$B$16,"Média","Baixa"))</f>
        <v>Média</v>
      </c>
    </row>
    <row r="249" spans="1:28" x14ac:dyDescent="0.25">
      <c r="A249" t="s">
        <v>553</v>
      </c>
      <c r="B249" t="s">
        <v>301</v>
      </c>
      <c r="C249" t="s">
        <v>88</v>
      </c>
      <c r="D249" t="s">
        <v>58</v>
      </c>
      <c r="E249" t="s">
        <v>91</v>
      </c>
      <c r="F249">
        <v>17</v>
      </c>
      <c r="G249">
        <v>234</v>
      </c>
      <c r="H249">
        <v>21</v>
      </c>
      <c r="I249" t="s">
        <v>65</v>
      </c>
      <c r="J249" t="s">
        <v>98</v>
      </c>
      <c r="K249" t="s">
        <v>98</v>
      </c>
      <c r="L249" t="s">
        <v>329</v>
      </c>
      <c r="M249">
        <v>1</v>
      </c>
      <c r="N249" t="str">
        <f t="shared" si="36"/>
        <v>3. 16+ anos</v>
      </c>
      <c r="O249" t="str">
        <f t="shared" si="37"/>
        <v>4. 150+</v>
      </c>
      <c r="P249" t="str">
        <f t="shared" si="38"/>
        <v>4. 16+</v>
      </c>
      <c r="Q249">
        <f t="shared" si="39"/>
        <v>0</v>
      </c>
      <c r="R249">
        <f t="shared" si="40"/>
        <v>1</v>
      </c>
      <c r="S249">
        <f t="shared" si="41"/>
        <v>0</v>
      </c>
      <c r="V249" s="18">
        <f t="shared" si="42"/>
        <v>0.93975903614457834</v>
      </c>
      <c r="W249" s="18">
        <f t="shared" si="43"/>
        <v>0.97272727272727277</v>
      </c>
      <c r="X249" s="18">
        <f t="shared" si="44"/>
        <v>0.97938144329896903</v>
      </c>
      <c r="Y249" s="18">
        <f t="shared" si="45"/>
        <v>0.39751552795031053</v>
      </c>
      <c r="Z249" s="18">
        <f t="shared" si="46"/>
        <v>0.56634304207119746</v>
      </c>
      <c r="AA249" s="10">
        <f t="shared" si="47"/>
        <v>0.77114526439999997</v>
      </c>
      <c r="AB249" t="str">
        <f>IF(AA249&gt;=Como_Avaliar!$B$15,"Alta",IF(AA249&gt;=Como_Avaliar!$B$16,"Média","Baixa"))</f>
        <v>Alta</v>
      </c>
    </row>
    <row r="250" spans="1:28" x14ac:dyDescent="0.25">
      <c r="A250" t="s">
        <v>554</v>
      </c>
      <c r="B250" t="s">
        <v>295</v>
      </c>
      <c r="C250" t="s">
        <v>84</v>
      </c>
      <c r="D250" t="s">
        <v>58</v>
      </c>
      <c r="E250" t="s">
        <v>90</v>
      </c>
      <c r="F250">
        <v>26</v>
      </c>
      <c r="G250">
        <v>112</v>
      </c>
      <c r="H250">
        <v>13</v>
      </c>
      <c r="I250" t="s">
        <v>60</v>
      </c>
      <c r="J250" t="s">
        <v>97</v>
      </c>
      <c r="K250" t="s">
        <v>97</v>
      </c>
      <c r="L250" t="s">
        <v>329</v>
      </c>
      <c r="M250">
        <v>1</v>
      </c>
      <c r="N250" t="str">
        <f t="shared" si="36"/>
        <v>3. 16+ anos</v>
      </c>
      <c r="O250" t="str">
        <f t="shared" si="37"/>
        <v>3. 50 a 149</v>
      </c>
      <c r="P250" t="str">
        <f t="shared" si="38"/>
        <v>3. 6 a 15</v>
      </c>
      <c r="Q250">
        <f t="shared" si="39"/>
        <v>0</v>
      </c>
      <c r="R250">
        <f t="shared" si="40"/>
        <v>1</v>
      </c>
      <c r="S250">
        <f t="shared" si="41"/>
        <v>0</v>
      </c>
      <c r="V250" s="18">
        <f t="shared" si="42"/>
        <v>0.93975903614457834</v>
      </c>
      <c r="W250" s="18">
        <f t="shared" si="43"/>
        <v>0.55319148936170215</v>
      </c>
      <c r="X250" s="18">
        <f t="shared" si="44"/>
        <v>0.58992805755395683</v>
      </c>
      <c r="Y250" s="18">
        <f t="shared" si="45"/>
        <v>0.65217391304347827</v>
      </c>
      <c r="Z250" s="18">
        <f t="shared" si="46"/>
        <v>0.56634304207119746</v>
      </c>
      <c r="AA250" s="10">
        <f t="shared" si="47"/>
        <v>0.66027910759999997</v>
      </c>
      <c r="AB250" t="str">
        <f>IF(AA250&gt;=Como_Avaliar!$B$15,"Alta",IF(AA250&gt;=Como_Avaliar!$B$16,"Média","Baixa"))</f>
        <v>Alta</v>
      </c>
    </row>
    <row r="251" spans="1:28" x14ac:dyDescent="0.25">
      <c r="A251" t="s">
        <v>555</v>
      </c>
      <c r="B251" t="s">
        <v>288</v>
      </c>
      <c r="C251" t="s">
        <v>88</v>
      </c>
      <c r="D251" t="s">
        <v>59</v>
      </c>
      <c r="E251" t="s">
        <v>95</v>
      </c>
      <c r="F251">
        <v>20</v>
      </c>
      <c r="G251">
        <v>77</v>
      </c>
      <c r="H251">
        <v>9</v>
      </c>
      <c r="I251" t="s">
        <v>68</v>
      </c>
      <c r="J251" t="s">
        <v>97</v>
      </c>
      <c r="K251" t="s">
        <v>97</v>
      </c>
      <c r="L251" t="s">
        <v>289</v>
      </c>
      <c r="M251">
        <v>0</v>
      </c>
      <c r="N251" t="str">
        <f t="shared" si="36"/>
        <v>3. 16+ anos</v>
      </c>
      <c r="O251" t="str">
        <f t="shared" si="37"/>
        <v>3. 50 a 149</v>
      </c>
      <c r="P251" t="str">
        <f t="shared" si="38"/>
        <v>3. 6 a 15</v>
      </c>
      <c r="Q251">
        <f t="shared" si="39"/>
        <v>0</v>
      </c>
      <c r="R251">
        <f t="shared" si="40"/>
        <v>1</v>
      </c>
      <c r="S251">
        <f t="shared" si="41"/>
        <v>1</v>
      </c>
      <c r="T251">
        <v>3</v>
      </c>
      <c r="U251" t="s">
        <v>138</v>
      </c>
      <c r="V251" s="18">
        <f t="shared" si="42"/>
        <v>0.43835616438356162</v>
      </c>
      <c r="W251" s="18">
        <f t="shared" si="43"/>
        <v>0.55319148936170215</v>
      </c>
      <c r="X251" s="18">
        <f t="shared" si="44"/>
        <v>0.58992805755395683</v>
      </c>
      <c r="Y251" s="18">
        <f t="shared" si="45"/>
        <v>0.58333333333333337</v>
      </c>
      <c r="Z251" s="18">
        <f t="shared" si="46"/>
        <v>0.56634304207119746</v>
      </c>
      <c r="AA251" s="10">
        <f t="shared" si="47"/>
        <v>0.54623041729999999</v>
      </c>
      <c r="AB251" t="str">
        <f>IF(AA251&gt;=Como_Avaliar!$B$15,"Alta",IF(AA251&gt;=Como_Avaliar!$B$16,"Média","Baixa"))</f>
        <v>Alta</v>
      </c>
    </row>
    <row r="252" spans="1:28" x14ac:dyDescent="0.25">
      <c r="A252" t="s">
        <v>556</v>
      </c>
      <c r="B252" t="s">
        <v>288</v>
      </c>
      <c r="C252" t="s">
        <v>88</v>
      </c>
      <c r="D252" t="s">
        <v>59</v>
      </c>
      <c r="E252" t="s">
        <v>92</v>
      </c>
      <c r="F252">
        <v>12</v>
      </c>
      <c r="G252">
        <v>26</v>
      </c>
      <c r="H252">
        <v>10</v>
      </c>
      <c r="I252" t="s">
        <v>62</v>
      </c>
      <c r="J252" t="s">
        <v>97</v>
      </c>
      <c r="K252" t="s">
        <v>97</v>
      </c>
      <c r="L252" t="s">
        <v>289</v>
      </c>
      <c r="M252">
        <v>0</v>
      </c>
      <c r="N252" t="str">
        <f t="shared" si="36"/>
        <v>2. 8 a 15 anos</v>
      </c>
      <c r="O252" t="str">
        <f t="shared" si="37"/>
        <v>2. 20 a 49</v>
      </c>
      <c r="P252" t="str">
        <f t="shared" si="38"/>
        <v>3. 6 a 15</v>
      </c>
      <c r="Q252">
        <f t="shared" si="39"/>
        <v>0</v>
      </c>
      <c r="R252">
        <f t="shared" si="40"/>
        <v>0</v>
      </c>
      <c r="S252">
        <f t="shared" si="41"/>
        <v>1</v>
      </c>
      <c r="T252">
        <v>3</v>
      </c>
      <c r="U252" t="s">
        <v>138</v>
      </c>
      <c r="V252" s="18">
        <f t="shared" si="42"/>
        <v>0.43835616438356162</v>
      </c>
      <c r="W252" s="18">
        <f t="shared" si="43"/>
        <v>0.55319148936170215</v>
      </c>
      <c r="X252" s="18">
        <f t="shared" si="44"/>
        <v>0.25294117647058822</v>
      </c>
      <c r="Y252" s="18">
        <f t="shared" si="45"/>
        <v>0.37662337662337664</v>
      </c>
      <c r="Z252" s="18">
        <f t="shared" si="46"/>
        <v>0.22302158273381295</v>
      </c>
      <c r="AA252" s="10">
        <f t="shared" si="47"/>
        <v>0.36882675790000002</v>
      </c>
      <c r="AB252" t="str">
        <f>IF(AA252&gt;=Como_Avaliar!$B$15,"Alta",IF(AA252&gt;=Como_Avaliar!$B$16,"Média","Baixa"))</f>
        <v>Média</v>
      </c>
    </row>
    <row r="253" spans="1:28" x14ac:dyDescent="0.25">
      <c r="A253" t="s">
        <v>557</v>
      </c>
      <c r="B253" t="s">
        <v>426</v>
      </c>
      <c r="C253" t="s">
        <v>84</v>
      </c>
      <c r="D253" t="s">
        <v>56</v>
      </c>
      <c r="E253" t="s">
        <v>91</v>
      </c>
      <c r="F253">
        <v>7</v>
      </c>
      <c r="G253">
        <v>19</v>
      </c>
      <c r="H253">
        <v>1</v>
      </c>
      <c r="I253" t="s">
        <v>64</v>
      </c>
      <c r="J253" t="s">
        <v>97</v>
      </c>
      <c r="K253" t="s">
        <v>98</v>
      </c>
      <c r="L253" t="s">
        <v>298</v>
      </c>
      <c r="M253">
        <v>0</v>
      </c>
      <c r="N253" t="str">
        <f t="shared" si="36"/>
        <v>1. &lt; 8 anos</v>
      </c>
      <c r="O253" t="str">
        <f t="shared" si="37"/>
        <v>1. &lt; 20</v>
      </c>
      <c r="P253" t="str">
        <f t="shared" si="38"/>
        <v>1. 1 a 2</v>
      </c>
      <c r="Q253">
        <f t="shared" si="39"/>
        <v>1</v>
      </c>
      <c r="R253">
        <f t="shared" si="40"/>
        <v>0</v>
      </c>
      <c r="S253">
        <f t="shared" si="41"/>
        <v>1</v>
      </c>
      <c r="T253">
        <v>2</v>
      </c>
      <c r="U253" t="s">
        <v>139</v>
      </c>
      <c r="V253" s="18">
        <f t="shared" si="42"/>
        <v>6.8273092369477914E-2</v>
      </c>
      <c r="W253" s="18">
        <f t="shared" si="43"/>
        <v>8.6792452830188674E-2</v>
      </c>
      <c r="X253" s="18">
        <f t="shared" si="44"/>
        <v>0.10309278350515463</v>
      </c>
      <c r="Y253" s="18">
        <f t="shared" si="45"/>
        <v>0.15625</v>
      </c>
      <c r="Z253" s="18">
        <f t="shared" si="46"/>
        <v>0.22368421052631579</v>
      </c>
      <c r="AA253" s="10">
        <f t="shared" si="47"/>
        <v>0.1276185078</v>
      </c>
      <c r="AB253" t="str">
        <f>IF(AA253&gt;=Como_Avaliar!$B$15,"Alta",IF(AA253&gt;=Como_Avaliar!$B$16,"Média","Baixa"))</f>
        <v>Baixa</v>
      </c>
    </row>
    <row r="254" spans="1:28" x14ac:dyDescent="0.25">
      <c r="A254" t="s">
        <v>558</v>
      </c>
      <c r="B254" t="s">
        <v>286</v>
      </c>
      <c r="C254" t="s">
        <v>88</v>
      </c>
      <c r="D254" t="s">
        <v>56</v>
      </c>
      <c r="E254" t="s">
        <v>94</v>
      </c>
      <c r="F254">
        <v>2</v>
      </c>
      <c r="G254">
        <v>17</v>
      </c>
      <c r="H254">
        <v>1</v>
      </c>
      <c r="I254" t="s">
        <v>61</v>
      </c>
      <c r="J254" t="s">
        <v>97</v>
      </c>
      <c r="K254" t="s">
        <v>97</v>
      </c>
      <c r="L254" t="s">
        <v>289</v>
      </c>
      <c r="M254">
        <v>0</v>
      </c>
      <c r="N254" t="str">
        <f t="shared" si="36"/>
        <v>1. &lt; 8 anos</v>
      </c>
      <c r="O254" t="str">
        <f t="shared" si="37"/>
        <v>1. &lt; 20</v>
      </c>
      <c r="P254" t="str">
        <f t="shared" si="38"/>
        <v>1. 1 a 2</v>
      </c>
      <c r="Q254">
        <f t="shared" si="39"/>
        <v>1</v>
      </c>
      <c r="R254">
        <f t="shared" si="40"/>
        <v>0</v>
      </c>
      <c r="S254">
        <f t="shared" si="41"/>
        <v>1</v>
      </c>
      <c r="T254">
        <v>2</v>
      </c>
      <c r="U254" t="s">
        <v>139</v>
      </c>
      <c r="V254" s="18">
        <f t="shared" si="42"/>
        <v>6.8273092369477914E-2</v>
      </c>
      <c r="W254" s="18">
        <f t="shared" si="43"/>
        <v>8.6792452830188674E-2</v>
      </c>
      <c r="X254" s="18">
        <f t="shared" si="44"/>
        <v>0.10309278350515463</v>
      </c>
      <c r="Y254" s="18">
        <f t="shared" si="45"/>
        <v>0</v>
      </c>
      <c r="Z254" s="18">
        <f t="shared" si="46"/>
        <v>0.22368421052631579</v>
      </c>
      <c r="AA254" s="10">
        <f t="shared" si="47"/>
        <v>9.6368507800000003E-2</v>
      </c>
      <c r="AB254" t="str">
        <f>IF(AA254&gt;=Como_Avaliar!$B$15,"Alta",IF(AA254&gt;=Como_Avaliar!$B$16,"Média","Baixa"))</f>
        <v>Baixa</v>
      </c>
    </row>
    <row r="255" spans="1:28" x14ac:dyDescent="0.25">
      <c r="A255" t="s">
        <v>559</v>
      </c>
      <c r="B255" t="s">
        <v>381</v>
      </c>
      <c r="C255" t="s">
        <v>88</v>
      </c>
      <c r="D255" t="s">
        <v>59</v>
      </c>
      <c r="E255" t="s">
        <v>93</v>
      </c>
      <c r="F255">
        <v>3</v>
      </c>
      <c r="G255">
        <v>22</v>
      </c>
      <c r="H255">
        <v>9</v>
      </c>
      <c r="I255" t="s">
        <v>60</v>
      </c>
      <c r="J255" t="s">
        <v>97</v>
      </c>
      <c r="K255" t="s">
        <v>97</v>
      </c>
      <c r="L255" t="s">
        <v>284</v>
      </c>
      <c r="M255">
        <v>0</v>
      </c>
      <c r="N255" t="str">
        <f t="shared" si="36"/>
        <v>1. &lt; 8 anos</v>
      </c>
      <c r="O255" t="str">
        <f t="shared" si="37"/>
        <v>2. 20 a 49</v>
      </c>
      <c r="P255" t="str">
        <f t="shared" si="38"/>
        <v>3. 6 a 15</v>
      </c>
      <c r="Q255">
        <f t="shared" si="39"/>
        <v>0</v>
      </c>
      <c r="R255">
        <f t="shared" si="40"/>
        <v>0</v>
      </c>
      <c r="S255">
        <f t="shared" si="41"/>
        <v>1</v>
      </c>
      <c r="T255">
        <v>2</v>
      </c>
      <c r="U255" t="s">
        <v>139</v>
      </c>
      <c r="V255" s="18">
        <f t="shared" si="42"/>
        <v>0.43835616438356162</v>
      </c>
      <c r="W255" s="18">
        <f t="shared" si="43"/>
        <v>0.55319148936170215</v>
      </c>
      <c r="X255" s="18">
        <f t="shared" si="44"/>
        <v>0.25294117647058822</v>
      </c>
      <c r="Y255" s="18">
        <f t="shared" si="45"/>
        <v>0.65217391304347827</v>
      </c>
      <c r="Z255" s="18">
        <f t="shared" si="46"/>
        <v>0.22368421052631579</v>
      </c>
      <c r="AA255" s="10">
        <f t="shared" si="47"/>
        <v>0.4240693908</v>
      </c>
      <c r="AB255" t="str">
        <f>IF(AA255&gt;=Como_Avaliar!$B$15,"Alta",IF(AA255&gt;=Como_Avaliar!$B$16,"Média","Baixa"))</f>
        <v>Média</v>
      </c>
    </row>
    <row r="256" spans="1:28" x14ac:dyDescent="0.25">
      <c r="A256" t="s">
        <v>560</v>
      </c>
      <c r="B256" t="s">
        <v>391</v>
      </c>
      <c r="C256" t="s">
        <v>87</v>
      </c>
      <c r="D256" t="s">
        <v>58</v>
      </c>
      <c r="E256" t="s">
        <v>90</v>
      </c>
      <c r="F256">
        <v>17</v>
      </c>
      <c r="G256">
        <v>176</v>
      </c>
      <c r="H256">
        <v>17</v>
      </c>
      <c r="I256" t="s">
        <v>65</v>
      </c>
      <c r="J256" t="s">
        <v>97</v>
      </c>
      <c r="K256" t="s">
        <v>97</v>
      </c>
      <c r="L256" t="s">
        <v>298</v>
      </c>
      <c r="M256">
        <v>1</v>
      </c>
      <c r="N256" t="str">
        <f t="shared" si="36"/>
        <v>3. 16+ anos</v>
      </c>
      <c r="O256" t="str">
        <f t="shared" si="37"/>
        <v>4. 150+</v>
      </c>
      <c r="P256" t="str">
        <f t="shared" si="38"/>
        <v>4. 16+</v>
      </c>
      <c r="Q256">
        <f t="shared" si="39"/>
        <v>0</v>
      </c>
      <c r="R256">
        <f t="shared" si="40"/>
        <v>1</v>
      </c>
      <c r="S256">
        <f t="shared" si="41"/>
        <v>0</v>
      </c>
      <c r="V256" s="18">
        <f t="shared" si="42"/>
        <v>0.93975903614457834</v>
      </c>
      <c r="W256" s="18">
        <f t="shared" si="43"/>
        <v>0.97272727272727277</v>
      </c>
      <c r="X256" s="18">
        <f t="shared" si="44"/>
        <v>0.97938144329896903</v>
      </c>
      <c r="Y256" s="18">
        <f t="shared" si="45"/>
        <v>0.39751552795031053</v>
      </c>
      <c r="Z256" s="18">
        <f t="shared" si="46"/>
        <v>0.56634304207119746</v>
      </c>
      <c r="AA256" s="10">
        <f t="shared" si="47"/>
        <v>0.77114526439999997</v>
      </c>
      <c r="AB256" t="str">
        <f>IF(AA256&gt;=Como_Avaliar!$B$15,"Alta",IF(AA256&gt;=Como_Avaliar!$B$16,"Média","Baixa"))</f>
        <v>Alta</v>
      </c>
    </row>
    <row r="257" spans="1:28" x14ac:dyDescent="0.25">
      <c r="A257" t="s">
        <v>561</v>
      </c>
      <c r="B257" t="s">
        <v>391</v>
      </c>
      <c r="C257" t="s">
        <v>87</v>
      </c>
      <c r="D257" t="s">
        <v>56</v>
      </c>
      <c r="E257" t="s">
        <v>92</v>
      </c>
      <c r="F257">
        <v>5</v>
      </c>
      <c r="G257">
        <v>7</v>
      </c>
      <c r="H257">
        <v>1</v>
      </c>
      <c r="I257" t="s">
        <v>63</v>
      </c>
      <c r="J257" t="s">
        <v>98</v>
      </c>
      <c r="K257" t="s">
        <v>97</v>
      </c>
      <c r="L257" t="s">
        <v>289</v>
      </c>
      <c r="M257">
        <v>0</v>
      </c>
      <c r="N257" t="str">
        <f t="shared" si="36"/>
        <v>1. &lt; 8 anos</v>
      </c>
      <c r="O257" t="str">
        <f t="shared" si="37"/>
        <v>1. &lt; 20</v>
      </c>
      <c r="P257" t="str">
        <f t="shared" si="38"/>
        <v>1. 1 a 2</v>
      </c>
      <c r="Q257">
        <f t="shared" si="39"/>
        <v>1</v>
      </c>
      <c r="R257">
        <f t="shared" si="40"/>
        <v>0</v>
      </c>
      <c r="S257">
        <f t="shared" si="41"/>
        <v>1</v>
      </c>
      <c r="T257">
        <v>1</v>
      </c>
      <c r="U257" t="s">
        <v>139</v>
      </c>
      <c r="V257" s="18">
        <f t="shared" si="42"/>
        <v>6.8273092369477914E-2</v>
      </c>
      <c r="W257" s="18">
        <f t="shared" si="43"/>
        <v>8.6792452830188674E-2</v>
      </c>
      <c r="X257" s="18">
        <f t="shared" si="44"/>
        <v>0.10309278350515463</v>
      </c>
      <c r="Y257" s="18">
        <f t="shared" si="45"/>
        <v>6.5217391304347824E-2</v>
      </c>
      <c r="Z257" s="18">
        <f t="shared" si="46"/>
        <v>0.22368421052631579</v>
      </c>
      <c r="AA257" s="10">
        <f t="shared" si="47"/>
        <v>0.1094119861</v>
      </c>
      <c r="AB257" t="str">
        <f>IF(AA257&gt;=Como_Avaliar!$B$15,"Alta",IF(AA257&gt;=Como_Avaliar!$B$16,"Média","Baixa"))</f>
        <v>Baixa</v>
      </c>
    </row>
    <row r="258" spans="1:28" x14ac:dyDescent="0.25">
      <c r="A258" t="s">
        <v>562</v>
      </c>
      <c r="B258" t="s">
        <v>286</v>
      </c>
      <c r="C258" t="s">
        <v>88</v>
      </c>
      <c r="D258" t="s">
        <v>59</v>
      </c>
      <c r="E258" t="s">
        <v>96</v>
      </c>
      <c r="F258">
        <v>17</v>
      </c>
      <c r="G258">
        <v>80</v>
      </c>
      <c r="H258">
        <v>4</v>
      </c>
      <c r="I258" t="s">
        <v>64</v>
      </c>
      <c r="J258" t="s">
        <v>97</v>
      </c>
      <c r="K258" t="s">
        <v>97</v>
      </c>
      <c r="L258" t="s">
        <v>322</v>
      </c>
      <c r="M258">
        <v>1</v>
      </c>
      <c r="N258" t="str">
        <f t="shared" ref="N258:N321" si="48">IF(F258&lt;8,"1. &lt; 8 anos",IF(F258&lt;16,"2. 8 a 15 anos","3. 16+ anos"))</f>
        <v>3. 16+ anos</v>
      </c>
      <c r="O258" t="str">
        <f t="shared" ref="O258:O321" si="49">IF(G258&lt;20,"1. &lt; 20",IF(G258&lt;50,"2. 20 a 49",IF(G258&lt;150,"3. 50 a 149","4. 150+")))</f>
        <v>3. 50 a 149</v>
      </c>
      <c r="P258" t="str">
        <f t="shared" ref="P258:P321" si="50">IF(H258&lt;=2,"1. 1 a 2",IF(H258&lt;=5,"2. 3 a 5",IF(H258&lt;=15,"3. 6 a 15","4. 16+")))</f>
        <v>2. 3 a 5</v>
      </c>
      <c r="Q258">
        <f t="shared" ref="Q258:Q321" si="51">IF(OR(I258="Nenhum",I258="Planilha",I258="ContaAzul"),1,0)</f>
        <v>1</v>
      </c>
      <c r="R258">
        <f t="shared" ref="R258:R321" si="52">IF(AND(G258&gt;=50,H258&gt;=6,Q258=0),1,0)</f>
        <v>0</v>
      </c>
      <c r="S258">
        <f t="shared" ref="S258:S321" si="53">IF(AND(L258&lt;&gt;"Cliente Ativo",M258=0),1,0)</f>
        <v>0</v>
      </c>
      <c r="V258" s="18">
        <f t="shared" ref="V258:V321" si="54">AVERAGEIF($D$2:$D$601,D258,$M$2:$M$601)</f>
        <v>0.43835616438356162</v>
      </c>
      <c r="W258" s="18">
        <f t="shared" ref="W258:W321" si="55">AVERAGEIF($P$2:$P$601,P258,$M$2:$M$601)</f>
        <v>0.38095238095238093</v>
      </c>
      <c r="X258" s="18">
        <f t="shared" ref="X258:X321" si="56">AVERAGEIF($O$2:$O$601,O258,$M$2:$M$601)</f>
        <v>0.58992805755395683</v>
      </c>
      <c r="Y258" s="18">
        <f t="shared" ref="Y258:Y321" si="57">AVERAGEIF($I$2:$I$601,I258,$M$2:$M$601)</f>
        <v>0.15625</v>
      </c>
      <c r="Z258" s="18">
        <f t="shared" ref="Z258:Z321" si="58">AVERAGEIF($N$2:$N$601,N258,$M$2:$M$601)</f>
        <v>0.56634304207119746</v>
      </c>
      <c r="AA258" s="10">
        <f t="shared" ref="AA258:AA321" si="59">ROUND(AVERAGE(V258:Z258),10)</f>
        <v>0.42636592899999998</v>
      </c>
      <c r="AB258" t="str">
        <f>IF(AA258&gt;=Como_Avaliar!$B$15,"Alta",IF(AA258&gt;=Como_Avaliar!$B$16,"Média","Baixa"))</f>
        <v>Média</v>
      </c>
    </row>
    <row r="259" spans="1:28" x14ac:dyDescent="0.25">
      <c r="A259" t="s">
        <v>563</v>
      </c>
      <c r="B259" t="s">
        <v>286</v>
      </c>
      <c r="C259" t="s">
        <v>88</v>
      </c>
      <c r="D259" t="s">
        <v>56</v>
      </c>
      <c r="E259" t="s">
        <v>94</v>
      </c>
      <c r="F259">
        <v>24</v>
      </c>
      <c r="G259">
        <v>16</v>
      </c>
      <c r="H259">
        <v>2</v>
      </c>
      <c r="I259" t="s">
        <v>65</v>
      </c>
      <c r="J259" t="s">
        <v>97</v>
      </c>
      <c r="K259" t="s">
        <v>97</v>
      </c>
      <c r="L259" t="s">
        <v>289</v>
      </c>
      <c r="M259">
        <v>1</v>
      </c>
      <c r="N259" t="str">
        <f t="shared" si="48"/>
        <v>3. 16+ anos</v>
      </c>
      <c r="O259" t="str">
        <f t="shared" si="49"/>
        <v>1. &lt; 20</v>
      </c>
      <c r="P259" t="str">
        <f t="shared" si="50"/>
        <v>1. 1 a 2</v>
      </c>
      <c r="Q259">
        <f t="shared" si="51"/>
        <v>0</v>
      </c>
      <c r="R259">
        <f t="shared" si="52"/>
        <v>0</v>
      </c>
      <c r="S259">
        <f t="shared" si="53"/>
        <v>0</v>
      </c>
      <c r="V259" s="18">
        <f t="shared" si="54"/>
        <v>6.8273092369477914E-2</v>
      </c>
      <c r="W259" s="18">
        <f t="shared" si="55"/>
        <v>8.6792452830188674E-2</v>
      </c>
      <c r="X259" s="18">
        <f t="shared" si="56"/>
        <v>0.10309278350515463</v>
      </c>
      <c r="Y259" s="18">
        <f t="shared" si="57"/>
        <v>0.39751552795031053</v>
      </c>
      <c r="Z259" s="18">
        <f t="shared" si="58"/>
        <v>0.56634304207119746</v>
      </c>
      <c r="AA259" s="10">
        <f t="shared" si="59"/>
        <v>0.24440337970000001</v>
      </c>
      <c r="AB259" t="str">
        <f>IF(AA259&gt;=Como_Avaliar!$B$15,"Alta",IF(AA259&gt;=Como_Avaliar!$B$16,"Média","Baixa"))</f>
        <v>Média</v>
      </c>
    </row>
    <row r="260" spans="1:28" x14ac:dyDescent="0.25">
      <c r="A260" t="s">
        <v>564</v>
      </c>
      <c r="B260" t="s">
        <v>288</v>
      </c>
      <c r="C260" t="s">
        <v>88</v>
      </c>
      <c r="D260" t="s">
        <v>57</v>
      </c>
      <c r="E260" t="s">
        <v>90</v>
      </c>
      <c r="F260">
        <v>17</v>
      </c>
      <c r="G260">
        <v>667</v>
      </c>
      <c r="H260">
        <v>82</v>
      </c>
      <c r="I260" t="s">
        <v>60</v>
      </c>
      <c r="J260" t="s">
        <v>98</v>
      </c>
      <c r="K260" t="s">
        <v>97</v>
      </c>
      <c r="L260" t="s">
        <v>289</v>
      </c>
      <c r="M260">
        <v>1</v>
      </c>
      <c r="N260" t="str">
        <f t="shared" si="48"/>
        <v>3. 16+ anos</v>
      </c>
      <c r="O260" t="str">
        <f t="shared" si="49"/>
        <v>4. 150+</v>
      </c>
      <c r="P260" t="str">
        <f t="shared" si="50"/>
        <v>4. 16+</v>
      </c>
      <c r="Q260">
        <f t="shared" si="51"/>
        <v>0</v>
      </c>
      <c r="R260">
        <f t="shared" si="52"/>
        <v>1</v>
      </c>
      <c r="S260">
        <f t="shared" si="53"/>
        <v>0</v>
      </c>
      <c r="V260" s="18">
        <f t="shared" si="54"/>
        <v>1</v>
      </c>
      <c r="W260" s="18">
        <f t="shared" si="55"/>
        <v>0.97272727272727277</v>
      </c>
      <c r="X260" s="18">
        <f t="shared" si="56"/>
        <v>0.97938144329896903</v>
      </c>
      <c r="Y260" s="18">
        <f t="shared" si="57"/>
        <v>0.65217391304347827</v>
      </c>
      <c r="Z260" s="18">
        <f t="shared" si="58"/>
        <v>0.56634304207119746</v>
      </c>
      <c r="AA260" s="10">
        <f t="shared" si="59"/>
        <v>0.83412513420000001</v>
      </c>
      <c r="AB260" t="str">
        <f>IF(AA260&gt;=Como_Avaliar!$B$15,"Alta",IF(AA260&gt;=Como_Avaliar!$B$16,"Média","Baixa"))</f>
        <v>Alta</v>
      </c>
    </row>
    <row r="261" spans="1:28" x14ac:dyDescent="0.25">
      <c r="A261" t="s">
        <v>565</v>
      </c>
      <c r="B261" t="s">
        <v>355</v>
      </c>
      <c r="C261" t="s">
        <v>86</v>
      </c>
      <c r="D261" t="s">
        <v>59</v>
      </c>
      <c r="E261" t="s">
        <v>90</v>
      </c>
      <c r="F261">
        <v>27</v>
      </c>
      <c r="G261">
        <v>22</v>
      </c>
      <c r="H261">
        <v>2</v>
      </c>
      <c r="I261" t="s">
        <v>64</v>
      </c>
      <c r="J261" t="s">
        <v>98</v>
      </c>
      <c r="K261" t="s">
        <v>97</v>
      </c>
      <c r="L261" t="s">
        <v>284</v>
      </c>
      <c r="M261">
        <v>1</v>
      </c>
      <c r="N261" t="str">
        <f t="shared" si="48"/>
        <v>3. 16+ anos</v>
      </c>
      <c r="O261" t="str">
        <f t="shared" si="49"/>
        <v>2. 20 a 49</v>
      </c>
      <c r="P261" t="str">
        <f t="shared" si="50"/>
        <v>1. 1 a 2</v>
      </c>
      <c r="Q261">
        <f t="shared" si="51"/>
        <v>1</v>
      </c>
      <c r="R261">
        <f t="shared" si="52"/>
        <v>0</v>
      </c>
      <c r="S261">
        <f t="shared" si="53"/>
        <v>0</v>
      </c>
      <c r="V261" s="18">
        <f t="shared" si="54"/>
        <v>0.43835616438356162</v>
      </c>
      <c r="W261" s="18">
        <f t="shared" si="55"/>
        <v>8.6792452830188674E-2</v>
      </c>
      <c r="X261" s="18">
        <f t="shared" si="56"/>
        <v>0.25294117647058822</v>
      </c>
      <c r="Y261" s="18">
        <f t="shared" si="57"/>
        <v>0.15625</v>
      </c>
      <c r="Z261" s="18">
        <f t="shared" si="58"/>
        <v>0.56634304207119746</v>
      </c>
      <c r="AA261" s="10">
        <f t="shared" si="59"/>
        <v>0.30013656719999998</v>
      </c>
      <c r="AB261" t="str">
        <f>IF(AA261&gt;=Como_Avaliar!$B$15,"Alta",IF(AA261&gt;=Como_Avaliar!$B$16,"Média","Baixa"))</f>
        <v>Média</v>
      </c>
    </row>
    <row r="262" spans="1:28" x14ac:dyDescent="0.25">
      <c r="A262" t="s">
        <v>566</v>
      </c>
      <c r="B262" t="s">
        <v>297</v>
      </c>
      <c r="C262" t="s">
        <v>86</v>
      </c>
      <c r="D262" t="s">
        <v>59</v>
      </c>
      <c r="E262" t="s">
        <v>90</v>
      </c>
      <c r="F262">
        <v>17</v>
      </c>
      <c r="G262">
        <v>74</v>
      </c>
      <c r="H262">
        <v>7</v>
      </c>
      <c r="I262" t="s">
        <v>62</v>
      </c>
      <c r="J262" t="s">
        <v>98</v>
      </c>
      <c r="K262" t="s">
        <v>97</v>
      </c>
      <c r="L262" t="s">
        <v>284</v>
      </c>
      <c r="M262">
        <v>0</v>
      </c>
      <c r="N262" t="str">
        <f t="shared" si="48"/>
        <v>3. 16+ anos</v>
      </c>
      <c r="O262" t="str">
        <f t="shared" si="49"/>
        <v>3. 50 a 149</v>
      </c>
      <c r="P262" t="str">
        <f t="shared" si="50"/>
        <v>3. 6 a 15</v>
      </c>
      <c r="Q262">
        <f t="shared" si="51"/>
        <v>0</v>
      </c>
      <c r="R262">
        <f t="shared" si="52"/>
        <v>1</v>
      </c>
      <c r="S262">
        <f t="shared" si="53"/>
        <v>1</v>
      </c>
      <c r="T262">
        <v>3</v>
      </c>
      <c r="U262" t="s">
        <v>138</v>
      </c>
      <c r="V262" s="18">
        <f t="shared" si="54"/>
        <v>0.43835616438356162</v>
      </c>
      <c r="W262" s="18">
        <f t="shared" si="55"/>
        <v>0.55319148936170215</v>
      </c>
      <c r="X262" s="18">
        <f t="shared" si="56"/>
        <v>0.58992805755395683</v>
      </c>
      <c r="Y262" s="18">
        <f t="shared" si="57"/>
        <v>0.37662337662337664</v>
      </c>
      <c r="Z262" s="18">
        <f t="shared" si="58"/>
        <v>0.56634304207119746</v>
      </c>
      <c r="AA262" s="10">
        <f t="shared" si="59"/>
        <v>0.50488842599999995</v>
      </c>
      <c r="AB262" t="str">
        <f>IF(AA262&gt;=Como_Avaliar!$B$15,"Alta",IF(AA262&gt;=Como_Avaliar!$B$16,"Média","Baixa"))</f>
        <v>Alta</v>
      </c>
    </row>
    <row r="263" spans="1:28" x14ac:dyDescent="0.25">
      <c r="A263" t="s">
        <v>567</v>
      </c>
      <c r="B263" t="s">
        <v>297</v>
      </c>
      <c r="C263" t="s">
        <v>86</v>
      </c>
      <c r="D263" t="s">
        <v>56</v>
      </c>
      <c r="E263" t="s">
        <v>92</v>
      </c>
      <c r="F263">
        <v>2</v>
      </c>
      <c r="G263">
        <v>24</v>
      </c>
      <c r="H263">
        <v>1</v>
      </c>
      <c r="I263" t="s">
        <v>65</v>
      </c>
      <c r="J263" t="s">
        <v>97</v>
      </c>
      <c r="K263" t="s">
        <v>98</v>
      </c>
      <c r="L263" t="s">
        <v>284</v>
      </c>
      <c r="M263">
        <v>0</v>
      </c>
      <c r="N263" t="str">
        <f t="shared" si="48"/>
        <v>1. &lt; 8 anos</v>
      </c>
      <c r="O263" t="str">
        <f t="shared" si="49"/>
        <v>2. 20 a 49</v>
      </c>
      <c r="P263" t="str">
        <f t="shared" si="50"/>
        <v>1. 1 a 2</v>
      </c>
      <c r="Q263">
        <f t="shared" si="51"/>
        <v>0</v>
      </c>
      <c r="R263">
        <f t="shared" si="52"/>
        <v>0</v>
      </c>
      <c r="S263">
        <f t="shared" si="53"/>
        <v>1</v>
      </c>
      <c r="T263">
        <v>3</v>
      </c>
      <c r="U263" t="s">
        <v>138</v>
      </c>
      <c r="V263" s="18">
        <f t="shared" si="54"/>
        <v>6.8273092369477914E-2</v>
      </c>
      <c r="W263" s="18">
        <f t="shared" si="55"/>
        <v>8.6792452830188674E-2</v>
      </c>
      <c r="X263" s="18">
        <f t="shared" si="56"/>
        <v>0.25294117647058822</v>
      </c>
      <c r="Y263" s="18">
        <f t="shared" si="57"/>
        <v>0.39751552795031053</v>
      </c>
      <c r="Z263" s="18">
        <f t="shared" si="58"/>
        <v>0.22368421052631579</v>
      </c>
      <c r="AA263" s="10">
        <f t="shared" si="59"/>
        <v>0.20584129200000001</v>
      </c>
      <c r="AB263" t="str">
        <f>IF(AA263&gt;=Como_Avaliar!$B$15,"Alta",IF(AA263&gt;=Como_Avaliar!$B$16,"Média","Baixa"))</f>
        <v>Baixa</v>
      </c>
    </row>
    <row r="264" spans="1:28" x14ac:dyDescent="0.25">
      <c r="A264" t="s">
        <v>568</v>
      </c>
      <c r="B264" t="s">
        <v>301</v>
      </c>
      <c r="C264" t="s">
        <v>88</v>
      </c>
      <c r="D264" t="s">
        <v>56</v>
      </c>
      <c r="E264" t="s">
        <v>96</v>
      </c>
      <c r="F264">
        <v>2</v>
      </c>
      <c r="G264">
        <v>12</v>
      </c>
      <c r="H264">
        <v>2</v>
      </c>
      <c r="I264" t="s">
        <v>65</v>
      </c>
      <c r="J264" t="s">
        <v>98</v>
      </c>
      <c r="K264" t="s">
        <v>97</v>
      </c>
      <c r="L264" t="s">
        <v>289</v>
      </c>
      <c r="M264">
        <v>0</v>
      </c>
      <c r="N264" t="str">
        <f t="shared" si="48"/>
        <v>1. &lt; 8 anos</v>
      </c>
      <c r="O264" t="str">
        <f t="shared" si="49"/>
        <v>1. &lt; 20</v>
      </c>
      <c r="P264" t="str">
        <f t="shared" si="50"/>
        <v>1. 1 a 2</v>
      </c>
      <c r="Q264">
        <f t="shared" si="51"/>
        <v>0</v>
      </c>
      <c r="R264">
        <f t="shared" si="52"/>
        <v>0</v>
      </c>
      <c r="S264">
        <f t="shared" si="53"/>
        <v>1</v>
      </c>
      <c r="T264">
        <v>1</v>
      </c>
      <c r="U264" t="s">
        <v>139</v>
      </c>
      <c r="V264" s="18">
        <f t="shared" si="54"/>
        <v>6.8273092369477914E-2</v>
      </c>
      <c r="W264" s="18">
        <f t="shared" si="55"/>
        <v>8.6792452830188674E-2</v>
      </c>
      <c r="X264" s="18">
        <f t="shared" si="56"/>
        <v>0.10309278350515463</v>
      </c>
      <c r="Y264" s="18">
        <f t="shared" si="57"/>
        <v>0.39751552795031053</v>
      </c>
      <c r="Z264" s="18">
        <f t="shared" si="58"/>
        <v>0.22368421052631579</v>
      </c>
      <c r="AA264" s="10">
        <f t="shared" si="59"/>
        <v>0.17587161339999999</v>
      </c>
      <c r="AB264" t="str">
        <f>IF(AA264&gt;=Como_Avaliar!$B$15,"Alta",IF(AA264&gt;=Como_Avaliar!$B$16,"Média","Baixa"))</f>
        <v>Baixa</v>
      </c>
    </row>
    <row r="265" spans="1:28" x14ac:dyDescent="0.25">
      <c r="A265" t="s">
        <v>569</v>
      </c>
      <c r="B265" t="s">
        <v>286</v>
      </c>
      <c r="C265" t="s">
        <v>88</v>
      </c>
      <c r="D265" t="s">
        <v>56</v>
      </c>
      <c r="E265" t="s">
        <v>90</v>
      </c>
      <c r="F265">
        <v>28</v>
      </c>
      <c r="G265">
        <v>3</v>
      </c>
      <c r="H265">
        <v>1</v>
      </c>
      <c r="I265" t="s">
        <v>62</v>
      </c>
      <c r="J265" t="s">
        <v>97</v>
      </c>
      <c r="K265" t="s">
        <v>97</v>
      </c>
      <c r="L265" t="s">
        <v>298</v>
      </c>
      <c r="M265">
        <v>1</v>
      </c>
      <c r="N265" t="str">
        <f t="shared" si="48"/>
        <v>3. 16+ anos</v>
      </c>
      <c r="O265" t="str">
        <f t="shared" si="49"/>
        <v>1. &lt; 20</v>
      </c>
      <c r="P265" t="str">
        <f t="shared" si="50"/>
        <v>1. 1 a 2</v>
      </c>
      <c r="Q265">
        <f t="shared" si="51"/>
        <v>0</v>
      </c>
      <c r="R265">
        <f t="shared" si="52"/>
        <v>0</v>
      </c>
      <c r="S265">
        <f t="shared" si="53"/>
        <v>0</v>
      </c>
      <c r="V265" s="18">
        <f t="shared" si="54"/>
        <v>6.8273092369477914E-2</v>
      </c>
      <c r="W265" s="18">
        <f t="shared" si="55"/>
        <v>8.6792452830188674E-2</v>
      </c>
      <c r="X265" s="18">
        <f t="shared" si="56"/>
        <v>0.10309278350515463</v>
      </c>
      <c r="Y265" s="18">
        <f t="shared" si="57"/>
        <v>0.37662337662337664</v>
      </c>
      <c r="Z265" s="18">
        <f t="shared" si="58"/>
        <v>0.56634304207119746</v>
      </c>
      <c r="AA265" s="10">
        <f t="shared" si="59"/>
        <v>0.24022494950000001</v>
      </c>
      <c r="AB265" t="str">
        <f>IF(AA265&gt;=Como_Avaliar!$B$15,"Alta",IF(AA265&gt;=Como_Avaliar!$B$16,"Média","Baixa"))</f>
        <v>Média</v>
      </c>
    </row>
    <row r="266" spans="1:28" x14ac:dyDescent="0.25">
      <c r="A266" t="s">
        <v>570</v>
      </c>
      <c r="B266" t="s">
        <v>327</v>
      </c>
      <c r="C266" t="s">
        <v>86</v>
      </c>
      <c r="D266" t="s">
        <v>59</v>
      </c>
      <c r="E266" t="s">
        <v>94</v>
      </c>
      <c r="F266">
        <v>22</v>
      </c>
      <c r="G266">
        <v>65</v>
      </c>
      <c r="H266">
        <v>5</v>
      </c>
      <c r="I266" t="s">
        <v>65</v>
      </c>
      <c r="J266" t="s">
        <v>97</v>
      </c>
      <c r="K266" t="s">
        <v>97</v>
      </c>
      <c r="L266" t="s">
        <v>284</v>
      </c>
      <c r="M266">
        <v>1</v>
      </c>
      <c r="N266" t="str">
        <f t="shared" si="48"/>
        <v>3. 16+ anos</v>
      </c>
      <c r="O266" t="str">
        <f t="shared" si="49"/>
        <v>3. 50 a 149</v>
      </c>
      <c r="P266" t="str">
        <f t="shared" si="50"/>
        <v>2. 3 a 5</v>
      </c>
      <c r="Q266">
        <f t="shared" si="51"/>
        <v>0</v>
      </c>
      <c r="R266">
        <f t="shared" si="52"/>
        <v>0</v>
      </c>
      <c r="S266">
        <f t="shared" si="53"/>
        <v>0</v>
      </c>
      <c r="V266" s="18">
        <f t="shared" si="54"/>
        <v>0.43835616438356162</v>
      </c>
      <c r="W266" s="18">
        <f t="shared" si="55"/>
        <v>0.38095238095238093</v>
      </c>
      <c r="X266" s="18">
        <f t="shared" si="56"/>
        <v>0.58992805755395683</v>
      </c>
      <c r="Y266" s="18">
        <f t="shared" si="57"/>
        <v>0.39751552795031053</v>
      </c>
      <c r="Z266" s="18">
        <f t="shared" si="58"/>
        <v>0.56634304207119746</v>
      </c>
      <c r="AA266" s="10">
        <f t="shared" si="59"/>
        <v>0.47461903459999999</v>
      </c>
      <c r="AB266" t="str">
        <f>IF(AA266&gt;=Como_Avaliar!$B$15,"Alta",IF(AA266&gt;=Como_Avaliar!$B$16,"Média","Baixa"))</f>
        <v>Média</v>
      </c>
    </row>
    <row r="267" spans="1:28" x14ac:dyDescent="0.25">
      <c r="A267" t="s">
        <v>571</v>
      </c>
      <c r="B267" t="s">
        <v>295</v>
      </c>
      <c r="C267" t="s">
        <v>84</v>
      </c>
      <c r="D267" t="s">
        <v>59</v>
      </c>
      <c r="E267" t="s">
        <v>90</v>
      </c>
      <c r="F267">
        <v>23</v>
      </c>
      <c r="G267">
        <v>47</v>
      </c>
      <c r="H267">
        <v>8</v>
      </c>
      <c r="I267" t="s">
        <v>60</v>
      </c>
      <c r="J267" t="s">
        <v>98</v>
      </c>
      <c r="K267" t="s">
        <v>98</v>
      </c>
      <c r="L267" t="s">
        <v>293</v>
      </c>
      <c r="M267">
        <v>0</v>
      </c>
      <c r="N267" t="str">
        <f t="shared" si="48"/>
        <v>3. 16+ anos</v>
      </c>
      <c r="O267" t="str">
        <f t="shared" si="49"/>
        <v>2. 20 a 49</v>
      </c>
      <c r="P267" t="str">
        <f t="shared" si="50"/>
        <v>3. 6 a 15</v>
      </c>
      <c r="Q267">
        <f t="shared" si="51"/>
        <v>0</v>
      </c>
      <c r="R267">
        <f t="shared" si="52"/>
        <v>0</v>
      </c>
      <c r="S267">
        <f t="shared" si="53"/>
        <v>1</v>
      </c>
      <c r="T267">
        <v>3</v>
      </c>
      <c r="U267" t="s">
        <v>138</v>
      </c>
      <c r="V267" s="18">
        <f t="shared" si="54"/>
        <v>0.43835616438356162</v>
      </c>
      <c r="W267" s="18">
        <f t="shared" si="55"/>
        <v>0.55319148936170215</v>
      </c>
      <c r="X267" s="18">
        <f t="shared" si="56"/>
        <v>0.25294117647058822</v>
      </c>
      <c r="Y267" s="18">
        <f t="shared" si="57"/>
        <v>0.65217391304347827</v>
      </c>
      <c r="Z267" s="18">
        <f t="shared" si="58"/>
        <v>0.56634304207119746</v>
      </c>
      <c r="AA267" s="10">
        <f t="shared" si="59"/>
        <v>0.49260115710000002</v>
      </c>
      <c r="AB267" t="str">
        <f>IF(AA267&gt;=Como_Avaliar!$B$15,"Alta",IF(AA267&gt;=Como_Avaliar!$B$16,"Média","Baixa"))</f>
        <v>Alta</v>
      </c>
    </row>
    <row r="268" spans="1:28" x14ac:dyDescent="0.25">
      <c r="A268" t="s">
        <v>572</v>
      </c>
      <c r="B268" t="s">
        <v>283</v>
      </c>
      <c r="C268" t="s">
        <v>89</v>
      </c>
      <c r="D268" t="s">
        <v>58</v>
      </c>
      <c r="E268" t="s">
        <v>91</v>
      </c>
      <c r="F268">
        <v>5</v>
      </c>
      <c r="G268">
        <v>60</v>
      </c>
      <c r="H268">
        <v>25</v>
      </c>
      <c r="I268" t="s">
        <v>65</v>
      </c>
      <c r="J268" t="s">
        <v>97</v>
      </c>
      <c r="K268" t="s">
        <v>97</v>
      </c>
      <c r="L268" t="s">
        <v>322</v>
      </c>
      <c r="M268">
        <v>1</v>
      </c>
      <c r="N268" t="str">
        <f t="shared" si="48"/>
        <v>1. &lt; 8 anos</v>
      </c>
      <c r="O268" t="str">
        <f t="shared" si="49"/>
        <v>3. 50 a 149</v>
      </c>
      <c r="P268" t="str">
        <f t="shared" si="50"/>
        <v>4. 16+</v>
      </c>
      <c r="Q268">
        <f t="shared" si="51"/>
        <v>0</v>
      </c>
      <c r="R268">
        <f t="shared" si="52"/>
        <v>1</v>
      </c>
      <c r="S268">
        <f t="shared" si="53"/>
        <v>0</v>
      </c>
      <c r="V268" s="18">
        <f t="shared" si="54"/>
        <v>0.93975903614457834</v>
      </c>
      <c r="W268" s="18">
        <f t="shared" si="55"/>
        <v>0.97272727272727277</v>
      </c>
      <c r="X268" s="18">
        <f t="shared" si="56"/>
        <v>0.58992805755395683</v>
      </c>
      <c r="Y268" s="18">
        <f t="shared" si="57"/>
        <v>0.39751552795031053</v>
      </c>
      <c r="Z268" s="18">
        <f t="shared" si="58"/>
        <v>0.22368421052631579</v>
      </c>
      <c r="AA268" s="10">
        <f t="shared" si="59"/>
        <v>0.62472282099999998</v>
      </c>
      <c r="AB268" t="str">
        <f>IF(AA268&gt;=Como_Avaliar!$B$15,"Alta",IF(AA268&gt;=Como_Avaliar!$B$16,"Média","Baixa"))</f>
        <v>Alta</v>
      </c>
    </row>
    <row r="269" spans="1:28" x14ac:dyDescent="0.25">
      <c r="A269" t="s">
        <v>573</v>
      </c>
      <c r="B269" t="s">
        <v>363</v>
      </c>
      <c r="C269" t="s">
        <v>87</v>
      </c>
      <c r="D269" t="s">
        <v>56</v>
      </c>
      <c r="E269" t="s">
        <v>94</v>
      </c>
      <c r="F269">
        <v>1</v>
      </c>
      <c r="G269">
        <v>9</v>
      </c>
      <c r="H269">
        <v>2</v>
      </c>
      <c r="I269" t="s">
        <v>65</v>
      </c>
      <c r="J269" t="s">
        <v>97</v>
      </c>
      <c r="K269" t="s">
        <v>97</v>
      </c>
      <c r="L269" t="s">
        <v>289</v>
      </c>
      <c r="M269">
        <v>0</v>
      </c>
      <c r="N269" t="str">
        <f t="shared" si="48"/>
        <v>1. &lt; 8 anos</v>
      </c>
      <c r="O269" t="str">
        <f t="shared" si="49"/>
        <v>1. &lt; 20</v>
      </c>
      <c r="P269" t="str">
        <f t="shared" si="50"/>
        <v>1. 1 a 2</v>
      </c>
      <c r="Q269">
        <f t="shared" si="51"/>
        <v>0</v>
      </c>
      <c r="R269">
        <f t="shared" si="52"/>
        <v>0</v>
      </c>
      <c r="S269">
        <f t="shared" si="53"/>
        <v>1</v>
      </c>
      <c r="T269">
        <v>1</v>
      </c>
      <c r="U269" t="s">
        <v>139</v>
      </c>
      <c r="V269" s="18">
        <f t="shared" si="54"/>
        <v>6.8273092369477914E-2</v>
      </c>
      <c r="W269" s="18">
        <f t="shared" si="55"/>
        <v>8.6792452830188674E-2</v>
      </c>
      <c r="X269" s="18">
        <f t="shared" si="56"/>
        <v>0.10309278350515463</v>
      </c>
      <c r="Y269" s="18">
        <f t="shared" si="57"/>
        <v>0.39751552795031053</v>
      </c>
      <c r="Z269" s="18">
        <f t="shared" si="58"/>
        <v>0.22368421052631579</v>
      </c>
      <c r="AA269" s="10">
        <f t="shared" si="59"/>
        <v>0.17587161339999999</v>
      </c>
      <c r="AB269" t="str">
        <f>IF(AA269&gt;=Como_Avaliar!$B$15,"Alta",IF(AA269&gt;=Como_Avaliar!$B$16,"Média","Baixa"))</f>
        <v>Baixa</v>
      </c>
    </row>
    <row r="270" spans="1:28" x14ac:dyDescent="0.25">
      <c r="A270" t="s">
        <v>574</v>
      </c>
      <c r="B270" t="s">
        <v>283</v>
      </c>
      <c r="C270" t="s">
        <v>89</v>
      </c>
      <c r="D270" t="s">
        <v>58</v>
      </c>
      <c r="E270" t="s">
        <v>90</v>
      </c>
      <c r="F270">
        <v>1</v>
      </c>
      <c r="G270">
        <v>208</v>
      </c>
      <c r="H270">
        <v>21</v>
      </c>
      <c r="I270" t="s">
        <v>60</v>
      </c>
      <c r="J270" t="s">
        <v>97</v>
      </c>
      <c r="K270" t="s">
        <v>98</v>
      </c>
      <c r="L270" t="s">
        <v>289</v>
      </c>
      <c r="M270">
        <v>1</v>
      </c>
      <c r="N270" t="str">
        <f t="shared" si="48"/>
        <v>1. &lt; 8 anos</v>
      </c>
      <c r="O270" t="str">
        <f t="shared" si="49"/>
        <v>4. 150+</v>
      </c>
      <c r="P270" t="str">
        <f t="shared" si="50"/>
        <v>4. 16+</v>
      </c>
      <c r="Q270">
        <f t="shared" si="51"/>
        <v>0</v>
      </c>
      <c r="R270">
        <f t="shared" si="52"/>
        <v>1</v>
      </c>
      <c r="S270">
        <f t="shared" si="53"/>
        <v>0</v>
      </c>
      <c r="V270" s="18">
        <f t="shared" si="54"/>
        <v>0.93975903614457834</v>
      </c>
      <c r="W270" s="18">
        <f t="shared" si="55"/>
        <v>0.97272727272727277</v>
      </c>
      <c r="X270" s="18">
        <f t="shared" si="56"/>
        <v>0.97938144329896903</v>
      </c>
      <c r="Y270" s="18">
        <f t="shared" si="57"/>
        <v>0.65217391304347827</v>
      </c>
      <c r="Z270" s="18">
        <f t="shared" si="58"/>
        <v>0.22368421052631579</v>
      </c>
      <c r="AA270" s="10">
        <f t="shared" si="59"/>
        <v>0.75354517509999996</v>
      </c>
      <c r="AB270" t="str">
        <f>IF(AA270&gt;=Como_Avaliar!$B$15,"Alta",IF(AA270&gt;=Como_Avaliar!$B$16,"Média","Baixa"))</f>
        <v>Alta</v>
      </c>
    </row>
    <row r="271" spans="1:28" x14ac:dyDescent="0.25">
      <c r="A271" t="s">
        <v>575</v>
      </c>
      <c r="B271" t="s">
        <v>286</v>
      </c>
      <c r="C271" t="s">
        <v>88</v>
      </c>
      <c r="D271" t="s">
        <v>58</v>
      </c>
      <c r="E271" t="s">
        <v>92</v>
      </c>
      <c r="F271">
        <v>19</v>
      </c>
      <c r="G271">
        <v>78</v>
      </c>
      <c r="H271">
        <v>29</v>
      </c>
      <c r="I271" t="s">
        <v>68</v>
      </c>
      <c r="J271" t="s">
        <v>98</v>
      </c>
      <c r="K271" t="s">
        <v>98</v>
      </c>
      <c r="L271" t="s">
        <v>284</v>
      </c>
      <c r="M271">
        <v>1</v>
      </c>
      <c r="N271" t="str">
        <f t="shared" si="48"/>
        <v>3. 16+ anos</v>
      </c>
      <c r="O271" t="str">
        <f t="shared" si="49"/>
        <v>3. 50 a 149</v>
      </c>
      <c r="P271" t="str">
        <f t="shared" si="50"/>
        <v>4. 16+</v>
      </c>
      <c r="Q271">
        <f t="shared" si="51"/>
        <v>0</v>
      </c>
      <c r="R271">
        <f t="shared" si="52"/>
        <v>1</v>
      </c>
      <c r="S271">
        <f t="shared" si="53"/>
        <v>0</v>
      </c>
      <c r="V271" s="18">
        <f t="shared" si="54"/>
        <v>0.93975903614457834</v>
      </c>
      <c r="W271" s="18">
        <f t="shared" si="55"/>
        <v>0.97272727272727277</v>
      </c>
      <c r="X271" s="18">
        <f t="shared" si="56"/>
        <v>0.58992805755395683</v>
      </c>
      <c r="Y271" s="18">
        <f t="shared" si="57"/>
        <v>0.58333333333333337</v>
      </c>
      <c r="Z271" s="18">
        <f t="shared" si="58"/>
        <v>0.56634304207119746</v>
      </c>
      <c r="AA271" s="10">
        <f t="shared" si="59"/>
        <v>0.73041814839999997</v>
      </c>
      <c r="AB271" t="str">
        <f>IF(AA271&gt;=Como_Avaliar!$B$15,"Alta",IF(AA271&gt;=Como_Avaliar!$B$16,"Média","Baixa"))</f>
        <v>Alta</v>
      </c>
    </row>
    <row r="272" spans="1:28" x14ac:dyDescent="0.25">
      <c r="A272" t="s">
        <v>576</v>
      </c>
      <c r="B272" t="s">
        <v>327</v>
      </c>
      <c r="C272" t="s">
        <v>86</v>
      </c>
      <c r="D272" t="s">
        <v>58</v>
      </c>
      <c r="E272" t="s">
        <v>90</v>
      </c>
      <c r="F272">
        <v>2</v>
      </c>
      <c r="G272">
        <v>71</v>
      </c>
      <c r="H272">
        <v>23</v>
      </c>
      <c r="I272" t="s">
        <v>60</v>
      </c>
      <c r="J272" t="s">
        <v>98</v>
      </c>
      <c r="K272" t="s">
        <v>97</v>
      </c>
      <c r="L272" t="s">
        <v>322</v>
      </c>
      <c r="M272">
        <v>0</v>
      </c>
      <c r="N272" t="str">
        <f t="shared" si="48"/>
        <v>1. &lt; 8 anos</v>
      </c>
      <c r="O272" t="str">
        <f t="shared" si="49"/>
        <v>3. 50 a 149</v>
      </c>
      <c r="P272" t="str">
        <f t="shared" si="50"/>
        <v>4. 16+</v>
      </c>
      <c r="Q272">
        <f t="shared" si="51"/>
        <v>0</v>
      </c>
      <c r="R272">
        <f t="shared" si="52"/>
        <v>1</v>
      </c>
      <c r="S272">
        <f t="shared" si="53"/>
        <v>0</v>
      </c>
      <c r="V272" s="18">
        <f t="shared" si="54"/>
        <v>0.93975903614457834</v>
      </c>
      <c r="W272" s="18">
        <f t="shared" si="55"/>
        <v>0.97272727272727277</v>
      </c>
      <c r="X272" s="18">
        <f t="shared" si="56"/>
        <v>0.58992805755395683</v>
      </c>
      <c r="Y272" s="18">
        <f t="shared" si="57"/>
        <v>0.65217391304347827</v>
      </c>
      <c r="Z272" s="18">
        <f t="shared" si="58"/>
        <v>0.22368421052631579</v>
      </c>
      <c r="AA272" s="10">
        <f t="shared" si="59"/>
        <v>0.67565449799999999</v>
      </c>
      <c r="AB272" t="str">
        <f>IF(AA272&gt;=Como_Avaliar!$B$15,"Alta",IF(AA272&gt;=Como_Avaliar!$B$16,"Média","Baixa"))</f>
        <v>Alta</v>
      </c>
    </row>
    <row r="273" spans="1:28" x14ac:dyDescent="0.25">
      <c r="A273" t="s">
        <v>577</v>
      </c>
      <c r="B273" t="s">
        <v>288</v>
      </c>
      <c r="C273" t="s">
        <v>88</v>
      </c>
      <c r="D273" t="s">
        <v>57</v>
      </c>
      <c r="E273" t="s">
        <v>94</v>
      </c>
      <c r="F273">
        <v>21</v>
      </c>
      <c r="G273">
        <v>633</v>
      </c>
      <c r="H273">
        <v>78</v>
      </c>
      <c r="I273" t="s">
        <v>65</v>
      </c>
      <c r="J273" t="s">
        <v>98</v>
      </c>
      <c r="K273" t="s">
        <v>97</v>
      </c>
      <c r="L273" t="s">
        <v>293</v>
      </c>
      <c r="M273">
        <v>1</v>
      </c>
      <c r="N273" t="str">
        <f t="shared" si="48"/>
        <v>3. 16+ anos</v>
      </c>
      <c r="O273" t="str">
        <f t="shared" si="49"/>
        <v>4. 150+</v>
      </c>
      <c r="P273" t="str">
        <f t="shared" si="50"/>
        <v>4. 16+</v>
      </c>
      <c r="Q273">
        <f t="shared" si="51"/>
        <v>0</v>
      </c>
      <c r="R273">
        <f t="shared" si="52"/>
        <v>1</v>
      </c>
      <c r="S273">
        <f t="shared" si="53"/>
        <v>0</v>
      </c>
      <c r="V273" s="18">
        <f t="shared" si="54"/>
        <v>1</v>
      </c>
      <c r="W273" s="18">
        <f t="shared" si="55"/>
        <v>0.97272727272727277</v>
      </c>
      <c r="X273" s="18">
        <f t="shared" si="56"/>
        <v>0.97938144329896903</v>
      </c>
      <c r="Y273" s="18">
        <f t="shared" si="57"/>
        <v>0.39751552795031053</v>
      </c>
      <c r="Z273" s="18">
        <f t="shared" si="58"/>
        <v>0.56634304207119746</v>
      </c>
      <c r="AA273" s="10">
        <f t="shared" si="59"/>
        <v>0.7831934572</v>
      </c>
      <c r="AB273" t="str">
        <f>IF(AA273&gt;=Como_Avaliar!$B$15,"Alta",IF(AA273&gt;=Como_Avaliar!$B$16,"Média","Baixa"))</f>
        <v>Alta</v>
      </c>
    </row>
    <row r="274" spans="1:28" x14ac:dyDescent="0.25">
      <c r="A274" t="s">
        <v>578</v>
      </c>
      <c r="B274" t="s">
        <v>295</v>
      </c>
      <c r="C274" t="s">
        <v>84</v>
      </c>
      <c r="D274" t="s">
        <v>59</v>
      </c>
      <c r="E274" t="s">
        <v>92</v>
      </c>
      <c r="F274">
        <v>12</v>
      </c>
      <c r="G274">
        <v>59</v>
      </c>
      <c r="H274">
        <v>9</v>
      </c>
      <c r="I274" t="s">
        <v>62</v>
      </c>
      <c r="J274" t="s">
        <v>97</v>
      </c>
      <c r="K274" t="s">
        <v>98</v>
      </c>
      <c r="L274" t="s">
        <v>322</v>
      </c>
      <c r="M274">
        <v>0</v>
      </c>
      <c r="N274" t="str">
        <f t="shared" si="48"/>
        <v>2. 8 a 15 anos</v>
      </c>
      <c r="O274" t="str">
        <f t="shared" si="49"/>
        <v>3. 50 a 149</v>
      </c>
      <c r="P274" t="str">
        <f t="shared" si="50"/>
        <v>3. 6 a 15</v>
      </c>
      <c r="Q274">
        <f t="shared" si="51"/>
        <v>0</v>
      </c>
      <c r="R274">
        <f t="shared" si="52"/>
        <v>1</v>
      </c>
      <c r="S274">
        <f t="shared" si="53"/>
        <v>0</v>
      </c>
      <c r="V274" s="18">
        <f t="shared" si="54"/>
        <v>0.43835616438356162</v>
      </c>
      <c r="W274" s="18">
        <f t="shared" si="55"/>
        <v>0.55319148936170215</v>
      </c>
      <c r="X274" s="18">
        <f t="shared" si="56"/>
        <v>0.58992805755395683</v>
      </c>
      <c r="Y274" s="18">
        <f t="shared" si="57"/>
        <v>0.37662337662337664</v>
      </c>
      <c r="Z274" s="18">
        <f t="shared" si="58"/>
        <v>0.22302158273381295</v>
      </c>
      <c r="AA274" s="10">
        <f t="shared" si="59"/>
        <v>0.43622413409999999</v>
      </c>
      <c r="AB274" t="str">
        <f>IF(AA274&gt;=Como_Avaliar!$B$15,"Alta",IF(AA274&gt;=Como_Avaliar!$B$16,"Média","Baixa"))</f>
        <v>Média</v>
      </c>
    </row>
    <row r="275" spans="1:28" x14ac:dyDescent="0.25">
      <c r="A275" t="s">
        <v>579</v>
      </c>
      <c r="B275" t="s">
        <v>355</v>
      </c>
      <c r="C275" t="s">
        <v>86</v>
      </c>
      <c r="D275" t="s">
        <v>56</v>
      </c>
      <c r="E275" t="s">
        <v>91</v>
      </c>
      <c r="F275">
        <v>26</v>
      </c>
      <c r="G275">
        <v>25</v>
      </c>
      <c r="H275">
        <v>2</v>
      </c>
      <c r="I275" t="s">
        <v>65</v>
      </c>
      <c r="J275" t="s">
        <v>98</v>
      </c>
      <c r="K275" t="s">
        <v>97</v>
      </c>
      <c r="L275" t="s">
        <v>289</v>
      </c>
      <c r="M275">
        <v>0</v>
      </c>
      <c r="N275" t="str">
        <f t="shared" si="48"/>
        <v>3. 16+ anos</v>
      </c>
      <c r="O275" t="str">
        <f t="shared" si="49"/>
        <v>2. 20 a 49</v>
      </c>
      <c r="P275" t="str">
        <f t="shared" si="50"/>
        <v>1. 1 a 2</v>
      </c>
      <c r="Q275">
        <f t="shared" si="51"/>
        <v>0</v>
      </c>
      <c r="R275">
        <f t="shared" si="52"/>
        <v>0</v>
      </c>
      <c r="S275">
        <f t="shared" si="53"/>
        <v>1</v>
      </c>
      <c r="T275">
        <v>3</v>
      </c>
      <c r="U275" t="s">
        <v>138</v>
      </c>
      <c r="V275" s="18">
        <f t="shared" si="54"/>
        <v>6.8273092369477914E-2</v>
      </c>
      <c r="W275" s="18">
        <f t="shared" si="55"/>
        <v>8.6792452830188674E-2</v>
      </c>
      <c r="X275" s="18">
        <f t="shared" si="56"/>
        <v>0.25294117647058822</v>
      </c>
      <c r="Y275" s="18">
        <f t="shared" si="57"/>
        <v>0.39751552795031053</v>
      </c>
      <c r="Z275" s="18">
        <f t="shared" si="58"/>
        <v>0.56634304207119746</v>
      </c>
      <c r="AA275" s="10">
        <f t="shared" si="59"/>
        <v>0.27437305829999997</v>
      </c>
      <c r="AB275" t="str">
        <f>IF(AA275&gt;=Como_Avaliar!$B$15,"Alta",IF(AA275&gt;=Como_Avaliar!$B$16,"Média","Baixa"))</f>
        <v>Média</v>
      </c>
    </row>
    <row r="276" spans="1:28" x14ac:dyDescent="0.25">
      <c r="A276" t="s">
        <v>580</v>
      </c>
      <c r="B276" t="s">
        <v>286</v>
      </c>
      <c r="C276" t="s">
        <v>88</v>
      </c>
      <c r="D276" t="s">
        <v>56</v>
      </c>
      <c r="E276" t="s">
        <v>95</v>
      </c>
      <c r="F276">
        <v>6</v>
      </c>
      <c r="G276">
        <v>5</v>
      </c>
      <c r="H276">
        <v>1</v>
      </c>
      <c r="I276" t="s">
        <v>65</v>
      </c>
      <c r="J276" t="s">
        <v>97</v>
      </c>
      <c r="K276" t="s">
        <v>98</v>
      </c>
      <c r="L276" t="s">
        <v>322</v>
      </c>
      <c r="M276">
        <v>0</v>
      </c>
      <c r="N276" t="str">
        <f t="shared" si="48"/>
        <v>1. &lt; 8 anos</v>
      </c>
      <c r="O276" t="str">
        <f t="shared" si="49"/>
        <v>1. &lt; 20</v>
      </c>
      <c r="P276" t="str">
        <f t="shared" si="50"/>
        <v>1. 1 a 2</v>
      </c>
      <c r="Q276">
        <f t="shared" si="51"/>
        <v>0</v>
      </c>
      <c r="R276">
        <f t="shared" si="52"/>
        <v>0</v>
      </c>
      <c r="S276">
        <f t="shared" si="53"/>
        <v>0</v>
      </c>
      <c r="V276" s="18">
        <f t="shared" si="54"/>
        <v>6.8273092369477914E-2</v>
      </c>
      <c r="W276" s="18">
        <f t="shared" si="55"/>
        <v>8.6792452830188674E-2</v>
      </c>
      <c r="X276" s="18">
        <f t="shared" si="56"/>
        <v>0.10309278350515463</v>
      </c>
      <c r="Y276" s="18">
        <f t="shared" si="57"/>
        <v>0.39751552795031053</v>
      </c>
      <c r="Z276" s="18">
        <f t="shared" si="58"/>
        <v>0.22368421052631579</v>
      </c>
      <c r="AA276" s="10">
        <f t="shared" si="59"/>
        <v>0.17587161339999999</v>
      </c>
      <c r="AB276" t="str">
        <f>IF(AA276&gt;=Como_Avaliar!$B$15,"Alta",IF(AA276&gt;=Como_Avaliar!$B$16,"Média","Baixa"))</f>
        <v>Baixa</v>
      </c>
    </row>
    <row r="277" spans="1:28" x14ac:dyDescent="0.25">
      <c r="A277" t="s">
        <v>581</v>
      </c>
      <c r="B277" t="s">
        <v>286</v>
      </c>
      <c r="C277" t="s">
        <v>88</v>
      </c>
      <c r="D277" t="s">
        <v>56</v>
      </c>
      <c r="E277" t="s">
        <v>93</v>
      </c>
      <c r="F277">
        <v>23</v>
      </c>
      <c r="G277">
        <v>20</v>
      </c>
      <c r="H277">
        <v>1</v>
      </c>
      <c r="I277" t="s">
        <v>64</v>
      </c>
      <c r="J277" t="s">
        <v>97</v>
      </c>
      <c r="K277" t="s">
        <v>97</v>
      </c>
      <c r="L277" t="s">
        <v>298</v>
      </c>
      <c r="M277">
        <v>0</v>
      </c>
      <c r="N277" t="str">
        <f t="shared" si="48"/>
        <v>3. 16+ anos</v>
      </c>
      <c r="O277" t="str">
        <f t="shared" si="49"/>
        <v>2. 20 a 49</v>
      </c>
      <c r="P277" t="str">
        <f t="shared" si="50"/>
        <v>1. 1 a 2</v>
      </c>
      <c r="Q277">
        <f t="shared" si="51"/>
        <v>1</v>
      </c>
      <c r="R277">
        <f t="shared" si="52"/>
        <v>0</v>
      </c>
      <c r="S277">
        <f t="shared" si="53"/>
        <v>1</v>
      </c>
      <c r="T277">
        <v>2</v>
      </c>
      <c r="U277" t="s">
        <v>139</v>
      </c>
      <c r="V277" s="18">
        <f t="shared" si="54"/>
        <v>6.8273092369477914E-2</v>
      </c>
      <c r="W277" s="18">
        <f t="shared" si="55"/>
        <v>8.6792452830188674E-2</v>
      </c>
      <c r="X277" s="18">
        <f t="shared" si="56"/>
        <v>0.25294117647058822</v>
      </c>
      <c r="Y277" s="18">
        <f t="shared" si="57"/>
        <v>0.15625</v>
      </c>
      <c r="Z277" s="18">
        <f t="shared" si="58"/>
        <v>0.56634304207119746</v>
      </c>
      <c r="AA277" s="10">
        <f t="shared" si="59"/>
        <v>0.22611995269999999</v>
      </c>
      <c r="AB277" t="str">
        <f>IF(AA277&gt;=Como_Avaliar!$B$15,"Alta",IF(AA277&gt;=Como_Avaliar!$B$16,"Média","Baixa"))</f>
        <v>Baixa</v>
      </c>
    </row>
    <row r="278" spans="1:28" x14ac:dyDescent="0.25">
      <c r="A278" t="s">
        <v>582</v>
      </c>
      <c r="B278" t="s">
        <v>286</v>
      </c>
      <c r="C278" t="s">
        <v>88</v>
      </c>
      <c r="D278" t="s">
        <v>56</v>
      </c>
      <c r="E278" t="s">
        <v>93</v>
      </c>
      <c r="F278">
        <v>4</v>
      </c>
      <c r="G278">
        <v>4</v>
      </c>
      <c r="H278">
        <v>1</v>
      </c>
      <c r="I278" t="s">
        <v>62</v>
      </c>
      <c r="J278" t="s">
        <v>97</v>
      </c>
      <c r="K278" t="s">
        <v>97</v>
      </c>
      <c r="L278" t="s">
        <v>284</v>
      </c>
      <c r="M278">
        <v>0</v>
      </c>
      <c r="N278" t="str">
        <f t="shared" si="48"/>
        <v>1. &lt; 8 anos</v>
      </c>
      <c r="O278" t="str">
        <f t="shared" si="49"/>
        <v>1. &lt; 20</v>
      </c>
      <c r="P278" t="str">
        <f t="shared" si="50"/>
        <v>1. 1 a 2</v>
      </c>
      <c r="Q278">
        <f t="shared" si="51"/>
        <v>0</v>
      </c>
      <c r="R278">
        <f t="shared" si="52"/>
        <v>0</v>
      </c>
      <c r="S278">
        <f t="shared" si="53"/>
        <v>1</v>
      </c>
      <c r="T278">
        <v>1</v>
      </c>
      <c r="U278" t="s">
        <v>139</v>
      </c>
      <c r="V278" s="18">
        <f t="shared" si="54"/>
        <v>6.8273092369477914E-2</v>
      </c>
      <c r="W278" s="18">
        <f t="shared" si="55"/>
        <v>8.6792452830188674E-2</v>
      </c>
      <c r="X278" s="18">
        <f t="shared" si="56"/>
        <v>0.10309278350515463</v>
      </c>
      <c r="Y278" s="18">
        <f t="shared" si="57"/>
        <v>0.37662337662337664</v>
      </c>
      <c r="Z278" s="18">
        <f t="shared" si="58"/>
        <v>0.22368421052631579</v>
      </c>
      <c r="AA278" s="10">
        <f t="shared" si="59"/>
        <v>0.17169318319999999</v>
      </c>
      <c r="AB278" t="str">
        <f>IF(AA278&gt;=Como_Avaliar!$B$15,"Alta",IF(AA278&gt;=Como_Avaliar!$B$16,"Média","Baixa"))</f>
        <v>Baixa</v>
      </c>
    </row>
    <row r="279" spans="1:28" x14ac:dyDescent="0.25">
      <c r="A279" t="s">
        <v>583</v>
      </c>
      <c r="B279" t="s">
        <v>312</v>
      </c>
      <c r="C279" t="s">
        <v>89</v>
      </c>
      <c r="D279" t="s">
        <v>56</v>
      </c>
      <c r="E279" t="s">
        <v>90</v>
      </c>
      <c r="F279">
        <v>23</v>
      </c>
      <c r="G279">
        <v>5</v>
      </c>
      <c r="H279">
        <v>1</v>
      </c>
      <c r="I279" t="s">
        <v>62</v>
      </c>
      <c r="J279" t="s">
        <v>97</v>
      </c>
      <c r="K279" t="s">
        <v>97</v>
      </c>
      <c r="L279" t="s">
        <v>284</v>
      </c>
      <c r="M279">
        <v>1</v>
      </c>
      <c r="N279" t="str">
        <f t="shared" si="48"/>
        <v>3. 16+ anos</v>
      </c>
      <c r="O279" t="str">
        <f t="shared" si="49"/>
        <v>1. &lt; 20</v>
      </c>
      <c r="P279" t="str">
        <f t="shared" si="50"/>
        <v>1. 1 a 2</v>
      </c>
      <c r="Q279">
        <f t="shared" si="51"/>
        <v>0</v>
      </c>
      <c r="R279">
        <f t="shared" si="52"/>
        <v>0</v>
      </c>
      <c r="S279">
        <f t="shared" si="53"/>
        <v>0</v>
      </c>
      <c r="V279" s="18">
        <f t="shared" si="54"/>
        <v>6.8273092369477914E-2</v>
      </c>
      <c r="W279" s="18">
        <f t="shared" si="55"/>
        <v>8.6792452830188674E-2</v>
      </c>
      <c r="X279" s="18">
        <f t="shared" si="56"/>
        <v>0.10309278350515463</v>
      </c>
      <c r="Y279" s="18">
        <f t="shared" si="57"/>
        <v>0.37662337662337664</v>
      </c>
      <c r="Z279" s="18">
        <f t="shared" si="58"/>
        <v>0.56634304207119746</v>
      </c>
      <c r="AA279" s="10">
        <f t="shared" si="59"/>
        <v>0.24022494950000001</v>
      </c>
      <c r="AB279" t="str">
        <f>IF(AA279&gt;=Como_Avaliar!$B$15,"Alta",IF(AA279&gt;=Como_Avaliar!$B$16,"Média","Baixa"))</f>
        <v>Média</v>
      </c>
    </row>
    <row r="280" spans="1:28" x14ac:dyDescent="0.25">
      <c r="A280" t="s">
        <v>584</v>
      </c>
      <c r="B280" t="s">
        <v>288</v>
      </c>
      <c r="C280" t="s">
        <v>88</v>
      </c>
      <c r="D280" t="s">
        <v>56</v>
      </c>
      <c r="E280" t="s">
        <v>94</v>
      </c>
      <c r="F280">
        <v>11</v>
      </c>
      <c r="G280">
        <v>18</v>
      </c>
      <c r="H280">
        <v>2</v>
      </c>
      <c r="I280" t="s">
        <v>63</v>
      </c>
      <c r="J280" t="s">
        <v>97</v>
      </c>
      <c r="K280" t="s">
        <v>97</v>
      </c>
      <c r="L280" t="s">
        <v>329</v>
      </c>
      <c r="M280">
        <v>0</v>
      </c>
      <c r="N280" t="str">
        <f t="shared" si="48"/>
        <v>2. 8 a 15 anos</v>
      </c>
      <c r="O280" t="str">
        <f t="shared" si="49"/>
        <v>1. &lt; 20</v>
      </c>
      <c r="P280" t="str">
        <f t="shared" si="50"/>
        <v>1. 1 a 2</v>
      </c>
      <c r="Q280">
        <f t="shared" si="51"/>
        <v>1</v>
      </c>
      <c r="R280">
        <f t="shared" si="52"/>
        <v>0</v>
      </c>
      <c r="S280">
        <f t="shared" si="53"/>
        <v>1</v>
      </c>
      <c r="T280">
        <v>2</v>
      </c>
      <c r="U280" t="s">
        <v>139</v>
      </c>
      <c r="V280" s="18">
        <f t="shared" si="54"/>
        <v>6.8273092369477914E-2</v>
      </c>
      <c r="W280" s="18">
        <f t="shared" si="55"/>
        <v>8.6792452830188674E-2</v>
      </c>
      <c r="X280" s="18">
        <f t="shared" si="56"/>
        <v>0.10309278350515463</v>
      </c>
      <c r="Y280" s="18">
        <f t="shared" si="57"/>
        <v>6.5217391304347824E-2</v>
      </c>
      <c r="Z280" s="18">
        <f t="shared" si="58"/>
        <v>0.22302158273381295</v>
      </c>
      <c r="AA280" s="10">
        <f t="shared" si="59"/>
        <v>0.10927946049999999</v>
      </c>
      <c r="AB280" t="str">
        <f>IF(AA280&gt;=Como_Avaliar!$B$15,"Alta",IF(AA280&gt;=Como_Avaliar!$B$16,"Média","Baixa"))</f>
        <v>Baixa</v>
      </c>
    </row>
    <row r="281" spans="1:28" x14ac:dyDescent="0.25">
      <c r="A281" t="s">
        <v>585</v>
      </c>
      <c r="B281" t="s">
        <v>283</v>
      </c>
      <c r="C281" t="s">
        <v>89</v>
      </c>
      <c r="D281" t="s">
        <v>56</v>
      </c>
      <c r="E281" t="s">
        <v>92</v>
      </c>
      <c r="F281">
        <v>24</v>
      </c>
      <c r="G281">
        <v>4</v>
      </c>
      <c r="H281">
        <v>1</v>
      </c>
      <c r="I281" t="s">
        <v>65</v>
      </c>
      <c r="J281" t="s">
        <v>97</v>
      </c>
      <c r="K281" t="s">
        <v>98</v>
      </c>
      <c r="L281" t="s">
        <v>289</v>
      </c>
      <c r="M281">
        <v>1</v>
      </c>
      <c r="N281" t="str">
        <f t="shared" si="48"/>
        <v>3. 16+ anos</v>
      </c>
      <c r="O281" t="str">
        <f t="shared" si="49"/>
        <v>1. &lt; 20</v>
      </c>
      <c r="P281" t="str">
        <f t="shared" si="50"/>
        <v>1. 1 a 2</v>
      </c>
      <c r="Q281">
        <f t="shared" si="51"/>
        <v>0</v>
      </c>
      <c r="R281">
        <f t="shared" si="52"/>
        <v>0</v>
      </c>
      <c r="S281">
        <f t="shared" si="53"/>
        <v>0</v>
      </c>
      <c r="V281" s="18">
        <f t="shared" si="54"/>
        <v>6.8273092369477914E-2</v>
      </c>
      <c r="W281" s="18">
        <f t="shared" si="55"/>
        <v>8.6792452830188674E-2</v>
      </c>
      <c r="X281" s="18">
        <f t="shared" si="56"/>
        <v>0.10309278350515463</v>
      </c>
      <c r="Y281" s="18">
        <f t="shared" si="57"/>
        <v>0.39751552795031053</v>
      </c>
      <c r="Z281" s="18">
        <f t="shared" si="58"/>
        <v>0.56634304207119746</v>
      </c>
      <c r="AA281" s="10">
        <f t="shared" si="59"/>
        <v>0.24440337970000001</v>
      </c>
      <c r="AB281" t="str">
        <f>IF(AA281&gt;=Como_Avaliar!$B$15,"Alta",IF(AA281&gt;=Como_Avaliar!$B$16,"Média","Baixa"))</f>
        <v>Média</v>
      </c>
    </row>
    <row r="282" spans="1:28" x14ac:dyDescent="0.25">
      <c r="A282" t="s">
        <v>586</v>
      </c>
      <c r="B282" t="s">
        <v>292</v>
      </c>
      <c r="C282" t="s">
        <v>84</v>
      </c>
      <c r="D282" t="s">
        <v>59</v>
      </c>
      <c r="E282" t="s">
        <v>91</v>
      </c>
      <c r="F282">
        <v>27</v>
      </c>
      <c r="G282">
        <v>51</v>
      </c>
      <c r="H282">
        <v>6</v>
      </c>
      <c r="I282" t="s">
        <v>62</v>
      </c>
      <c r="J282" t="s">
        <v>98</v>
      </c>
      <c r="K282" t="s">
        <v>97</v>
      </c>
      <c r="L282" t="s">
        <v>284</v>
      </c>
      <c r="M282">
        <v>1</v>
      </c>
      <c r="N282" t="str">
        <f t="shared" si="48"/>
        <v>3. 16+ anos</v>
      </c>
      <c r="O282" t="str">
        <f t="shared" si="49"/>
        <v>3. 50 a 149</v>
      </c>
      <c r="P282" t="str">
        <f t="shared" si="50"/>
        <v>3. 6 a 15</v>
      </c>
      <c r="Q282">
        <f t="shared" si="51"/>
        <v>0</v>
      </c>
      <c r="R282">
        <f t="shared" si="52"/>
        <v>1</v>
      </c>
      <c r="S282">
        <f t="shared" si="53"/>
        <v>0</v>
      </c>
      <c r="V282" s="18">
        <f t="shared" si="54"/>
        <v>0.43835616438356162</v>
      </c>
      <c r="W282" s="18">
        <f t="shared" si="55"/>
        <v>0.55319148936170215</v>
      </c>
      <c r="X282" s="18">
        <f t="shared" si="56"/>
        <v>0.58992805755395683</v>
      </c>
      <c r="Y282" s="18">
        <f t="shared" si="57"/>
        <v>0.37662337662337664</v>
      </c>
      <c r="Z282" s="18">
        <f t="shared" si="58"/>
        <v>0.56634304207119746</v>
      </c>
      <c r="AA282" s="10">
        <f t="shared" si="59"/>
        <v>0.50488842599999995</v>
      </c>
      <c r="AB282" t="str">
        <f>IF(AA282&gt;=Como_Avaliar!$B$15,"Alta",IF(AA282&gt;=Como_Avaliar!$B$16,"Média","Baixa"))</f>
        <v>Alta</v>
      </c>
    </row>
    <row r="283" spans="1:28" x14ac:dyDescent="0.25">
      <c r="A283" t="s">
        <v>587</v>
      </c>
      <c r="B283" t="s">
        <v>286</v>
      </c>
      <c r="C283" t="s">
        <v>88</v>
      </c>
      <c r="D283" t="s">
        <v>56</v>
      </c>
      <c r="E283" t="s">
        <v>94</v>
      </c>
      <c r="F283">
        <v>17</v>
      </c>
      <c r="G283">
        <v>16</v>
      </c>
      <c r="H283">
        <v>1</v>
      </c>
      <c r="I283" t="s">
        <v>62</v>
      </c>
      <c r="J283" t="s">
        <v>98</v>
      </c>
      <c r="K283" t="s">
        <v>98</v>
      </c>
      <c r="L283" t="s">
        <v>329</v>
      </c>
      <c r="M283">
        <v>0</v>
      </c>
      <c r="N283" t="str">
        <f t="shared" si="48"/>
        <v>3. 16+ anos</v>
      </c>
      <c r="O283" t="str">
        <f t="shared" si="49"/>
        <v>1. &lt; 20</v>
      </c>
      <c r="P283" t="str">
        <f t="shared" si="50"/>
        <v>1. 1 a 2</v>
      </c>
      <c r="Q283">
        <f t="shared" si="51"/>
        <v>0</v>
      </c>
      <c r="R283">
        <f t="shared" si="52"/>
        <v>0</v>
      </c>
      <c r="S283">
        <f t="shared" si="53"/>
        <v>1</v>
      </c>
      <c r="T283">
        <v>2</v>
      </c>
      <c r="U283" t="s">
        <v>139</v>
      </c>
      <c r="V283" s="18">
        <f t="shared" si="54"/>
        <v>6.8273092369477914E-2</v>
      </c>
      <c r="W283" s="18">
        <f t="shared" si="55"/>
        <v>8.6792452830188674E-2</v>
      </c>
      <c r="X283" s="18">
        <f t="shared" si="56"/>
        <v>0.10309278350515463</v>
      </c>
      <c r="Y283" s="18">
        <f t="shared" si="57"/>
        <v>0.37662337662337664</v>
      </c>
      <c r="Z283" s="18">
        <f t="shared" si="58"/>
        <v>0.56634304207119746</v>
      </c>
      <c r="AA283" s="10">
        <f t="shared" si="59"/>
        <v>0.24022494950000001</v>
      </c>
      <c r="AB283" t="str">
        <f>IF(AA283&gt;=Como_Avaliar!$B$15,"Alta",IF(AA283&gt;=Como_Avaliar!$B$16,"Média","Baixa"))</f>
        <v>Média</v>
      </c>
    </row>
    <row r="284" spans="1:28" x14ac:dyDescent="0.25">
      <c r="A284" t="s">
        <v>588</v>
      </c>
      <c r="B284" t="s">
        <v>283</v>
      </c>
      <c r="C284" t="s">
        <v>89</v>
      </c>
      <c r="D284" t="s">
        <v>56</v>
      </c>
      <c r="E284" t="s">
        <v>95</v>
      </c>
      <c r="F284">
        <v>6</v>
      </c>
      <c r="G284">
        <v>8</v>
      </c>
      <c r="H284">
        <v>2</v>
      </c>
      <c r="I284" t="s">
        <v>65</v>
      </c>
      <c r="J284" t="s">
        <v>97</v>
      </c>
      <c r="K284" t="s">
        <v>97</v>
      </c>
      <c r="L284" t="s">
        <v>298</v>
      </c>
      <c r="M284">
        <v>0</v>
      </c>
      <c r="N284" t="str">
        <f t="shared" si="48"/>
        <v>1. &lt; 8 anos</v>
      </c>
      <c r="O284" t="str">
        <f t="shared" si="49"/>
        <v>1. &lt; 20</v>
      </c>
      <c r="P284" t="str">
        <f t="shared" si="50"/>
        <v>1. 1 a 2</v>
      </c>
      <c r="Q284">
        <f t="shared" si="51"/>
        <v>0</v>
      </c>
      <c r="R284">
        <f t="shared" si="52"/>
        <v>0</v>
      </c>
      <c r="S284">
        <f t="shared" si="53"/>
        <v>1</v>
      </c>
      <c r="T284">
        <v>2</v>
      </c>
      <c r="U284" t="s">
        <v>139</v>
      </c>
      <c r="V284" s="18">
        <f t="shared" si="54"/>
        <v>6.8273092369477914E-2</v>
      </c>
      <c r="W284" s="18">
        <f t="shared" si="55"/>
        <v>8.6792452830188674E-2</v>
      </c>
      <c r="X284" s="18">
        <f t="shared" si="56"/>
        <v>0.10309278350515463</v>
      </c>
      <c r="Y284" s="18">
        <f t="shared" si="57"/>
        <v>0.39751552795031053</v>
      </c>
      <c r="Z284" s="18">
        <f t="shared" si="58"/>
        <v>0.22368421052631579</v>
      </c>
      <c r="AA284" s="10">
        <f t="shared" si="59"/>
        <v>0.17587161339999999</v>
      </c>
      <c r="AB284" t="str">
        <f>IF(AA284&gt;=Como_Avaliar!$B$15,"Alta",IF(AA284&gt;=Como_Avaliar!$B$16,"Média","Baixa"))</f>
        <v>Baixa</v>
      </c>
    </row>
    <row r="285" spans="1:28" x14ac:dyDescent="0.25">
      <c r="A285" t="s">
        <v>589</v>
      </c>
      <c r="B285" t="s">
        <v>288</v>
      </c>
      <c r="C285" t="s">
        <v>88</v>
      </c>
      <c r="D285" t="s">
        <v>56</v>
      </c>
      <c r="E285" t="s">
        <v>91</v>
      </c>
      <c r="F285">
        <v>24</v>
      </c>
      <c r="G285">
        <v>7</v>
      </c>
      <c r="H285">
        <v>1</v>
      </c>
      <c r="I285" t="s">
        <v>65</v>
      </c>
      <c r="J285" t="s">
        <v>97</v>
      </c>
      <c r="K285" t="s">
        <v>98</v>
      </c>
      <c r="L285" t="s">
        <v>289</v>
      </c>
      <c r="M285">
        <v>0</v>
      </c>
      <c r="N285" t="str">
        <f t="shared" si="48"/>
        <v>3. 16+ anos</v>
      </c>
      <c r="O285" t="str">
        <f t="shared" si="49"/>
        <v>1. &lt; 20</v>
      </c>
      <c r="P285" t="str">
        <f t="shared" si="50"/>
        <v>1. 1 a 2</v>
      </c>
      <c r="Q285">
        <f t="shared" si="51"/>
        <v>0</v>
      </c>
      <c r="R285">
        <f t="shared" si="52"/>
        <v>0</v>
      </c>
      <c r="S285">
        <f t="shared" si="53"/>
        <v>1</v>
      </c>
      <c r="T285">
        <v>1</v>
      </c>
      <c r="U285" t="s">
        <v>139</v>
      </c>
      <c r="V285" s="18">
        <f t="shared" si="54"/>
        <v>6.8273092369477914E-2</v>
      </c>
      <c r="W285" s="18">
        <f t="shared" si="55"/>
        <v>8.6792452830188674E-2</v>
      </c>
      <c r="X285" s="18">
        <f t="shared" si="56"/>
        <v>0.10309278350515463</v>
      </c>
      <c r="Y285" s="18">
        <f t="shared" si="57"/>
        <v>0.39751552795031053</v>
      </c>
      <c r="Z285" s="18">
        <f t="shared" si="58"/>
        <v>0.56634304207119746</v>
      </c>
      <c r="AA285" s="10">
        <f t="shared" si="59"/>
        <v>0.24440337970000001</v>
      </c>
      <c r="AB285" t="str">
        <f>IF(AA285&gt;=Como_Avaliar!$B$15,"Alta",IF(AA285&gt;=Como_Avaliar!$B$16,"Média","Baixa"))</f>
        <v>Média</v>
      </c>
    </row>
    <row r="286" spans="1:28" x14ac:dyDescent="0.25">
      <c r="A286" t="s">
        <v>590</v>
      </c>
      <c r="B286" t="s">
        <v>305</v>
      </c>
      <c r="C286" t="s">
        <v>89</v>
      </c>
      <c r="D286" t="s">
        <v>58</v>
      </c>
      <c r="E286" t="s">
        <v>92</v>
      </c>
      <c r="F286">
        <v>5</v>
      </c>
      <c r="G286">
        <v>224</v>
      </c>
      <c r="H286">
        <v>22</v>
      </c>
      <c r="I286" t="s">
        <v>60</v>
      </c>
      <c r="J286" t="s">
        <v>97</v>
      </c>
      <c r="K286" t="s">
        <v>98</v>
      </c>
      <c r="L286" t="s">
        <v>284</v>
      </c>
      <c r="M286">
        <v>1</v>
      </c>
      <c r="N286" t="str">
        <f t="shared" si="48"/>
        <v>1. &lt; 8 anos</v>
      </c>
      <c r="O286" t="str">
        <f t="shared" si="49"/>
        <v>4. 150+</v>
      </c>
      <c r="P286" t="str">
        <f t="shared" si="50"/>
        <v>4. 16+</v>
      </c>
      <c r="Q286">
        <f t="shared" si="51"/>
        <v>0</v>
      </c>
      <c r="R286">
        <f t="shared" si="52"/>
        <v>1</v>
      </c>
      <c r="S286">
        <f t="shared" si="53"/>
        <v>0</v>
      </c>
      <c r="V286" s="18">
        <f t="shared" si="54"/>
        <v>0.93975903614457834</v>
      </c>
      <c r="W286" s="18">
        <f t="shared" si="55"/>
        <v>0.97272727272727277</v>
      </c>
      <c r="X286" s="18">
        <f t="shared" si="56"/>
        <v>0.97938144329896903</v>
      </c>
      <c r="Y286" s="18">
        <f t="shared" si="57"/>
        <v>0.65217391304347827</v>
      </c>
      <c r="Z286" s="18">
        <f t="shared" si="58"/>
        <v>0.22368421052631579</v>
      </c>
      <c r="AA286" s="10">
        <f t="shared" si="59"/>
        <v>0.75354517509999996</v>
      </c>
      <c r="AB286" t="str">
        <f>IF(AA286&gt;=Como_Avaliar!$B$15,"Alta",IF(AA286&gt;=Como_Avaliar!$B$16,"Média","Baixa"))</f>
        <v>Alta</v>
      </c>
    </row>
    <row r="287" spans="1:28" x14ac:dyDescent="0.25">
      <c r="A287" t="s">
        <v>591</v>
      </c>
      <c r="B287" t="s">
        <v>297</v>
      </c>
      <c r="C287" t="s">
        <v>86</v>
      </c>
      <c r="D287" t="s">
        <v>59</v>
      </c>
      <c r="E287" t="s">
        <v>92</v>
      </c>
      <c r="F287">
        <v>20</v>
      </c>
      <c r="G287">
        <v>68</v>
      </c>
      <c r="H287">
        <v>9</v>
      </c>
      <c r="I287" t="s">
        <v>65</v>
      </c>
      <c r="J287" t="s">
        <v>98</v>
      </c>
      <c r="K287" t="s">
        <v>97</v>
      </c>
      <c r="L287" t="s">
        <v>298</v>
      </c>
      <c r="M287">
        <v>1</v>
      </c>
      <c r="N287" t="str">
        <f t="shared" si="48"/>
        <v>3. 16+ anos</v>
      </c>
      <c r="O287" t="str">
        <f t="shared" si="49"/>
        <v>3. 50 a 149</v>
      </c>
      <c r="P287" t="str">
        <f t="shared" si="50"/>
        <v>3. 6 a 15</v>
      </c>
      <c r="Q287">
        <f t="shared" si="51"/>
        <v>0</v>
      </c>
      <c r="R287">
        <f t="shared" si="52"/>
        <v>1</v>
      </c>
      <c r="S287">
        <f t="shared" si="53"/>
        <v>0</v>
      </c>
      <c r="V287" s="18">
        <f t="shared" si="54"/>
        <v>0.43835616438356162</v>
      </c>
      <c r="W287" s="18">
        <f t="shared" si="55"/>
        <v>0.55319148936170215</v>
      </c>
      <c r="X287" s="18">
        <f t="shared" si="56"/>
        <v>0.58992805755395683</v>
      </c>
      <c r="Y287" s="18">
        <f t="shared" si="57"/>
        <v>0.39751552795031053</v>
      </c>
      <c r="Z287" s="18">
        <f t="shared" si="58"/>
        <v>0.56634304207119746</v>
      </c>
      <c r="AA287" s="10">
        <f t="shared" si="59"/>
        <v>0.50906685630000004</v>
      </c>
      <c r="AB287" t="str">
        <f>IF(AA287&gt;=Como_Avaliar!$B$15,"Alta",IF(AA287&gt;=Como_Avaliar!$B$16,"Média","Baixa"))</f>
        <v>Alta</v>
      </c>
    </row>
    <row r="288" spans="1:28" x14ac:dyDescent="0.25">
      <c r="A288" t="s">
        <v>592</v>
      </c>
      <c r="B288" t="s">
        <v>327</v>
      </c>
      <c r="C288" t="s">
        <v>86</v>
      </c>
      <c r="D288" t="s">
        <v>58</v>
      </c>
      <c r="E288" t="s">
        <v>90</v>
      </c>
      <c r="F288">
        <v>2</v>
      </c>
      <c r="G288">
        <v>155</v>
      </c>
      <c r="H288">
        <v>25</v>
      </c>
      <c r="I288" t="s">
        <v>65</v>
      </c>
      <c r="J288" t="s">
        <v>97</v>
      </c>
      <c r="K288" t="s">
        <v>98</v>
      </c>
      <c r="L288" t="s">
        <v>284</v>
      </c>
      <c r="M288">
        <v>1</v>
      </c>
      <c r="N288" t="str">
        <f t="shared" si="48"/>
        <v>1. &lt; 8 anos</v>
      </c>
      <c r="O288" t="str">
        <f t="shared" si="49"/>
        <v>4. 150+</v>
      </c>
      <c r="P288" t="str">
        <f t="shared" si="50"/>
        <v>4. 16+</v>
      </c>
      <c r="Q288">
        <f t="shared" si="51"/>
        <v>0</v>
      </c>
      <c r="R288">
        <f t="shared" si="52"/>
        <v>1</v>
      </c>
      <c r="S288">
        <f t="shared" si="53"/>
        <v>0</v>
      </c>
      <c r="V288" s="18">
        <f t="shared" si="54"/>
        <v>0.93975903614457834</v>
      </c>
      <c r="W288" s="18">
        <f t="shared" si="55"/>
        <v>0.97272727272727277</v>
      </c>
      <c r="X288" s="18">
        <f t="shared" si="56"/>
        <v>0.97938144329896903</v>
      </c>
      <c r="Y288" s="18">
        <f t="shared" si="57"/>
        <v>0.39751552795031053</v>
      </c>
      <c r="Z288" s="18">
        <f t="shared" si="58"/>
        <v>0.22368421052631579</v>
      </c>
      <c r="AA288" s="10">
        <f t="shared" si="59"/>
        <v>0.70261349809999996</v>
      </c>
      <c r="AB288" t="str">
        <f>IF(AA288&gt;=Como_Avaliar!$B$15,"Alta",IF(AA288&gt;=Como_Avaliar!$B$16,"Média","Baixa"))</f>
        <v>Alta</v>
      </c>
    </row>
    <row r="289" spans="1:28" x14ac:dyDescent="0.25">
      <c r="A289" t="s">
        <v>593</v>
      </c>
      <c r="B289" t="s">
        <v>286</v>
      </c>
      <c r="C289" t="s">
        <v>88</v>
      </c>
      <c r="D289" t="s">
        <v>58</v>
      </c>
      <c r="E289" t="s">
        <v>95</v>
      </c>
      <c r="F289">
        <v>6</v>
      </c>
      <c r="G289">
        <v>157</v>
      </c>
      <c r="H289">
        <v>24</v>
      </c>
      <c r="I289" t="s">
        <v>66</v>
      </c>
      <c r="J289" t="s">
        <v>98</v>
      </c>
      <c r="K289" t="s">
        <v>97</v>
      </c>
      <c r="L289" t="s">
        <v>284</v>
      </c>
      <c r="M289">
        <v>1</v>
      </c>
      <c r="N289" t="str">
        <f t="shared" si="48"/>
        <v>1. &lt; 8 anos</v>
      </c>
      <c r="O289" t="str">
        <f t="shared" si="49"/>
        <v>4. 150+</v>
      </c>
      <c r="P289" t="str">
        <f t="shared" si="50"/>
        <v>4. 16+</v>
      </c>
      <c r="Q289">
        <f t="shared" si="51"/>
        <v>0</v>
      </c>
      <c r="R289">
        <f t="shared" si="52"/>
        <v>1</v>
      </c>
      <c r="S289">
        <f t="shared" si="53"/>
        <v>0</v>
      </c>
      <c r="V289" s="18">
        <f t="shared" si="54"/>
        <v>0.93975903614457834</v>
      </c>
      <c r="W289" s="18">
        <f t="shared" si="55"/>
        <v>0.97272727272727277</v>
      </c>
      <c r="X289" s="18">
        <f t="shared" si="56"/>
        <v>0.97938144329896903</v>
      </c>
      <c r="Y289" s="18">
        <f t="shared" si="57"/>
        <v>1</v>
      </c>
      <c r="Z289" s="18">
        <f t="shared" si="58"/>
        <v>0.22368421052631579</v>
      </c>
      <c r="AA289" s="10">
        <f t="shared" si="59"/>
        <v>0.82311039249999995</v>
      </c>
      <c r="AB289" t="str">
        <f>IF(AA289&gt;=Como_Avaliar!$B$15,"Alta",IF(AA289&gt;=Como_Avaliar!$B$16,"Média","Baixa"))</f>
        <v>Alta</v>
      </c>
    </row>
    <row r="290" spans="1:28" x14ac:dyDescent="0.25">
      <c r="A290" t="s">
        <v>594</v>
      </c>
      <c r="B290" t="s">
        <v>301</v>
      </c>
      <c r="C290" t="s">
        <v>88</v>
      </c>
      <c r="D290" t="s">
        <v>59</v>
      </c>
      <c r="E290" t="s">
        <v>94</v>
      </c>
      <c r="F290">
        <v>22</v>
      </c>
      <c r="G290">
        <v>72</v>
      </c>
      <c r="H290">
        <v>3</v>
      </c>
      <c r="I290" t="s">
        <v>68</v>
      </c>
      <c r="J290" t="s">
        <v>97</v>
      </c>
      <c r="K290" t="s">
        <v>98</v>
      </c>
      <c r="L290" t="s">
        <v>289</v>
      </c>
      <c r="M290">
        <v>0</v>
      </c>
      <c r="N290" t="str">
        <f t="shared" si="48"/>
        <v>3. 16+ anos</v>
      </c>
      <c r="O290" t="str">
        <f t="shared" si="49"/>
        <v>3. 50 a 149</v>
      </c>
      <c r="P290" t="str">
        <f t="shared" si="50"/>
        <v>2. 3 a 5</v>
      </c>
      <c r="Q290">
        <f t="shared" si="51"/>
        <v>0</v>
      </c>
      <c r="R290">
        <f t="shared" si="52"/>
        <v>0</v>
      </c>
      <c r="S290">
        <f t="shared" si="53"/>
        <v>1</v>
      </c>
      <c r="T290">
        <v>3</v>
      </c>
      <c r="U290" t="s">
        <v>138</v>
      </c>
      <c r="V290" s="18">
        <f t="shared" si="54"/>
        <v>0.43835616438356162</v>
      </c>
      <c r="W290" s="18">
        <f t="shared" si="55"/>
        <v>0.38095238095238093</v>
      </c>
      <c r="X290" s="18">
        <f t="shared" si="56"/>
        <v>0.58992805755395683</v>
      </c>
      <c r="Y290" s="18">
        <f t="shared" si="57"/>
        <v>0.58333333333333337</v>
      </c>
      <c r="Z290" s="18">
        <f t="shared" si="58"/>
        <v>0.56634304207119746</v>
      </c>
      <c r="AA290" s="10">
        <f t="shared" si="59"/>
        <v>0.51178259569999995</v>
      </c>
      <c r="AB290" t="str">
        <f>IF(AA290&gt;=Como_Avaliar!$B$15,"Alta",IF(AA290&gt;=Como_Avaliar!$B$16,"Média","Baixa"))</f>
        <v>Alta</v>
      </c>
    </row>
    <row r="291" spans="1:28" x14ac:dyDescent="0.25">
      <c r="A291" t="s">
        <v>595</v>
      </c>
      <c r="B291" t="s">
        <v>288</v>
      </c>
      <c r="C291" t="s">
        <v>88</v>
      </c>
      <c r="D291" t="s">
        <v>59</v>
      </c>
      <c r="E291" t="s">
        <v>92</v>
      </c>
      <c r="F291">
        <v>11</v>
      </c>
      <c r="G291">
        <v>63</v>
      </c>
      <c r="H291">
        <v>3</v>
      </c>
      <c r="I291" t="s">
        <v>64</v>
      </c>
      <c r="J291" t="s">
        <v>97</v>
      </c>
      <c r="K291" t="s">
        <v>98</v>
      </c>
      <c r="L291" t="s">
        <v>298</v>
      </c>
      <c r="M291">
        <v>0</v>
      </c>
      <c r="N291" t="str">
        <f t="shared" si="48"/>
        <v>2. 8 a 15 anos</v>
      </c>
      <c r="O291" t="str">
        <f t="shared" si="49"/>
        <v>3. 50 a 149</v>
      </c>
      <c r="P291" t="str">
        <f t="shared" si="50"/>
        <v>2. 3 a 5</v>
      </c>
      <c r="Q291">
        <f t="shared" si="51"/>
        <v>1</v>
      </c>
      <c r="R291">
        <f t="shared" si="52"/>
        <v>0</v>
      </c>
      <c r="S291">
        <f t="shared" si="53"/>
        <v>1</v>
      </c>
      <c r="T291">
        <v>3</v>
      </c>
      <c r="U291" t="s">
        <v>138</v>
      </c>
      <c r="V291" s="18">
        <f t="shared" si="54"/>
        <v>0.43835616438356162</v>
      </c>
      <c r="W291" s="18">
        <f t="shared" si="55"/>
        <v>0.38095238095238093</v>
      </c>
      <c r="X291" s="18">
        <f t="shared" si="56"/>
        <v>0.58992805755395683</v>
      </c>
      <c r="Y291" s="18">
        <f t="shared" si="57"/>
        <v>0.15625</v>
      </c>
      <c r="Z291" s="18">
        <f t="shared" si="58"/>
        <v>0.22302158273381295</v>
      </c>
      <c r="AA291" s="10">
        <f t="shared" si="59"/>
        <v>0.35770163710000002</v>
      </c>
      <c r="AB291" t="str">
        <f>IF(AA291&gt;=Como_Avaliar!$B$15,"Alta",IF(AA291&gt;=Como_Avaliar!$B$16,"Média","Baixa"))</f>
        <v>Média</v>
      </c>
    </row>
    <row r="292" spans="1:28" x14ac:dyDescent="0.25">
      <c r="A292" t="s">
        <v>596</v>
      </c>
      <c r="B292" t="s">
        <v>286</v>
      </c>
      <c r="C292" t="s">
        <v>88</v>
      </c>
      <c r="D292" t="s">
        <v>58</v>
      </c>
      <c r="E292" t="s">
        <v>92</v>
      </c>
      <c r="F292">
        <v>16</v>
      </c>
      <c r="G292">
        <v>156</v>
      </c>
      <c r="H292">
        <v>16</v>
      </c>
      <c r="I292" t="s">
        <v>65</v>
      </c>
      <c r="J292" t="s">
        <v>98</v>
      </c>
      <c r="K292" t="s">
        <v>97</v>
      </c>
      <c r="L292" t="s">
        <v>293</v>
      </c>
      <c r="M292">
        <v>1</v>
      </c>
      <c r="N292" t="str">
        <f t="shared" si="48"/>
        <v>3. 16+ anos</v>
      </c>
      <c r="O292" t="str">
        <f t="shared" si="49"/>
        <v>4. 150+</v>
      </c>
      <c r="P292" t="str">
        <f t="shared" si="50"/>
        <v>4. 16+</v>
      </c>
      <c r="Q292">
        <f t="shared" si="51"/>
        <v>0</v>
      </c>
      <c r="R292">
        <f t="shared" si="52"/>
        <v>1</v>
      </c>
      <c r="S292">
        <f t="shared" si="53"/>
        <v>0</v>
      </c>
      <c r="V292" s="18">
        <f t="shared" si="54"/>
        <v>0.93975903614457834</v>
      </c>
      <c r="W292" s="18">
        <f t="shared" si="55"/>
        <v>0.97272727272727277</v>
      </c>
      <c r="X292" s="18">
        <f t="shared" si="56"/>
        <v>0.97938144329896903</v>
      </c>
      <c r="Y292" s="18">
        <f t="shared" si="57"/>
        <v>0.39751552795031053</v>
      </c>
      <c r="Z292" s="18">
        <f t="shared" si="58"/>
        <v>0.56634304207119746</v>
      </c>
      <c r="AA292" s="10">
        <f t="shared" si="59"/>
        <v>0.77114526439999997</v>
      </c>
      <c r="AB292" t="str">
        <f>IF(AA292&gt;=Como_Avaliar!$B$15,"Alta",IF(AA292&gt;=Como_Avaliar!$B$16,"Média","Baixa"))</f>
        <v>Alta</v>
      </c>
    </row>
    <row r="293" spans="1:28" x14ac:dyDescent="0.25">
      <c r="A293" t="s">
        <v>597</v>
      </c>
      <c r="B293" t="s">
        <v>314</v>
      </c>
      <c r="C293" t="s">
        <v>84</v>
      </c>
      <c r="D293" t="s">
        <v>56</v>
      </c>
      <c r="E293" t="s">
        <v>91</v>
      </c>
      <c r="F293">
        <v>16</v>
      </c>
      <c r="G293">
        <v>5</v>
      </c>
      <c r="H293">
        <v>2</v>
      </c>
      <c r="I293" t="s">
        <v>65</v>
      </c>
      <c r="J293" t="s">
        <v>97</v>
      </c>
      <c r="K293" t="s">
        <v>97</v>
      </c>
      <c r="L293" t="s">
        <v>284</v>
      </c>
      <c r="M293">
        <v>0</v>
      </c>
      <c r="N293" t="str">
        <f t="shared" si="48"/>
        <v>3. 16+ anos</v>
      </c>
      <c r="O293" t="str">
        <f t="shared" si="49"/>
        <v>1. &lt; 20</v>
      </c>
      <c r="P293" t="str">
        <f t="shared" si="50"/>
        <v>1. 1 a 2</v>
      </c>
      <c r="Q293">
        <f t="shared" si="51"/>
        <v>0</v>
      </c>
      <c r="R293">
        <f t="shared" si="52"/>
        <v>0</v>
      </c>
      <c r="S293">
        <f t="shared" si="53"/>
        <v>1</v>
      </c>
      <c r="T293">
        <v>1</v>
      </c>
      <c r="U293" t="s">
        <v>139</v>
      </c>
      <c r="V293" s="18">
        <f t="shared" si="54"/>
        <v>6.8273092369477914E-2</v>
      </c>
      <c r="W293" s="18">
        <f t="shared" si="55"/>
        <v>8.6792452830188674E-2</v>
      </c>
      <c r="X293" s="18">
        <f t="shared" si="56"/>
        <v>0.10309278350515463</v>
      </c>
      <c r="Y293" s="18">
        <f t="shared" si="57"/>
        <v>0.39751552795031053</v>
      </c>
      <c r="Z293" s="18">
        <f t="shared" si="58"/>
        <v>0.56634304207119746</v>
      </c>
      <c r="AA293" s="10">
        <f t="shared" si="59"/>
        <v>0.24440337970000001</v>
      </c>
      <c r="AB293" t="str">
        <f>IF(AA293&gt;=Como_Avaliar!$B$15,"Alta",IF(AA293&gt;=Como_Avaliar!$B$16,"Média","Baixa"))</f>
        <v>Média</v>
      </c>
    </row>
    <row r="294" spans="1:28" x14ac:dyDescent="0.25">
      <c r="A294" t="s">
        <v>598</v>
      </c>
      <c r="B294" t="s">
        <v>283</v>
      </c>
      <c r="C294" t="s">
        <v>89</v>
      </c>
      <c r="D294" t="s">
        <v>56</v>
      </c>
      <c r="E294" t="s">
        <v>92</v>
      </c>
      <c r="F294">
        <v>1</v>
      </c>
      <c r="G294">
        <v>24</v>
      </c>
      <c r="H294">
        <v>1</v>
      </c>
      <c r="I294" t="s">
        <v>64</v>
      </c>
      <c r="J294" t="s">
        <v>98</v>
      </c>
      <c r="K294" t="s">
        <v>97</v>
      </c>
      <c r="L294" t="s">
        <v>322</v>
      </c>
      <c r="M294">
        <v>0</v>
      </c>
      <c r="N294" t="str">
        <f t="shared" si="48"/>
        <v>1. &lt; 8 anos</v>
      </c>
      <c r="O294" t="str">
        <f t="shared" si="49"/>
        <v>2. 20 a 49</v>
      </c>
      <c r="P294" t="str">
        <f t="shared" si="50"/>
        <v>1. 1 a 2</v>
      </c>
      <c r="Q294">
        <f t="shared" si="51"/>
        <v>1</v>
      </c>
      <c r="R294">
        <f t="shared" si="52"/>
        <v>0</v>
      </c>
      <c r="S294">
        <f t="shared" si="53"/>
        <v>0</v>
      </c>
      <c r="V294" s="18">
        <f t="shared" si="54"/>
        <v>6.8273092369477914E-2</v>
      </c>
      <c r="W294" s="18">
        <f t="shared" si="55"/>
        <v>8.6792452830188674E-2</v>
      </c>
      <c r="X294" s="18">
        <f t="shared" si="56"/>
        <v>0.25294117647058822</v>
      </c>
      <c r="Y294" s="18">
        <f t="shared" si="57"/>
        <v>0.15625</v>
      </c>
      <c r="Z294" s="18">
        <f t="shared" si="58"/>
        <v>0.22368421052631579</v>
      </c>
      <c r="AA294" s="10">
        <f t="shared" si="59"/>
        <v>0.1575881864</v>
      </c>
      <c r="AB294" t="str">
        <f>IF(AA294&gt;=Como_Avaliar!$B$15,"Alta",IF(AA294&gt;=Como_Avaliar!$B$16,"Média","Baixa"))</f>
        <v>Baixa</v>
      </c>
    </row>
    <row r="295" spans="1:28" x14ac:dyDescent="0.25">
      <c r="A295" t="s">
        <v>599</v>
      </c>
      <c r="B295" t="s">
        <v>288</v>
      </c>
      <c r="C295" t="s">
        <v>88</v>
      </c>
      <c r="D295" t="s">
        <v>56</v>
      </c>
      <c r="E295" t="s">
        <v>90</v>
      </c>
      <c r="F295">
        <v>9</v>
      </c>
      <c r="G295">
        <v>24</v>
      </c>
      <c r="H295">
        <v>2</v>
      </c>
      <c r="I295" t="s">
        <v>64</v>
      </c>
      <c r="J295" t="s">
        <v>98</v>
      </c>
      <c r="K295" t="s">
        <v>97</v>
      </c>
      <c r="L295" t="s">
        <v>284</v>
      </c>
      <c r="M295">
        <v>0</v>
      </c>
      <c r="N295" t="str">
        <f t="shared" si="48"/>
        <v>2. 8 a 15 anos</v>
      </c>
      <c r="O295" t="str">
        <f t="shared" si="49"/>
        <v>2. 20 a 49</v>
      </c>
      <c r="P295" t="str">
        <f t="shared" si="50"/>
        <v>1. 1 a 2</v>
      </c>
      <c r="Q295">
        <f t="shared" si="51"/>
        <v>1</v>
      </c>
      <c r="R295">
        <f t="shared" si="52"/>
        <v>0</v>
      </c>
      <c r="S295">
        <f t="shared" si="53"/>
        <v>1</v>
      </c>
      <c r="T295">
        <v>2</v>
      </c>
      <c r="U295" t="s">
        <v>139</v>
      </c>
      <c r="V295" s="18">
        <f t="shared" si="54"/>
        <v>6.8273092369477914E-2</v>
      </c>
      <c r="W295" s="18">
        <f t="shared" si="55"/>
        <v>8.6792452830188674E-2</v>
      </c>
      <c r="X295" s="18">
        <f t="shared" si="56"/>
        <v>0.25294117647058822</v>
      </c>
      <c r="Y295" s="18">
        <f t="shared" si="57"/>
        <v>0.15625</v>
      </c>
      <c r="Z295" s="18">
        <f t="shared" si="58"/>
        <v>0.22302158273381295</v>
      </c>
      <c r="AA295" s="10">
        <f t="shared" si="59"/>
        <v>0.15745566089999999</v>
      </c>
      <c r="AB295" t="str">
        <f>IF(AA295&gt;=Como_Avaliar!$B$15,"Alta",IF(AA295&gt;=Como_Avaliar!$B$16,"Média","Baixa"))</f>
        <v>Baixa</v>
      </c>
    </row>
    <row r="296" spans="1:28" x14ac:dyDescent="0.25">
      <c r="A296" t="s">
        <v>600</v>
      </c>
      <c r="B296" t="s">
        <v>426</v>
      </c>
      <c r="C296" t="s">
        <v>84</v>
      </c>
      <c r="D296" t="s">
        <v>57</v>
      </c>
      <c r="E296" t="s">
        <v>94</v>
      </c>
      <c r="F296">
        <v>28</v>
      </c>
      <c r="G296">
        <v>752</v>
      </c>
      <c r="H296">
        <v>94</v>
      </c>
      <c r="I296" t="s">
        <v>66</v>
      </c>
      <c r="J296" t="s">
        <v>97</v>
      </c>
      <c r="K296" t="s">
        <v>97</v>
      </c>
      <c r="L296" t="s">
        <v>289</v>
      </c>
      <c r="M296">
        <v>1</v>
      </c>
      <c r="N296" t="str">
        <f t="shared" si="48"/>
        <v>3. 16+ anos</v>
      </c>
      <c r="O296" t="str">
        <f t="shared" si="49"/>
        <v>4. 150+</v>
      </c>
      <c r="P296" t="str">
        <f t="shared" si="50"/>
        <v>4. 16+</v>
      </c>
      <c r="Q296">
        <f t="shared" si="51"/>
        <v>0</v>
      </c>
      <c r="R296">
        <f t="shared" si="52"/>
        <v>1</v>
      </c>
      <c r="S296">
        <f t="shared" si="53"/>
        <v>0</v>
      </c>
      <c r="V296" s="18">
        <f t="shared" si="54"/>
        <v>1</v>
      </c>
      <c r="W296" s="18">
        <f t="shared" si="55"/>
        <v>0.97272727272727277</v>
      </c>
      <c r="X296" s="18">
        <f t="shared" si="56"/>
        <v>0.97938144329896903</v>
      </c>
      <c r="Y296" s="18">
        <f t="shared" si="57"/>
        <v>1</v>
      </c>
      <c r="Z296" s="18">
        <f t="shared" si="58"/>
        <v>0.56634304207119746</v>
      </c>
      <c r="AA296" s="10">
        <f t="shared" si="59"/>
        <v>0.9036903516</v>
      </c>
      <c r="AB296" t="str">
        <f>IF(AA296&gt;=Como_Avaliar!$B$15,"Alta",IF(AA296&gt;=Como_Avaliar!$B$16,"Média","Baixa"))</f>
        <v>Alta</v>
      </c>
    </row>
    <row r="297" spans="1:28" x14ac:dyDescent="0.25">
      <c r="A297" t="s">
        <v>601</v>
      </c>
      <c r="B297" t="s">
        <v>312</v>
      </c>
      <c r="C297" t="s">
        <v>89</v>
      </c>
      <c r="D297" t="s">
        <v>59</v>
      </c>
      <c r="E297" t="s">
        <v>92</v>
      </c>
      <c r="F297">
        <v>27</v>
      </c>
      <c r="G297">
        <v>32</v>
      </c>
      <c r="H297">
        <v>5</v>
      </c>
      <c r="I297" t="s">
        <v>68</v>
      </c>
      <c r="J297" t="s">
        <v>97</v>
      </c>
      <c r="K297" t="s">
        <v>97</v>
      </c>
      <c r="L297" t="s">
        <v>322</v>
      </c>
      <c r="M297">
        <v>1</v>
      </c>
      <c r="N297" t="str">
        <f t="shared" si="48"/>
        <v>3. 16+ anos</v>
      </c>
      <c r="O297" t="str">
        <f t="shared" si="49"/>
        <v>2. 20 a 49</v>
      </c>
      <c r="P297" t="str">
        <f t="shared" si="50"/>
        <v>2. 3 a 5</v>
      </c>
      <c r="Q297">
        <f t="shared" si="51"/>
        <v>0</v>
      </c>
      <c r="R297">
        <f t="shared" si="52"/>
        <v>0</v>
      </c>
      <c r="S297">
        <f t="shared" si="53"/>
        <v>0</v>
      </c>
      <c r="V297" s="18">
        <f t="shared" si="54"/>
        <v>0.43835616438356162</v>
      </c>
      <c r="W297" s="18">
        <f t="shared" si="55"/>
        <v>0.38095238095238093</v>
      </c>
      <c r="X297" s="18">
        <f t="shared" si="56"/>
        <v>0.25294117647058822</v>
      </c>
      <c r="Y297" s="18">
        <f t="shared" si="57"/>
        <v>0.58333333333333337</v>
      </c>
      <c r="Z297" s="18">
        <f t="shared" si="58"/>
        <v>0.56634304207119746</v>
      </c>
      <c r="AA297" s="10">
        <f t="shared" si="59"/>
        <v>0.44438521939999998</v>
      </c>
      <c r="AB297" t="str">
        <f>IF(AA297&gt;=Como_Avaliar!$B$15,"Alta",IF(AA297&gt;=Como_Avaliar!$B$16,"Média","Baixa"))</f>
        <v>Média</v>
      </c>
    </row>
    <row r="298" spans="1:28" x14ac:dyDescent="0.25">
      <c r="A298" t="s">
        <v>602</v>
      </c>
      <c r="B298" t="s">
        <v>301</v>
      </c>
      <c r="C298" t="s">
        <v>88</v>
      </c>
      <c r="D298" t="s">
        <v>59</v>
      </c>
      <c r="E298" t="s">
        <v>94</v>
      </c>
      <c r="F298">
        <v>6</v>
      </c>
      <c r="G298">
        <v>59</v>
      </c>
      <c r="H298">
        <v>8</v>
      </c>
      <c r="I298" t="s">
        <v>65</v>
      </c>
      <c r="J298" t="s">
        <v>98</v>
      </c>
      <c r="K298" t="s">
        <v>98</v>
      </c>
      <c r="L298" t="s">
        <v>284</v>
      </c>
      <c r="M298">
        <v>0</v>
      </c>
      <c r="N298" t="str">
        <f t="shared" si="48"/>
        <v>1. &lt; 8 anos</v>
      </c>
      <c r="O298" t="str">
        <f t="shared" si="49"/>
        <v>3. 50 a 149</v>
      </c>
      <c r="P298" t="str">
        <f t="shared" si="50"/>
        <v>3. 6 a 15</v>
      </c>
      <c r="Q298">
        <f t="shared" si="51"/>
        <v>0</v>
      </c>
      <c r="R298">
        <f t="shared" si="52"/>
        <v>1</v>
      </c>
      <c r="S298">
        <f t="shared" si="53"/>
        <v>1</v>
      </c>
      <c r="T298">
        <v>3</v>
      </c>
      <c r="U298" t="s">
        <v>138</v>
      </c>
      <c r="V298" s="18">
        <f t="shared" si="54"/>
        <v>0.43835616438356162</v>
      </c>
      <c r="W298" s="18">
        <f t="shared" si="55"/>
        <v>0.55319148936170215</v>
      </c>
      <c r="X298" s="18">
        <f t="shared" si="56"/>
        <v>0.58992805755395683</v>
      </c>
      <c r="Y298" s="18">
        <f t="shared" si="57"/>
        <v>0.39751552795031053</v>
      </c>
      <c r="Z298" s="18">
        <f t="shared" si="58"/>
        <v>0.22368421052631579</v>
      </c>
      <c r="AA298" s="10">
        <f t="shared" si="59"/>
        <v>0.44053509000000002</v>
      </c>
      <c r="AB298" t="str">
        <f>IF(AA298&gt;=Como_Avaliar!$B$15,"Alta",IF(AA298&gt;=Como_Avaliar!$B$16,"Média","Baixa"))</f>
        <v>Média</v>
      </c>
    </row>
    <row r="299" spans="1:28" x14ac:dyDescent="0.25">
      <c r="A299" t="s">
        <v>603</v>
      </c>
      <c r="B299" t="s">
        <v>286</v>
      </c>
      <c r="C299" t="s">
        <v>88</v>
      </c>
      <c r="D299" t="s">
        <v>58</v>
      </c>
      <c r="E299" t="s">
        <v>95</v>
      </c>
      <c r="F299">
        <v>16</v>
      </c>
      <c r="G299">
        <v>90</v>
      </c>
      <c r="H299">
        <v>11</v>
      </c>
      <c r="I299" t="s">
        <v>66</v>
      </c>
      <c r="J299" t="s">
        <v>98</v>
      </c>
      <c r="K299" t="s">
        <v>97</v>
      </c>
      <c r="L299" t="s">
        <v>298</v>
      </c>
      <c r="M299">
        <v>1</v>
      </c>
      <c r="N299" t="str">
        <f t="shared" si="48"/>
        <v>3. 16+ anos</v>
      </c>
      <c r="O299" t="str">
        <f t="shared" si="49"/>
        <v>3. 50 a 149</v>
      </c>
      <c r="P299" t="str">
        <f t="shared" si="50"/>
        <v>3. 6 a 15</v>
      </c>
      <c r="Q299">
        <f t="shared" si="51"/>
        <v>0</v>
      </c>
      <c r="R299">
        <f t="shared" si="52"/>
        <v>1</v>
      </c>
      <c r="S299">
        <f t="shared" si="53"/>
        <v>0</v>
      </c>
      <c r="V299" s="18">
        <f t="shared" si="54"/>
        <v>0.93975903614457834</v>
      </c>
      <c r="W299" s="18">
        <f t="shared" si="55"/>
        <v>0.55319148936170215</v>
      </c>
      <c r="X299" s="18">
        <f t="shared" si="56"/>
        <v>0.58992805755395683</v>
      </c>
      <c r="Y299" s="18">
        <f t="shared" si="57"/>
        <v>1</v>
      </c>
      <c r="Z299" s="18">
        <f t="shared" si="58"/>
        <v>0.56634304207119746</v>
      </c>
      <c r="AA299" s="10">
        <f t="shared" si="59"/>
        <v>0.72984432499999996</v>
      </c>
      <c r="AB299" t="str">
        <f>IF(AA299&gt;=Como_Avaliar!$B$15,"Alta",IF(AA299&gt;=Como_Avaliar!$B$16,"Média","Baixa"))</f>
        <v>Alta</v>
      </c>
    </row>
    <row r="300" spans="1:28" x14ac:dyDescent="0.25">
      <c r="A300" t="s">
        <v>604</v>
      </c>
      <c r="B300" t="s">
        <v>286</v>
      </c>
      <c r="C300" t="s">
        <v>88</v>
      </c>
      <c r="D300" t="s">
        <v>56</v>
      </c>
      <c r="E300" t="s">
        <v>94</v>
      </c>
      <c r="F300">
        <v>29</v>
      </c>
      <c r="G300">
        <v>8</v>
      </c>
      <c r="H300">
        <v>1</v>
      </c>
      <c r="I300" t="s">
        <v>62</v>
      </c>
      <c r="J300" t="s">
        <v>98</v>
      </c>
      <c r="K300" t="s">
        <v>98</v>
      </c>
      <c r="L300" t="s">
        <v>289</v>
      </c>
      <c r="M300">
        <v>1</v>
      </c>
      <c r="N300" t="str">
        <f t="shared" si="48"/>
        <v>3. 16+ anos</v>
      </c>
      <c r="O300" t="str">
        <f t="shared" si="49"/>
        <v>1. &lt; 20</v>
      </c>
      <c r="P300" t="str">
        <f t="shared" si="50"/>
        <v>1. 1 a 2</v>
      </c>
      <c r="Q300">
        <f t="shared" si="51"/>
        <v>0</v>
      </c>
      <c r="R300">
        <f t="shared" si="52"/>
        <v>0</v>
      </c>
      <c r="S300">
        <f t="shared" si="53"/>
        <v>0</v>
      </c>
      <c r="V300" s="18">
        <f t="shared" si="54"/>
        <v>6.8273092369477914E-2</v>
      </c>
      <c r="W300" s="18">
        <f t="shared" si="55"/>
        <v>8.6792452830188674E-2</v>
      </c>
      <c r="X300" s="18">
        <f t="shared" si="56"/>
        <v>0.10309278350515463</v>
      </c>
      <c r="Y300" s="18">
        <f t="shared" si="57"/>
        <v>0.37662337662337664</v>
      </c>
      <c r="Z300" s="18">
        <f t="shared" si="58"/>
        <v>0.56634304207119746</v>
      </c>
      <c r="AA300" s="10">
        <f t="shared" si="59"/>
        <v>0.24022494950000001</v>
      </c>
      <c r="AB300" t="str">
        <f>IF(AA300&gt;=Como_Avaliar!$B$15,"Alta",IF(AA300&gt;=Como_Avaliar!$B$16,"Média","Baixa"))</f>
        <v>Média</v>
      </c>
    </row>
    <row r="301" spans="1:28" x14ac:dyDescent="0.25">
      <c r="A301" t="s">
        <v>605</v>
      </c>
      <c r="B301" t="s">
        <v>297</v>
      </c>
      <c r="C301" t="s">
        <v>86</v>
      </c>
      <c r="D301" t="s">
        <v>56</v>
      </c>
      <c r="E301" t="s">
        <v>91</v>
      </c>
      <c r="F301">
        <v>3</v>
      </c>
      <c r="G301">
        <v>20</v>
      </c>
      <c r="H301">
        <v>2</v>
      </c>
      <c r="I301" t="s">
        <v>63</v>
      </c>
      <c r="J301" t="s">
        <v>98</v>
      </c>
      <c r="K301" t="s">
        <v>98</v>
      </c>
      <c r="L301" t="s">
        <v>322</v>
      </c>
      <c r="M301">
        <v>0</v>
      </c>
      <c r="N301" t="str">
        <f t="shared" si="48"/>
        <v>1. &lt; 8 anos</v>
      </c>
      <c r="O301" t="str">
        <f t="shared" si="49"/>
        <v>2. 20 a 49</v>
      </c>
      <c r="P301" t="str">
        <f t="shared" si="50"/>
        <v>1. 1 a 2</v>
      </c>
      <c r="Q301">
        <f t="shared" si="51"/>
        <v>1</v>
      </c>
      <c r="R301">
        <f t="shared" si="52"/>
        <v>0</v>
      </c>
      <c r="S301">
        <f t="shared" si="53"/>
        <v>0</v>
      </c>
      <c r="V301" s="18">
        <f t="shared" si="54"/>
        <v>6.8273092369477914E-2</v>
      </c>
      <c r="W301" s="18">
        <f t="shared" si="55"/>
        <v>8.6792452830188674E-2</v>
      </c>
      <c r="X301" s="18">
        <f t="shared" si="56"/>
        <v>0.25294117647058822</v>
      </c>
      <c r="Y301" s="18">
        <f t="shared" si="57"/>
        <v>6.5217391304347824E-2</v>
      </c>
      <c r="Z301" s="18">
        <f t="shared" si="58"/>
        <v>0.22368421052631579</v>
      </c>
      <c r="AA301" s="10">
        <f t="shared" si="59"/>
        <v>0.13938166469999999</v>
      </c>
      <c r="AB301" t="str">
        <f>IF(AA301&gt;=Como_Avaliar!$B$15,"Alta",IF(AA301&gt;=Como_Avaliar!$B$16,"Média","Baixa"))</f>
        <v>Baixa</v>
      </c>
    </row>
    <row r="302" spans="1:28" x14ac:dyDescent="0.25">
      <c r="A302" t="s">
        <v>606</v>
      </c>
      <c r="B302" t="s">
        <v>297</v>
      </c>
      <c r="C302" t="s">
        <v>86</v>
      </c>
      <c r="D302" t="s">
        <v>56</v>
      </c>
      <c r="E302" t="s">
        <v>93</v>
      </c>
      <c r="F302">
        <v>20</v>
      </c>
      <c r="G302">
        <v>15</v>
      </c>
      <c r="H302">
        <v>1</v>
      </c>
      <c r="I302" t="s">
        <v>61</v>
      </c>
      <c r="J302" t="s">
        <v>97</v>
      </c>
      <c r="K302" t="s">
        <v>97</v>
      </c>
      <c r="L302" t="s">
        <v>284</v>
      </c>
      <c r="M302">
        <v>0</v>
      </c>
      <c r="N302" t="str">
        <f t="shared" si="48"/>
        <v>3. 16+ anos</v>
      </c>
      <c r="O302" t="str">
        <f t="shared" si="49"/>
        <v>1. &lt; 20</v>
      </c>
      <c r="P302" t="str">
        <f t="shared" si="50"/>
        <v>1. 1 a 2</v>
      </c>
      <c r="Q302">
        <f t="shared" si="51"/>
        <v>1</v>
      </c>
      <c r="R302">
        <f t="shared" si="52"/>
        <v>0</v>
      </c>
      <c r="S302">
        <f t="shared" si="53"/>
        <v>1</v>
      </c>
      <c r="T302">
        <v>2</v>
      </c>
      <c r="U302" t="s">
        <v>139</v>
      </c>
      <c r="V302" s="18">
        <f t="shared" si="54"/>
        <v>6.8273092369477914E-2</v>
      </c>
      <c r="W302" s="18">
        <f t="shared" si="55"/>
        <v>8.6792452830188674E-2</v>
      </c>
      <c r="X302" s="18">
        <f t="shared" si="56"/>
        <v>0.10309278350515463</v>
      </c>
      <c r="Y302" s="18">
        <f t="shared" si="57"/>
        <v>0</v>
      </c>
      <c r="Z302" s="18">
        <f t="shared" si="58"/>
        <v>0.56634304207119746</v>
      </c>
      <c r="AA302" s="10">
        <f t="shared" si="59"/>
        <v>0.1649002742</v>
      </c>
      <c r="AB302" t="str">
        <f>IF(AA302&gt;=Como_Avaliar!$B$15,"Alta",IF(AA302&gt;=Como_Avaliar!$B$16,"Média","Baixa"))</f>
        <v>Baixa</v>
      </c>
    </row>
    <row r="303" spans="1:28" x14ac:dyDescent="0.25">
      <c r="A303" t="s">
        <v>607</v>
      </c>
      <c r="B303" t="s">
        <v>305</v>
      </c>
      <c r="C303" t="s">
        <v>89</v>
      </c>
      <c r="D303" t="s">
        <v>59</v>
      </c>
      <c r="E303" t="s">
        <v>94</v>
      </c>
      <c r="F303">
        <v>28</v>
      </c>
      <c r="G303">
        <v>31</v>
      </c>
      <c r="H303">
        <v>9</v>
      </c>
      <c r="I303" t="s">
        <v>62</v>
      </c>
      <c r="J303" t="s">
        <v>97</v>
      </c>
      <c r="K303" t="s">
        <v>98</v>
      </c>
      <c r="L303" t="s">
        <v>322</v>
      </c>
      <c r="M303">
        <v>1</v>
      </c>
      <c r="N303" t="str">
        <f t="shared" si="48"/>
        <v>3. 16+ anos</v>
      </c>
      <c r="O303" t="str">
        <f t="shared" si="49"/>
        <v>2. 20 a 49</v>
      </c>
      <c r="P303" t="str">
        <f t="shared" si="50"/>
        <v>3. 6 a 15</v>
      </c>
      <c r="Q303">
        <f t="shared" si="51"/>
        <v>0</v>
      </c>
      <c r="R303">
        <f t="shared" si="52"/>
        <v>0</v>
      </c>
      <c r="S303">
        <f t="shared" si="53"/>
        <v>0</v>
      </c>
      <c r="V303" s="18">
        <f t="shared" si="54"/>
        <v>0.43835616438356162</v>
      </c>
      <c r="W303" s="18">
        <f t="shared" si="55"/>
        <v>0.55319148936170215</v>
      </c>
      <c r="X303" s="18">
        <f t="shared" si="56"/>
        <v>0.25294117647058822</v>
      </c>
      <c r="Y303" s="18">
        <f t="shared" si="57"/>
        <v>0.37662337662337664</v>
      </c>
      <c r="Z303" s="18">
        <f t="shared" si="58"/>
        <v>0.56634304207119746</v>
      </c>
      <c r="AA303" s="10">
        <f t="shared" si="59"/>
        <v>0.43749104979999998</v>
      </c>
      <c r="AB303" t="str">
        <f>IF(AA303&gt;=Como_Avaliar!$B$15,"Alta",IF(AA303&gt;=Como_Avaliar!$B$16,"Média","Baixa"))</f>
        <v>Média</v>
      </c>
    </row>
    <row r="304" spans="1:28" x14ac:dyDescent="0.25">
      <c r="A304" t="s">
        <v>608</v>
      </c>
      <c r="B304" t="s">
        <v>327</v>
      </c>
      <c r="C304" t="s">
        <v>86</v>
      </c>
      <c r="D304" t="s">
        <v>59</v>
      </c>
      <c r="E304" t="s">
        <v>91</v>
      </c>
      <c r="F304">
        <v>27</v>
      </c>
      <c r="G304">
        <v>43</v>
      </c>
      <c r="H304">
        <v>6</v>
      </c>
      <c r="I304" t="s">
        <v>68</v>
      </c>
      <c r="J304" t="s">
        <v>97</v>
      </c>
      <c r="K304" t="s">
        <v>97</v>
      </c>
      <c r="L304" t="s">
        <v>284</v>
      </c>
      <c r="M304">
        <v>0</v>
      </c>
      <c r="N304" t="str">
        <f t="shared" si="48"/>
        <v>3. 16+ anos</v>
      </c>
      <c r="O304" t="str">
        <f t="shared" si="49"/>
        <v>2. 20 a 49</v>
      </c>
      <c r="P304" t="str">
        <f t="shared" si="50"/>
        <v>3. 6 a 15</v>
      </c>
      <c r="Q304">
        <f t="shared" si="51"/>
        <v>0</v>
      </c>
      <c r="R304">
        <f t="shared" si="52"/>
        <v>0</v>
      </c>
      <c r="S304">
        <f t="shared" si="53"/>
        <v>1</v>
      </c>
      <c r="T304">
        <v>3</v>
      </c>
      <c r="U304" t="s">
        <v>138</v>
      </c>
      <c r="V304" s="18">
        <f t="shared" si="54"/>
        <v>0.43835616438356162</v>
      </c>
      <c r="W304" s="18">
        <f t="shared" si="55"/>
        <v>0.55319148936170215</v>
      </c>
      <c r="X304" s="18">
        <f t="shared" si="56"/>
        <v>0.25294117647058822</v>
      </c>
      <c r="Y304" s="18">
        <f t="shared" si="57"/>
        <v>0.58333333333333337</v>
      </c>
      <c r="Z304" s="18">
        <f t="shared" si="58"/>
        <v>0.56634304207119746</v>
      </c>
      <c r="AA304" s="10">
        <f t="shared" si="59"/>
        <v>0.47883304110000002</v>
      </c>
      <c r="AB304" t="str">
        <f>IF(AA304&gt;=Como_Avaliar!$B$15,"Alta",IF(AA304&gt;=Como_Avaliar!$B$16,"Média","Baixa"))</f>
        <v>Alta</v>
      </c>
    </row>
    <row r="305" spans="1:28" x14ac:dyDescent="0.25">
      <c r="A305" t="s">
        <v>609</v>
      </c>
      <c r="B305" t="s">
        <v>312</v>
      </c>
      <c r="C305" t="s">
        <v>89</v>
      </c>
      <c r="D305" t="s">
        <v>56</v>
      </c>
      <c r="E305" t="s">
        <v>94</v>
      </c>
      <c r="F305">
        <v>4</v>
      </c>
      <c r="G305">
        <v>3</v>
      </c>
      <c r="H305">
        <v>2</v>
      </c>
      <c r="I305" t="s">
        <v>65</v>
      </c>
      <c r="J305" t="s">
        <v>97</v>
      </c>
      <c r="K305" t="s">
        <v>97</v>
      </c>
      <c r="L305" t="s">
        <v>284</v>
      </c>
      <c r="M305">
        <v>0</v>
      </c>
      <c r="N305" t="str">
        <f t="shared" si="48"/>
        <v>1. &lt; 8 anos</v>
      </c>
      <c r="O305" t="str">
        <f t="shared" si="49"/>
        <v>1. &lt; 20</v>
      </c>
      <c r="P305" t="str">
        <f t="shared" si="50"/>
        <v>1. 1 a 2</v>
      </c>
      <c r="Q305">
        <f t="shared" si="51"/>
        <v>0</v>
      </c>
      <c r="R305">
        <f t="shared" si="52"/>
        <v>0</v>
      </c>
      <c r="S305">
        <f t="shared" si="53"/>
        <v>1</v>
      </c>
      <c r="T305">
        <v>1</v>
      </c>
      <c r="U305" t="s">
        <v>139</v>
      </c>
      <c r="V305" s="18">
        <f t="shared" si="54"/>
        <v>6.8273092369477914E-2</v>
      </c>
      <c r="W305" s="18">
        <f t="shared" si="55"/>
        <v>8.6792452830188674E-2</v>
      </c>
      <c r="X305" s="18">
        <f t="shared" si="56"/>
        <v>0.10309278350515463</v>
      </c>
      <c r="Y305" s="18">
        <f t="shared" si="57"/>
        <v>0.39751552795031053</v>
      </c>
      <c r="Z305" s="18">
        <f t="shared" si="58"/>
        <v>0.22368421052631579</v>
      </c>
      <c r="AA305" s="10">
        <f t="shared" si="59"/>
        <v>0.17587161339999999</v>
      </c>
      <c r="AB305" t="str">
        <f>IF(AA305&gt;=Como_Avaliar!$B$15,"Alta",IF(AA305&gt;=Como_Avaliar!$B$16,"Média","Baixa"))</f>
        <v>Baixa</v>
      </c>
    </row>
    <row r="306" spans="1:28" x14ac:dyDescent="0.25">
      <c r="A306" t="s">
        <v>610</v>
      </c>
      <c r="B306" t="s">
        <v>286</v>
      </c>
      <c r="C306" t="s">
        <v>88</v>
      </c>
      <c r="D306" t="s">
        <v>58</v>
      </c>
      <c r="E306" t="s">
        <v>94</v>
      </c>
      <c r="F306">
        <v>19</v>
      </c>
      <c r="G306">
        <v>65</v>
      </c>
      <c r="H306">
        <v>10</v>
      </c>
      <c r="I306" t="s">
        <v>68</v>
      </c>
      <c r="J306" t="s">
        <v>98</v>
      </c>
      <c r="K306" t="s">
        <v>97</v>
      </c>
      <c r="L306" t="s">
        <v>298</v>
      </c>
      <c r="M306">
        <v>1</v>
      </c>
      <c r="N306" t="str">
        <f t="shared" si="48"/>
        <v>3. 16+ anos</v>
      </c>
      <c r="O306" t="str">
        <f t="shared" si="49"/>
        <v>3. 50 a 149</v>
      </c>
      <c r="P306" t="str">
        <f t="shared" si="50"/>
        <v>3. 6 a 15</v>
      </c>
      <c r="Q306">
        <f t="shared" si="51"/>
        <v>0</v>
      </c>
      <c r="R306">
        <f t="shared" si="52"/>
        <v>1</v>
      </c>
      <c r="S306">
        <f t="shared" si="53"/>
        <v>0</v>
      </c>
      <c r="V306" s="18">
        <f t="shared" si="54"/>
        <v>0.93975903614457834</v>
      </c>
      <c r="W306" s="18">
        <f t="shared" si="55"/>
        <v>0.55319148936170215</v>
      </c>
      <c r="X306" s="18">
        <f t="shared" si="56"/>
        <v>0.58992805755395683</v>
      </c>
      <c r="Y306" s="18">
        <f t="shared" si="57"/>
        <v>0.58333333333333337</v>
      </c>
      <c r="Z306" s="18">
        <f t="shared" si="58"/>
        <v>0.56634304207119746</v>
      </c>
      <c r="AA306" s="10">
        <f t="shared" si="59"/>
        <v>0.64651099170000004</v>
      </c>
      <c r="AB306" t="str">
        <f>IF(AA306&gt;=Como_Avaliar!$B$15,"Alta",IF(AA306&gt;=Como_Avaliar!$B$16,"Média","Baixa"))</f>
        <v>Alta</v>
      </c>
    </row>
    <row r="307" spans="1:28" x14ac:dyDescent="0.25">
      <c r="A307" t="s">
        <v>611</v>
      </c>
      <c r="B307" t="s">
        <v>286</v>
      </c>
      <c r="C307" t="s">
        <v>88</v>
      </c>
      <c r="D307" t="s">
        <v>59</v>
      </c>
      <c r="E307" t="s">
        <v>94</v>
      </c>
      <c r="F307">
        <v>26</v>
      </c>
      <c r="G307">
        <v>53</v>
      </c>
      <c r="H307">
        <v>9</v>
      </c>
      <c r="I307" t="s">
        <v>62</v>
      </c>
      <c r="J307" t="s">
        <v>98</v>
      </c>
      <c r="K307" t="s">
        <v>97</v>
      </c>
      <c r="L307" t="s">
        <v>298</v>
      </c>
      <c r="M307">
        <v>1</v>
      </c>
      <c r="N307" t="str">
        <f t="shared" si="48"/>
        <v>3. 16+ anos</v>
      </c>
      <c r="O307" t="str">
        <f t="shared" si="49"/>
        <v>3. 50 a 149</v>
      </c>
      <c r="P307" t="str">
        <f t="shared" si="50"/>
        <v>3. 6 a 15</v>
      </c>
      <c r="Q307">
        <f t="shared" si="51"/>
        <v>0</v>
      </c>
      <c r="R307">
        <f t="shared" si="52"/>
        <v>1</v>
      </c>
      <c r="S307">
        <f t="shared" si="53"/>
        <v>0</v>
      </c>
      <c r="V307" s="18">
        <f t="shared" si="54"/>
        <v>0.43835616438356162</v>
      </c>
      <c r="W307" s="18">
        <f t="shared" si="55"/>
        <v>0.55319148936170215</v>
      </c>
      <c r="X307" s="18">
        <f t="shared" si="56"/>
        <v>0.58992805755395683</v>
      </c>
      <c r="Y307" s="18">
        <f t="shared" si="57"/>
        <v>0.37662337662337664</v>
      </c>
      <c r="Z307" s="18">
        <f t="shared" si="58"/>
        <v>0.56634304207119746</v>
      </c>
      <c r="AA307" s="10">
        <f t="shared" si="59"/>
        <v>0.50488842599999995</v>
      </c>
      <c r="AB307" t="str">
        <f>IF(AA307&gt;=Como_Avaliar!$B$15,"Alta",IF(AA307&gt;=Como_Avaliar!$B$16,"Média","Baixa"))</f>
        <v>Alta</v>
      </c>
    </row>
    <row r="308" spans="1:28" x14ac:dyDescent="0.25">
      <c r="A308" t="s">
        <v>612</v>
      </c>
      <c r="B308" t="s">
        <v>288</v>
      </c>
      <c r="C308" t="s">
        <v>88</v>
      </c>
      <c r="D308" t="s">
        <v>59</v>
      </c>
      <c r="E308" t="s">
        <v>94</v>
      </c>
      <c r="F308">
        <v>3</v>
      </c>
      <c r="G308">
        <v>74</v>
      </c>
      <c r="H308">
        <v>3</v>
      </c>
      <c r="I308" t="s">
        <v>65</v>
      </c>
      <c r="J308" t="s">
        <v>98</v>
      </c>
      <c r="K308" t="s">
        <v>97</v>
      </c>
      <c r="L308" t="s">
        <v>284</v>
      </c>
      <c r="M308">
        <v>0</v>
      </c>
      <c r="N308" t="str">
        <f t="shared" si="48"/>
        <v>1. &lt; 8 anos</v>
      </c>
      <c r="O308" t="str">
        <f t="shared" si="49"/>
        <v>3. 50 a 149</v>
      </c>
      <c r="P308" t="str">
        <f t="shared" si="50"/>
        <v>2. 3 a 5</v>
      </c>
      <c r="Q308">
        <f t="shared" si="51"/>
        <v>0</v>
      </c>
      <c r="R308">
        <f t="shared" si="52"/>
        <v>0</v>
      </c>
      <c r="S308">
        <f t="shared" si="53"/>
        <v>1</v>
      </c>
      <c r="T308">
        <v>3</v>
      </c>
      <c r="U308" t="s">
        <v>138</v>
      </c>
      <c r="V308" s="18">
        <f t="shared" si="54"/>
        <v>0.43835616438356162</v>
      </c>
      <c r="W308" s="18">
        <f t="shared" si="55"/>
        <v>0.38095238095238093</v>
      </c>
      <c r="X308" s="18">
        <f t="shared" si="56"/>
        <v>0.58992805755395683</v>
      </c>
      <c r="Y308" s="18">
        <f t="shared" si="57"/>
        <v>0.39751552795031053</v>
      </c>
      <c r="Z308" s="18">
        <f t="shared" si="58"/>
        <v>0.22368421052631579</v>
      </c>
      <c r="AA308" s="10">
        <f t="shared" si="59"/>
        <v>0.40608726830000003</v>
      </c>
      <c r="AB308" t="str">
        <f>IF(AA308&gt;=Como_Avaliar!$B$15,"Alta",IF(AA308&gt;=Como_Avaliar!$B$16,"Média","Baixa"))</f>
        <v>Média</v>
      </c>
    </row>
    <row r="309" spans="1:28" x14ac:dyDescent="0.25">
      <c r="A309" t="s">
        <v>613</v>
      </c>
      <c r="B309" t="s">
        <v>297</v>
      </c>
      <c r="C309" t="s">
        <v>86</v>
      </c>
      <c r="D309" t="s">
        <v>59</v>
      </c>
      <c r="E309" t="s">
        <v>91</v>
      </c>
      <c r="F309">
        <v>19</v>
      </c>
      <c r="G309">
        <v>69</v>
      </c>
      <c r="H309">
        <v>5</v>
      </c>
      <c r="I309" t="s">
        <v>65</v>
      </c>
      <c r="J309" t="s">
        <v>98</v>
      </c>
      <c r="K309" t="s">
        <v>97</v>
      </c>
      <c r="L309" t="s">
        <v>298</v>
      </c>
      <c r="M309">
        <v>0</v>
      </c>
      <c r="N309" t="str">
        <f t="shared" si="48"/>
        <v>3. 16+ anos</v>
      </c>
      <c r="O309" t="str">
        <f t="shared" si="49"/>
        <v>3. 50 a 149</v>
      </c>
      <c r="P309" t="str">
        <f t="shared" si="50"/>
        <v>2. 3 a 5</v>
      </c>
      <c r="Q309">
        <f t="shared" si="51"/>
        <v>0</v>
      </c>
      <c r="R309">
        <f t="shared" si="52"/>
        <v>0</v>
      </c>
      <c r="S309">
        <f t="shared" si="53"/>
        <v>1</v>
      </c>
      <c r="T309">
        <v>3</v>
      </c>
      <c r="U309" t="s">
        <v>138</v>
      </c>
      <c r="V309" s="18">
        <f t="shared" si="54"/>
        <v>0.43835616438356162</v>
      </c>
      <c r="W309" s="18">
        <f t="shared" si="55"/>
        <v>0.38095238095238093</v>
      </c>
      <c r="X309" s="18">
        <f t="shared" si="56"/>
        <v>0.58992805755395683</v>
      </c>
      <c r="Y309" s="18">
        <f t="shared" si="57"/>
        <v>0.39751552795031053</v>
      </c>
      <c r="Z309" s="18">
        <f t="shared" si="58"/>
        <v>0.56634304207119746</v>
      </c>
      <c r="AA309" s="10">
        <f t="shared" si="59"/>
        <v>0.47461903459999999</v>
      </c>
      <c r="AB309" t="str">
        <f>IF(AA309&gt;=Como_Avaliar!$B$15,"Alta",IF(AA309&gt;=Como_Avaliar!$B$16,"Média","Baixa"))</f>
        <v>Média</v>
      </c>
    </row>
    <row r="310" spans="1:28" x14ac:dyDescent="0.25">
      <c r="A310" t="s">
        <v>614</v>
      </c>
      <c r="B310" t="s">
        <v>314</v>
      </c>
      <c r="C310" t="s">
        <v>84</v>
      </c>
      <c r="D310" t="s">
        <v>59</v>
      </c>
      <c r="E310" t="s">
        <v>91</v>
      </c>
      <c r="F310">
        <v>20</v>
      </c>
      <c r="G310">
        <v>63</v>
      </c>
      <c r="H310">
        <v>5</v>
      </c>
      <c r="I310" t="s">
        <v>62</v>
      </c>
      <c r="J310" t="s">
        <v>97</v>
      </c>
      <c r="K310" t="s">
        <v>97</v>
      </c>
      <c r="L310" t="s">
        <v>284</v>
      </c>
      <c r="M310">
        <v>1</v>
      </c>
      <c r="N310" t="str">
        <f t="shared" si="48"/>
        <v>3. 16+ anos</v>
      </c>
      <c r="O310" t="str">
        <f t="shared" si="49"/>
        <v>3. 50 a 149</v>
      </c>
      <c r="P310" t="str">
        <f t="shared" si="50"/>
        <v>2. 3 a 5</v>
      </c>
      <c r="Q310">
        <f t="shared" si="51"/>
        <v>0</v>
      </c>
      <c r="R310">
        <f t="shared" si="52"/>
        <v>0</v>
      </c>
      <c r="S310">
        <f t="shared" si="53"/>
        <v>0</v>
      </c>
      <c r="V310" s="18">
        <f t="shared" si="54"/>
        <v>0.43835616438356162</v>
      </c>
      <c r="W310" s="18">
        <f t="shared" si="55"/>
        <v>0.38095238095238093</v>
      </c>
      <c r="X310" s="18">
        <f t="shared" si="56"/>
        <v>0.58992805755395683</v>
      </c>
      <c r="Y310" s="18">
        <f t="shared" si="57"/>
        <v>0.37662337662337664</v>
      </c>
      <c r="Z310" s="18">
        <f t="shared" si="58"/>
        <v>0.56634304207119746</v>
      </c>
      <c r="AA310" s="10">
        <f t="shared" si="59"/>
        <v>0.47044060430000001</v>
      </c>
      <c r="AB310" t="str">
        <f>IF(AA310&gt;=Como_Avaliar!$B$15,"Alta",IF(AA310&gt;=Como_Avaliar!$B$16,"Média","Baixa"))</f>
        <v>Média</v>
      </c>
    </row>
    <row r="311" spans="1:28" x14ac:dyDescent="0.25">
      <c r="A311" t="s">
        <v>615</v>
      </c>
      <c r="B311" t="s">
        <v>327</v>
      </c>
      <c r="C311" t="s">
        <v>86</v>
      </c>
      <c r="D311" t="s">
        <v>59</v>
      </c>
      <c r="E311" t="s">
        <v>92</v>
      </c>
      <c r="F311">
        <v>7</v>
      </c>
      <c r="G311">
        <v>44</v>
      </c>
      <c r="H311">
        <v>7</v>
      </c>
      <c r="I311" t="s">
        <v>65</v>
      </c>
      <c r="J311" t="s">
        <v>97</v>
      </c>
      <c r="K311" t="s">
        <v>97</v>
      </c>
      <c r="L311" t="s">
        <v>284</v>
      </c>
      <c r="M311">
        <v>0</v>
      </c>
      <c r="N311" t="str">
        <f t="shared" si="48"/>
        <v>1. &lt; 8 anos</v>
      </c>
      <c r="O311" t="str">
        <f t="shared" si="49"/>
        <v>2. 20 a 49</v>
      </c>
      <c r="P311" t="str">
        <f t="shared" si="50"/>
        <v>3. 6 a 15</v>
      </c>
      <c r="Q311">
        <f t="shared" si="51"/>
        <v>0</v>
      </c>
      <c r="R311">
        <f t="shared" si="52"/>
        <v>0</v>
      </c>
      <c r="S311">
        <f t="shared" si="53"/>
        <v>1</v>
      </c>
      <c r="T311">
        <v>3</v>
      </c>
      <c r="U311" t="s">
        <v>138</v>
      </c>
      <c r="V311" s="18">
        <f t="shared" si="54"/>
        <v>0.43835616438356162</v>
      </c>
      <c r="W311" s="18">
        <f t="shared" si="55"/>
        <v>0.55319148936170215</v>
      </c>
      <c r="X311" s="18">
        <f t="shared" si="56"/>
        <v>0.25294117647058822</v>
      </c>
      <c r="Y311" s="18">
        <f t="shared" si="57"/>
        <v>0.39751552795031053</v>
      </c>
      <c r="Z311" s="18">
        <f t="shared" si="58"/>
        <v>0.22368421052631579</v>
      </c>
      <c r="AA311" s="10">
        <f t="shared" si="59"/>
        <v>0.37313771369999998</v>
      </c>
      <c r="AB311" t="str">
        <f>IF(AA311&gt;=Como_Avaliar!$B$15,"Alta",IF(AA311&gt;=Como_Avaliar!$B$16,"Média","Baixa"))</f>
        <v>Média</v>
      </c>
    </row>
    <row r="312" spans="1:28" x14ac:dyDescent="0.25">
      <c r="A312" t="s">
        <v>616</v>
      </c>
      <c r="B312" t="s">
        <v>297</v>
      </c>
      <c r="C312" t="s">
        <v>86</v>
      </c>
      <c r="D312" t="s">
        <v>56</v>
      </c>
      <c r="E312" t="s">
        <v>91</v>
      </c>
      <c r="F312">
        <v>20</v>
      </c>
      <c r="G312">
        <v>10</v>
      </c>
      <c r="H312">
        <v>2</v>
      </c>
      <c r="I312" t="s">
        <v>63</v>
      </c>
      <c r="J312" t="s">
        <v>97</v>
      </c>
      <c r="K312" t="s">
        <v>97</v>
      </c>
      <c r="L312" t="s">
        <v>293</v>
      </c>
      <c r="M312">
        <v>0</v>
      </c>
      <c r="N312" t="str">
        <f t="shared" si="48"/>
        <v>3. 16+ anos</v>
      </c>
      <c r="O312" t="str">
        <f t="shared" si="49"/>
        <v>1. &lt; 20</v>
      </c>
      <c r="P312" t="str">
        <f t="shared" si="50"/>
        <v>1. 1 a 2</v>
      </c>
      <c r="Q312">
        <f t="shared" si="51"/>
        <v>1</v>
      </c>
      <c r="R312">
        <f t="shared" si="52"/>
        <v>0</v>
      </c>
      <c r="S312">
        <f t="shared" si="53"/>
        <v>1</v>
      </c>
      <c r="T312">
        <v>1</v>
      </c>
      <c r="U312" t="s">
        <v>139</v>
      </c>
      <c r="V312" s="18">
        <f t="shared" si="54"/>
        <v>6.8273092369477914E-2</v>
      </c>
      <c r="W312" s="18">
        <f t="shared" si="55"/>
        <v>8.6792452830188674E-2</v>
      </c>
      <c r="X312" s="18">
        <f t="shared" si="56"/>
        <v>0.10309278350515463</v>
      </c>
      <c r="Y312" s="18">
        <f t="shared" si="57"/>
        <v>6.5217391304347824E-2</v>
      </c>
      <c r="Z312" s="18">
        <f t="shared" si="58"/>
        <v>0.56634304207119746</v>
      </c>
      <c r="AA312" s="10">
        <f t="shared" si="59"/>
        <v>0.17794375239999999</v>
      </c>
      <c r="AB312" t="str">
        <f>IF(AA312&gt;=Como_Avaliar!$B$15,"Alta",IF(AA312&gt;=Como_Avaliar!$B$16,"Média","Baixa"))</f>
        <v>Baixa</v>
      </c>
    </row>
    <row r="313" spans="1:28" x14ac:dyDescent="0.25">
      <c r="A313" t="s">
        <v>617</v>
      </c>
      <c r="B313" t="s">
        <v>286</v>
      </c>
      <c r="C313" t="s">
        <v>88</v>
      </c>
      <c r="D313" t="s">
        <v>56</v>
      </c>
      <c r="E313" t="s">
        <v>96</v>
      </c>
      <c r="F313">
        <v>9</v>
      </c>
      <c r="G313">
        <v>17</v>
      </c>
      <c r="H313">
        <v>1</v>
      </c>
      <c r="I313" t="s">
        <v>63</v>
      </c>
      <c r="J313" t="s">
        <v>97</v>
      </c>
      <c r="K313" t="s">
        <v>97</v>
      </c>
      <c r="L313" t="s">
        <v>298</v>
      </c>
      <c r="M313">
        <v>0</v>
      </c>
      <c r="N313" t="str">
        <f t="shared" si="48"/>
        <v>2. 8 a 15 anos</v>
      </c>
      <c r="O313" t="str">
        <f t="shared" si="49"/>
        <v>1. &lt; 20</v>
      </c>
      <c r="P313" t="str">
        <f t="shared" si="50"/>
        <v>1. 1 a 2</v>
      </c>
      <c r="Q313">
        <f t="shared" si="51"/>
        <v>1</v>
      </c>
      <c r="R313">
        <f t="shared" si="52"/>
        <v>0</v>
      </c>
      <c r="S313">
        <f t="shared" si="53"/>
        <v>1</v>
      </c>
      <c r="T313">
        <v>2</v>
      </c>
      <c r="U313" t="s">
        <v>139</v>
      </c>
      <c r="V313" s="18">
        <f t="shared" si="54"/>
        <v>6.8273092369477914E-2</v>
      </c>
      <c r="W313" s="18">
        <f t="shared" si="55"/>
        <v>8.6792452830188674E-2</v>
      </c>
      <c r="X313" s="18">
        <f t="shared" si="56"/>
        <v>0.10309278350515463</v>
      </c>
      <c r="Y313" s="18">
        <f t="shared" si="57"/>
        <v>6.5217391304347824E-2</v>
      </c>
      <c r="Z313" s="18">
        <f t="shared" si="58"/>
        <v>0.22302158273381295</v>
      </c>
      <c r="AA313" s="10">
        <f t="shared" si="59"/>
        <v>0.10927946049999999</v>
      </c>
      <c r="AB313" t="str">
        <f>IF(AA313&gt;=Como_Avaliar!$B$15,"Alta",IF(AA313&gt;=Como_Avaliar!$B$16,"Média","Baixa"))</f>
        <v>Baixa</v>
      </c>
    </row>
    <row r="314" spans="1:28" x14ac:dyDescent="0.25">
      <c r="A314" t="s">
        <v>618</v>
      </c>
      <c r="B314" t="s">
        <v>288</v>
      </c>
      <c r="C314" t="s">
        <v>88</v>
      </c>
      <c r="D314" t="s">
        <v>56</v>
      </c>
      <c r="E314" t="s">
        <v>96</v>
      </c>
      <c r="F314">
        <v>1</v>
      </c>
      <c r="G314">
        <v>14</v>
      </c>
      <c r="H314">
        <v>1</v>
      </c>
      <c r="I314" t="s">
        <v>64</v>
      </c>
      <c r="J314" t="s">
        <v>97</v>
      </c>
      <c r="K314" t="s">
        <v>98</v>
      </c>
      <c r="L314" t="s">
        <v>284</v>
      </c>
      <c r="M314">
        <v>0</v>
      </c>
      <c r="N314" t="str">
        <f t="shared" si="48"/>
        <v>1. &lt; 8 anos</v>
      </c>
      <c r="O314" t="str">
        <f t="shared" si="49"/>
        <v>1. &lt; 20</v>
      </c>
      <c r="P314" t="str">
        <f t="shared" si="50"/>
        <v>1. 1 a 2</v>
      </c>
      <c r="Q314">
        <f t="shared" si="51"/>
        <v>1</v>
      </c>
      <c r="R314">
        <f t="shared" si="52"/>
        <v>0</v>
      </c>
      <c r="S314">
        <f t="shared" si="53"/>
        <v>1</v>
      </c>
      <c r="T314">
        <v>1</v>
      </c>
      <c r="U314" t="s">
        <v>139</v>
      </c>
      <c r="V314" s="18">
        <f t="shared" si="54"/>
        <v>6.8273092369477914E-2</v>
      </c>
      <c r="W314" s="18">
        <f t="shared" si="55"/>
        <v>8.6792452830188674E-2</v>
      </c>
      <c r="X314" s="18">
        <f t="shared" si="56"/>
        <v>0.10309278350515463</v>
      </c>
      <c r="Y314" s="18">
        <f t="shared" si="57"/>
        <v>0.15625</v>
      </c>
      <c r="Z314" s="18">
        <f t="shared" si="58"/>
        <v>0.22368421052631579</v>
      </c>
      <c r="AA314" s="10">
        <f t="shared" si="59"/>
        <v>0.1276185078</v>
      </c>
      <c r="AB314" t="str">
        <f>IF(AA314&gt;=Como_Avaliar!$B$15,"Alta",IF(AA314&gt;=Como_Avaliar!$B$16,"Média","Baixa"))</f>
        <v>Baixa</v>
      </c>
    </row>
    <row r="315" spans="1:28" x14ac:dyDescent="0.25">
      <c r="A315" t="s">
        <v>619</v>
      </c>
      <c r="B315" t="s">
        <v>286</v>
      </c>
      <c r="C315" t="s">
        <v>88</v>
      </c>
      <c r="D315" t="s">
        <v>59</v>
      </c>
      <c r="E315" t="s">
        <v>93</v>
      </c>
      <c r="F315">
        <v>8</v>
      </c>
      <c r="G315">
        <v>34</v>
      </c>
      <c r="H315">
        <v>5</v>
      </c>
      <c r="I315" t="s">
        <v>68</v>
      </c>
      <c r="J315" t="s">
        <v>98</v>
      </c>
      <c r="K315" t="s">
        <v>97</v>
      </c>
      <c r="L315" t="s">
        <v>322</v>
      </c>
      <c r="M315">
        <v>1</v>
      </c>
      <c r="N315" t="str">
        <f t="shared" si="48"/>
        <v>2. 8 a 15 anos</v>
      </c>
      <c r="O315" t="str">
        <f t="shared" si="49"/>
        <v>2. 20 a 49</v>
      </c>
      <c r="P315" t="str">
        <f t="shared" si="50"/>
        <v>2. 3 a 5</v>
      </c>
      <c r="Q315">
        <f t="shared" si="51"/>
        <v>0</v>
      </c>
      <c r="R315">
        <f t="shared" si="52"/>
        <v>0</v>
      </c>
      <c r="S315">
        <f t="shared" si="53"/>
        <v>0</v>
      </c>
      <c r="V315" s="18">
        <f t="shared" si="54"/>
        <v>0.43835616438356162</v>
      </c>
      <c r="W315" s="18">
        <f t="shared" si="55"/>
        <v>0.38095238095238093</v>
      </c>
      <c r="X315" s="18">
        <f t="shared" si="56"/>
        <v>0.25294117647058822</v>
      </c>
      <c r="Y315" s="18">
        <f t="shared" si="57"/>
        <v>0.58333333333333337</v>
      </c>
      <c r="Z315" s="18">
        <f t="shared" si="58"/>
        <v>0.22302158273381295</v>
      </c>
      <c r="AA315" s="10">
        <f t="shared" si="59"/>
        <v>0.37572092759999998</v>
      </c>
      <c r="AB315" t="str">
        <f>IF(AA315&gt;=Como_Avaliar!$B$15,"Alta",IF(AA315&gt;=Como_Avaliar!$B$16,"Média","Baixa"))</f>
        <v>Média</v>
      </c>
    </row>
    <row r="316" spans="1:28" x14ac:dyDescent="0.25">
      <c r="A316" t="s">
        <v>620</v>
      </c>
      <c r="B316" t="s">
        <v>314</v>
      </c>
      <c r="C316" t="s">
        <v>84</v>
      </c>
      <c r="D316" t="s">
        <v>56</v>
      </c>
      <c r="E316" t="s">
        <v>90</v>
      </c>
      <c r="F316">
        <v>7</v>
      </c>
      <c r="G316">
        <v>11</v>
      </c>
      <c r="H316">
        <v>1</v>
      </c>
      <c r="I316" t="s">
        <v>64</v>
      </c>
      <c r="J316" t="s">
        <v>97</v>
      </c>
      <c r="K316" t="s">
        <v>97</v>
      </c>
      <c r="L316" t="s">
        <v>289</v>
      </c>
      <c r="M316">
        <v>0</v>
      </c>
      <c r="N316" t="str">
        <f t="shared" si="48"/>
        <v>1. &lt; 8 anos</v>
      </c>
      <c r="O316" t="str">
        <f t="shared" si="49"/>
        <v>1. &lt; 20</v>
      </c>
      <c r="P316" t="str">
        <f t="shared" si="50"/>
        <v>1. 1 a 2</v>
      </c>
      <c r="Q316">
        <f t="shared" si="51"/>
        <v>1</v>
      </c>
      <c r="R316">
        <f t="shared" si="52"/>
        <v>0</v>
      </c>
      <c r="S316">
        <f t="shared" si="53"/>
        <v>1</v>
      </c>
      <c r="T316">
        <v>1</v>
      </c>
      <c r="U316" t="s">
        <v>139</v>
      </c>
      <c r="V316" s="18">
        <f t="shared" si="54"/>
        <v>6.8273092369477914E-2</v>
      </c>
      <c r="W316" s="18">
        <f t="shared" si="55"/>
        <v>8.6792452830188674E-2</v>
      </c>
      <c r="X316" s="18">
        <f t="shared" si="56"/>
        <v>0.10309278350515463</v>
      </c>
      <c r="Y316" s="18">
        <f t="shared" si="57"/>
        <v>0.15625</v>
      </c>
      <c r="Z316" s="18">
        <f t="shared" si="58"/>
        <v>0.22368421052631579</v>
      </c>
      <c r="AA316" s="10">
        <f t="shared" si="59"/>
        <v>0.1276185078</v>
      </c>
      <c r="AB316" t="str">
        <f>IF(AA316&gt;=Como_Avaliar!$B$15,"Alta",IF(AA316&gt;=Como_Avaliar!$B$16,"Média","Baixa"))</f>
        <v>Baixa</v>
      </c>
    </row>
    <row r="317" spans="1:28" x14ac:dyDescent="0.25">
      <c r="A317" t="s">
        <v>621</v>
      </c>
      <c r="B317" t="s">
        <v>297</v>
      </c>
      <c r="C317" t="s">
        <v>86</v>
      </c>
      <c r="D317" t="s">
        <v>59</v>
      </c>
      <c r="E317" t="s">
        <v>96</v>
      </c>
      <c r="F317">
        <v>18</v>
      </c>
      <c r="G317">
        <v>39</v>
      </c>
      <c r="H317">
        <v>2</v>
      </c>
      <c r="I317" t="s">
        <v>65</v>
      </c>
      <c r="J317" t="s">
        <v>98</v>
      </c>
      <c r="K317" t="s">
        <v>98</v>
      </c>
      <c r="L317" t="s">
        <v>329</v>
      </c>
      <c r="M317">
        <v>0</v>
      </c>
      <c r="N317" t="str">
        <f t="shared" si="48"/>
        <v>3. 16+ anos</v>
      </c>
      <c r="O317" t="str">
        <f t="shared" si="49"/>
        <v>2. 20 a 49</v>
      </c>
      <c r="P317" t="str">
        <f t="shared" si="50"/>
        <v>1. 1 a 2</v>
      </c>
      <c r="Q317">
        <f t="shared" si="51"/>
        <v>0</v>
      </c>
      <c r="R317">
        <f t="shared" si="52"/>
        <v>0</v>
      </c>
      <c r="S317">
        <f t="shared" si="53"/>
        <v>1</v>
      </c>
      <c r="T317">
        <v>4</v>
      </c>
      <c r="U317" t="s">
        <v>137</v>
      </c>
      <c r="V317" s="18">
        <f t="shared" si="54"/>
        <v>0.43835616438356162</v>
      </c>
      <c r="W317" s="18">
        <f t="shared" si="55"/>
        <v>8.6792452830188674E-2</v>
      </c>
      <c r="X317" s="18">
        <f t="shared" si="56"/>
        <v>0.25294117647058822</v>
      </c>
      <c r="Y317" s="18">
        <f t="shared" si="57"/>
        <v>0.39751552795031053</v>
      </c>
      <c r="Z317" s="18">
        <f t="shared" si="58"/>
        <v>0.56634304207119746</v>
      </c>
      <c r="AA317" s="10">
        <f t="shared" si="59"/>
        <v>0.34838967269999999</v>
      </c>
      <c r="AB317" t="str">
        <f>IF(AA317&gt;=Como_Avaliar!$B$15,"Alta",IF(AA317&gt;=Como_Avaliar!$B$16,"Média","Baixa"))</f>
        <v>Média</v>
      </c>
    </row>
    <row r="318" spans="1:28" x14ac:dyDescent="0.25">
      <c r="A318" t="s">
        <v>622</v>
      </c>
      <c r="B318" t="s">
        <v>301</v>
      </c>
      <c r="C318" t="s">
        <v>88</v>
      </c>
      <c r="D318" t="s">
        <v>59</v>
      </c>
      <c r="E318" t="s">
        <v>91</v>
      </c>
      <c r="F318">
        <v>8</v>
      </c>
      <c r="G318">
        <v>29</v>
      </c>
      <c r="H318">
        <v>7</v>
      </c>
      <c r="I318" t="s">
        <v>62</v>
      </c>
      <c r="J318" t="s">
        <v>98</v>
      </c>
      <c r="K318" t="s">
        <v>98</v>
      </c>
      <c r="L318" t="s">
        <v>298</v>
      </c>
      <c r="M318">
        <v>0</v>
      </c>
      <c r="N318" t="str">
        <f t="shared" si="48"/>
        <v>2. 8 a 15 anos</v>
      </c>
      <c r="O318" t="str">
        <f t="shared" si="49"/>
        <v>2. 20 a 49</v>
      </c>
      <c r="P318" t="str">
        <f t="shared" si="50"/>
        <v>3. 6 a 15</v>
      </c>
      <c r="Q318">
        <f t="shared" si="51"/>
        <v>0</v>
      </c>
      <c r="R318">
        <f t="shared" si="52"/>
        <v>0</v>
      </c>
      <c r="S318">
        <f t="shared" si="53"/>
        <v>1</v>
      </c>
      <c r="T318">
        <v>3</v>
      </c>
      <c r="U318" t="s">
        <v>138</v>
      </c>
      <c r="V318" s="18">
        <f t="shared" si="54"/>
        <v>0.43835616438356162</v>
      </c>
      <c r="W318" s="18">
        <f t="shared" si="55"/>
        <v>0.55319148936170215</v>
      </c>
      <c r="X318" s="18">
        <f t="shared" si="56"/>
        <v>0.25294117647058822</v>
      </c>
      <c r="Y318" s="18">
        <f t="shared" si="57"/>
        <v>0.37662337662337664</v>
      </c>
      <c r="Z318" s="18">
        <f t="shared" si="58"/>
        <v>0.22302158273381295</v>
      </c>
      <c r="AA318" s="10">
        <f t="shared" si="59"/>
        <v>0.36882675790000002</v>
      </c>
      <c r="AB318" t="str">
        <f>IF(AA318&gt;=Como_Avaliar!$B$15,"Alta",IF(AA318&gt;=Como_Avaliar!$B$16,"Média","Baixa"))</f>
        <v>Média</v>
      </c>
    </row>
    <row r="319" spans="1:28" x14ac:dyDescent="0.25">
      <c r="A319" t="s">
        <v>623</v>
      </c>
      <c r="B319" t="s">
        <v>283</v>
      </c>
      <c r="C319" t="s">
        <v>89</v>
      </c>
      <c r="D319" t="s">
        <v>56</v>
      </c>
      <c r="E319" t="s">
        <v>93</v>
      </c>
      <c r="F319">
        <v>1</v>
      </c>
      <c r="G319">
        <v>4</v>
      </c>
      <c r="H319">
        <v>2</v>
      </c>
      <c r="I319" t="s">
        <v>62</v>
      </c>
      <c r="J319" t="s">
        <v>97</v>
      </c>
      <c r="K319" t="s">
        <v>97</v>
      </c>
      <c r="L319" t="s">
        <v>289</v>
      </c>
      <c r="M319">
        <v>0</v>
      </c>
      <c r="N319" t="str">
        <f t="shared" si="48"/>
        <v>1. &lt; 8 anos</v>
      </c>
      <c r="O319" t="str">
        <f t="shared" si="49"/>
        <v>1. &lt; 20</v>
      </c>
      <c r="P319" t="str">
        <f t="shared" si="50"/>
        <v>1. 1 a 2</v>
      </c>
      <c r="Q319">
        <f t="shared" si="51"/>
        <v>0</v>
      </c>
      <c r="R319">
        <f t="shared" si="52"/>
        <v>0</v>
      </c>
      <c r="S319">
        <f t="shared" si="53"/>
        <v>1</v>
      </c>
      <c r="T319">
        <v>1</v>
      </c>
      <c r="U319" t="s">
        <v>139</v>
      </c>
      <c r="V319" s="18">
        <f t="shared" si="54"/>
        <v>6.8273092369477914E-2</v>
      </c>
      <c r="W319" s="18">
        <f t="shared" si="55"/>
        <v>8.6792452830188674E-2</v>
      </c>
      <c r="X319" s="18">
        <f t="shared" si="56"/>
        <v>0.10309278350515463</v>
      </c>
      <c r="Y319" s="18">
        <f t="shared" si="57"/>
        <v>0.37662337662337664</v>
      </c>
      <c r="Z319" s="18">
        <f t="shared" si="58"/>
        <v>0.22368421052631579</v>
      </c>
      <c r="AA319" s="10">
        <f t="shared" si="59"/>
        <v>0.17169318319999999</v>
      </c>
      <c r="AB319" t="str">
        <f>IF(AA319&gt;=Como_Avaliar!$B$15,"Alta",IF(AA319&gt;=Como_Avaliar!$B$16,"Média","Baixa"))</f>
        <v>Baixa</v>
      </c>
    </row>
    <row r="320" spans="1:28" x14ac:dyDescent="0.25">
      <c r="A320" t="s">
        <v>624</v>
      </c>
      <c r="B320" t="s">
        <v>286</v>
      </c>
      <c r="C320" t="s">
        <v>88</v>
      </c>
      <c r="D320" t="s">
        <v>57</v>
      </c>
      <c r="E320" t="s">
        <v>91</v>
      </c>
      <c r="F320">
        <v>11</v>
      </c>
      <c r="G320">
        <v>629</v>
      </c>
      <c r="H320">
        <v>93</v>
      </c>
      <c r="I320" t="s">
        <v>65</v>
      </c>
      <c r="J320" t="s">
        <v>98</v>
      </c>
      <c r="K320" t="s">
        <v>98</v>
      </c>
      <c r="L320" t="s">
        <v>289</v>
      </c>
      <c r="M320">
        <v>1</v>
      </c>
      <c r="N320" t="str">
        <f t="shared" si="48"/>
        <v>2. 8 a 15 anos</v>
      </c>
      <c r="O320" t="str">
        <f t="shared" si="49"/>
        <v>4. 150+</v>
      </c>
      <c r="P320" t="str">
        <f t="shared" si="50"/>
        <v>4. 16+</v>
      </c>
      <c r="Q320">
        <f t="shared" si="51"/>
        <v>0</v>
      </c>
      <c r="R320">
        <f t="shared" si="52"/>
        <v>1</v>
      </c>
      <c r="S320">
        <f t="shared" si="53"/>
        <v>0</v>
      </c>
      <c r="V320" s="18">
        <f t="shared" si="54"/>
        <v>1</v>
      </c>
      <c r="W320" s="18">
        <f t="shared" si="55"/>
        <v>0.97272727272727277</v>
      </c>
      <c r="X320" s="18">
        <f t="shared" si="56"/>
        <v>0.97938144329896903</v>
      </c>
      <c r="Y320" s="18">
        <f t="shared" si="57"/>
        <v>0.39751552795031053</v>
      </c>
      <c r="Z320" s="18">
        <f t="shared" si="58"/>
        <v>0.22302158273381295</v>
      </c>
      <c r="AA320" s="10">
        <f t="shared" si="59"/>
        <v>0.71452916529999999</v>
      </c>
      <c r="AB320" t="str">
        <f>IF(AA320&gt;=Como_Avaliar!$B$15,"Alta",IF(AA320&gt;=Como_Avaliar!$B$16,"Média","Baixa"))</f>
        <v>Alta</v>
      </c>
    </row>
    <row r="321" spans="1:28" x14ac:dyDescent="0.25">
      <c r="A321" t="s">
        <v>625</v>
      </c>
      <c r="B321" t="s">
        <v>355</v>
      </c>
      <c r="C321" t="s">
        <v>86</v>
      </c>
      <c r="D321" t="s">
        <v>59</v>
      </c>
      <c r="E321" t="s">
        <v>92</v>
      </c>
      <c r="F321">
        <v>28</v>
      </c>
      <c r="G321">
        <v>17</v>
      </c>
      <c r="H321">
        <v>4</v>
      </c>
      <c r="I321" t="s">
        <v>62</v>
      </c>
      <c r="J321" t="s">
        <v>98</v>
      </c>
      <c r="K321" t="s">
        <v>97</v>
      </c>
      <c r="L321" t="s">
        <v>289</v>
      </c>
      <c r="M321">
        <v>1</v>
      </c>
      <c r="N321" t="str">
        <f t="shared" si="48"/>
        <v>3. 16+ anos</v>
      </c>
      <c r="O321" t="str">
        <f t="shared" si="49"/>
        <v>1. &lt; 20</v>
      </c>
      <c r="P321" t="str">
        <f t="shared" si="50"/>
        <v>2. 3 a 5</v>
      </c>
      <c r="Q321">
        <f t="shared" si="51"/>
        <v>0</v>
      </c>
      <c r="R321">
        <f t="shared" si="52"/>
        <v>0</v>
      </c>
      <c r="S321">
        <f t="shared" si="53"/>
        <v>0</v>
      </c>
      <c r="V321" s="18">
        <f t="shared" si="54"/>
        <v>0.43835616438356162</v>
      </c>
      <c r="W321" s="18">
        <f t="shared" si="55"/>
        <v>0.38095238095238093</v>
      </c>
      <c r="X321" s="18">
        <f t="shared" si="56"/>
        <v>0.10309278350515463</v>
      </c>
      <c r="Y321" s="18">
        <f t="shared" si="57"/>
        <v>0.37662337662337664</v>
      </c>
      <c r="Z321" s="18">
        <f t="shared" si="58"/>
        <v>0.56634304207119746</v>
      </c>
      <c r="AA321" s="10">
        <f t="shared" si="59"/>
        <v>0.37307354949999999</v>
      </c>
      <c r="AB321" t="str">
        <f>IF(AA321&gt;=Como_Avaliar!$B$15,"Alta",IF(AA321&gt;=Como_Avaliar!$B$16,"Média","Baixa"))</f>
        <v>Média</v>
      </c>
    </row>
    <row r="322" spans="1:28" x14ac:dyDescent="0.25">
      <c r="A322" t="s">
        <v>626</v>
      </c>
      <c r="B322" t="s">
        <v>327</v>
      </c>
      <c r="C322" t="s">
        <v>86</v>
      </c>
      <c r="D322" t="s">
        <v>58</v>
      </c>
      <c r="E322" t="s">
        <v>92</v>
      </c>
      <c r="F322">
        <v>25</v>
      </c>
      <c r="G322">
        <v>121</v>
      </c>
      <c r="H322">
        <v>18</v>
      </c>
      <c r="I322" t="s">
        <v>60</v>
      </c>
      <c r="J322" t="s">
        <v>97</v>
      </c>
      <c r="K322" t="s">
        <v>97</v>
      </c>
      <c r="L322" t="s">
        <v>284</v>
      </c>
      <c r="M322">
        <v>1</v>
      </c>
      <c r="N322" t="str">
        <f t="shared" ref="N322:N385" si="60">IF(F322&lt;8,"1. &lt; 8 anos",IF(F322&lt;16,"2. 8 a 15 anos","3. 16+ anos"))</f>
        <v>3. 16+ anos</v>
      </c>
      <c r="O322" t="str">
        <f t="shared" ref="O322:O385" si="61">IF(G322&lt;20,"1. &lt; 20",IF(G322&lt;50,"2. 20 a 49",IF(G322&lt;150,"3. 50 a 149","4. 150+")))</f>
        <v>3. 50 a 149</v>
      </c>
      <c r="P322" t="str">
        <f t="shared" ref="P322:P385" si="62">IF(H322&lt;=2,"1. 1 a 2",IF(H322&lt;=5,"2. 3 a 5",IF(H322&lt;=15,"3. 6 a 15","4. 16+")))</f>
        <v>4. 16+</v>
      </c>
      <c r="Q322">
        <f t="shared" ref="Q322:Q385" si="63">IF(OR(I322="Nenhum",I322="Planilha",I322="ContaAzul"),1,0)</f>
        <v>0</v>
      </c>
      <c r="R322">
        <f t="shared" ref="R322:R385" si="64">IF(AND(G322&gt;=50,H322&gt;=6,Q322=0),1,0)</f>
        <v>1</v>
      </c>
      <c r="S322">
        <f t="shared" ref="S322:S385" si="65">IF(AND(L322&lt;&gt;"Cliente Ativo",M322=0),1,0)</f>
        <v>0</v>
      </c>
      <c r="V322" s="18">
        <f t="shared" ref="V322:V385" si="66">AVERAGEIF($D$2:$D$601,D322,$M$2:$M$601)</f>
        <v>0.93975903614457834</v>
      </c>
      <c r="W322" s="18">
        <f t="shared" ref="W322:W385" si="67">AVERAGEIF($P$2:$P$601,P322,$M$2:$M$601)</f>
        <v>0.97272727272727277</v>
      </c>
      <c r="X322" s="18">
        <f t="shared" ref="X322:X385" si="68">AVERAGEIF($O$2:$O$601,O322,$M$2:$M$601)</f>
        <v>0.58992805755395683</v>
      </c>
      <c r="Y322" s="18">
        <f t="shared" ref="Y322:Y385" si="69">AVERAGEIF($I$2:$I$601,I322,$M$2:$M$601)</f>
        <v>0.65217391304347827</v>
      </c>
      <c r="Z322" s="18">
        <f t="shared" ref="Z322:Z385" si="70">AVERAGEIF($N$2:$N$601,N322,$M$2:$M$601)</f>
        <v>0.56634304207119746</v>
      </c>
      <c r="AA322" s="10">
        <f t="shared" ref="AA322:AA385" si="71">ROUND(AVERAGE(V322:Z322),10)</f>
        <v>0.74418626430000001</v>
      </c>
      <c r="AB322" t="str">
        <f>IF(AA322&gt;=Como_Avaliar!$B$15,"Alta",IF(AA322&gt;=Como_Avaliar!$B$16,"Média","Baixa"))</f>
        <v>Alta</v>
      </c>
    </row>
    <row r="323" spans="1:28" x14ac:dyDescent="0.25">
      <c r="A323" t="s">
        <v>627</v>
      </c>
      <c r="B323" t="s">
        <v>334</v>
      </c>
      <c r="C323" t="s">
        <v>87</v>
      </c>
      <c r="D323" t="s">
        <v>59</v>
      </c>
      <c r="E323" t="s">
        <v>93</v>
      </c>
      <c r="F323">
        <v>25</v>
      </c>
      <c r="G323">
        <v>41</v>
      </c>
      <c r="H323">
        <v>6</v>
      </c>
      <c r="I323" t="s">
        <v>62</v>
      </c>
      <c r="J323" t="s">
        <v>97</v>
      </c>
      <c r="K323" t="s">
        <v>97</v>
      </c>
      <c r="L323" t="s">
        <v>298</v>
      </c>
      <c r="M323">
        <v>1</v>
      </c>
      <c r="N323" t="str">
        <f t="shared" si="60"/>
        <v>3. 16+ anos</v>
      </c>
      <c r="O323" t="str">
        <f t="shared" si="61"/>
        <v>2. 20 a 49</v>
      </c>
      <c r="P323" t="str">
        <f t="shared" si="62"/>
        <v>3. 6 a 15</v>
      </c>
      <c r="Q323">
        <f t="shared" si="63"/>
        <v>0</v>
      </c>
      <c r="R323">
        <f t="shared" si="64"/>
        <v>0</v>
      </c>
      <c r="S323">
        <f t="shared" si="65"/>
        <v>0</v>
      </c>
      <c r="V323" s="18">
        <f t="shared" si="66"/>
        <v>0.43835616438356162</v>
      </c>
      <c r="W323" s="18">
        <f t="shared" si="67"/>
        <v>0.55319148936170215</v>
      </c>
      <c r="X323" s="18">
        <f t="shared" si="68"/>
        <v>0.25294117647058822</v>
      </c>
      <c r="Y323" s="18">
        <f t="shared" si="69"/>
        <v>0.37662337662337664</v>
      </c>
      <c r="Z323" s="18">
        <f t="shared" si="70"/>
        <v>0.56634304207119746</v>
      </c>
      <c r="AA323" s="10">
        <f t="shared" si="71"/>
        <v>0.43749104979999998</v>
      </c>
      <c r="AB323" t="str">
        <f>IF(AA323&gt;=Como_Avaliar!$B$15,"Alta",IF(AA323&gt;=Como_Avaliar!$B$16,"Média","Baixa"))</f>
        <v>Média</v>
      </c>
    </row>
    <row r="324" spans="1:28" x14ac:dyDescent="0.25">
      <c r="A324" t="s">
        <v>628</v>
      </c>
      <c r="B324" t="s">
        <v>327</v>
      </c>
      <c r="C324" t="s">
        <v>86</v>
      </c>
      <c r="D324" t="s">
        <v>56</v>
      </c>
      <c r="E324" t="s">
        <v>93</v>
      </c>
      <c r="F324">
        <v>18</v>
      </c>
      <c r="G324">
        <v>5</v>
      </c>
      <c r="H324">
        <v>2</v>
      </c>
      <c r="I324" t="s">
        <v>65</v>
      </c>
      <c r="J324" t="s">
        <v>97</v>
      </c>
      <c r="K324" t="s">
        <v>97</v>
      </c>
      <c r="L324" t="s">
        <v>329</v>
      </c>
      <c r="M324">
        <v>0</v>
      </c>
      <c r="N324" t="str">
        <f t="shared" si="60"/>
        <v>3. 16+ anos</v>
      </c>
      <c r="O324" t="str">
        <f t="shared" si="61"/>
        <v>1. &lt; 20</v>
      </c>
      <c r="P324" t="str">
        <f t="shared" si="62"/>
        <v>1. 1 a 2</v>
      </c>
      <c r="Q324">
        <f t="shared" si="63"/>
        <v>0</v>
      </c>
      <c r="R324">
        <f t="shared" si="64"/>
        <v>0</v>
      </c>
      <c r="S324">
        <f t="shared" si="65"/>
        <v>1</v>
      </c>
      <c r="T324">
        <v>1</v>
      </c>
      <c r="U324" t="s">
        <v>139</v>
      </c>
      <c r="V324" s="18">
        <f t="shared" si="66"/>
        <v>6.8273092369477914E-2</v>
      </c>
      <c r="W324" s="18">
        <f t="shared" si="67"/>
        <v>8.6792452830188674E-2</v>
      </c>
      <c r="X324" s="18">
        <f t="shared" si="68"/>
        <v>0.10309278350515463</v>
      </c>
      <c r="Y324" s="18">
        <f t="shared" si="69"/>
        <v>0.39751552795031053</v>
      </c>
      <c r="Z324" s="18">
        <f t="shared" si="70"/>
        <v>0.56634304207119746</v>
      </c>
      <c r="AA324" s="10">
        <f t="shared" si="71"/>
        <v>0.24440337970000001</v>
      </c>
      <c r="AB324" t="str">
        <f>IF(AA324&gt;=Como_Avaliar!$B$15,"Alta",IF(AA324&gt;=Como_Avaliar!$B$16,"Média","Baixa"))</f>
        <v>Média</v>
      </c>
    </row>
    <row r="325" spans="1:28" x14ac:dyDescent="0.25">
      <c r="A325" t="s">
        <v>629</v>
      </c>
      <c r="B325" t="s">
        <v>297</v>
      </c>
      <c r="C325" t="s">
        <v>86</v>
      </c>
      <c r="D325" t="s">
        <v>58</v>
      </c>
      <c r="E325" t="s">
        <v>95</v>
      </c>
      <c r="F325">
        <v>23</v>
      </c>
      <c r="G325">
        <v>85</v>
      </c>
      <c r="H325">
        <v>26</v>
      </c>
      <c r="I325" t="s">
        <v>62</v>
      </c>
      <c r="J325" t="s">
        <v>98</v>
      </c>
      <c r="K325" t="s">
        <v>97</v>
      </c>
      <c r="L325" t="s">
        <v>322</v>
      </c>
      <c r="M325">
        <v>1</v>
      </c>
      <c r="N325" t="str">
        <f t="shared" si="60"/>
        <v>3. 16+ anos</v>
      </c>
      <c r="O325" t="str">
        <f t="shared" si="61"/>
        <v>3. 50 a 149</v>
      </c>
      <c r="P325" t="str">
        <f t="shared" si="62"/>
        <v>4. 16+</v>
      </c>
      <c r="Q325">
        <f t="shared" si="63"/>
        <v>0</v>
      </c>
      <c r="R325">
        <f t="shared" si="64"/>
        <v>1</v>
      </c>
      <c r="S325">
        <f t="shared" si="65"/>
        <v>0</v>
      </c>
      <c r="V325" s="18">
        <f t="shared" si="66"/>
        <v>0.93975903614457834</v>
      </c>
      <c r="W325" s="18">
        <f t="shared" si="67"/>
        <v>0.97272727272727277</v>
      </c>
      <c r="X325" s="18">
        <f t="shared" si="68"/>
        <v>0.58992805755395683</v>
      </c>
      <c r="Y325" s="18">
        <f t="shared" si="69"/>
        <v>0.37662337662337664</v>
      </c>
      <c r="Z325" s="18">
        <f t="shared" si="70"/>
        <v>0.56634304207119746</v>
      </c>
      <c r="AA325" s="10">
        <f t="shared" si="71"/>
        <v>0.68907615700000002</v>
      </c>
      <c r="AB325" t="str">
        <f>IF(AA325&gt;=Como_Avaliar!$B$15,"Alta",IF(AA325&gt;=Como_Avaliar!$B$16,"Média","Baixa"))</f>
        <v>Alta</v>
      </c>
    </row>
    <row r="326" spans="1:28" x14ac:dyDescent="0.25">
      <c r="A326" t="s">
        <v>630</v>
      </c>
      <c r="B326" t="s">
        <v>286</v>
      </c>
      <c r="C326" t="s">
        <v>88</v>
      </c>
      <c r="D326" t="s">
        <v>56</v>
      </c>
      <c r="E326" t="s">
        <v>94</v>
      </c>
      <c r="F326">
        <v>10</v>
      </c>
      <c r="G326">
        <v>22</v>
      </c>
      <c r="H326">
        <v>2</v>
      </c>
      <c r="I326" t="s">
        <v>65</v>
      </c>
      <c r="J326" t="s">
        <v>98</v>
      </c>
      <c r="K326" t="s">
        <v>98</v>
      </c>
      <c r="L326" t="s">
        <v>289</v>
      </c>
      <c r="M326">
        <v>0</v>
      </c>
      <c r="N326" t="str">
        <f t="shared" si="60"/>
        <v>2. 8 a 15 anos</v>
      </c>
      <c r="O326" t="str">
        <f t="shared" si="61"/>
        <v>2. 20 a 49</v>
      </c>
      <c r="P326" t="str">
        <f t="shared" si="62"/>
        <v>1. 1 a 2</v>
      </c>
      <c r="Q326">
        <f t="shared" si="63"/>
        <v>0</v>
      </c>
      <c r="R326">
        <f t="shared" si="64"/>
        <v>0</v>
      </c>
      <c r="S326">
        <f t="shared" si="65"/>
        <v>1</v>
      </c>
      <c r="T326">
        <v>2</v>
      </c>
      <c r="U326" t="s">
        <v>139</v>
      </c>
      <c r="V326" s="18">
        <f t="shared" si="66"/>
        <v>6.8273092369477914E-2</v>
      </c>
      <c r="W326" s="18">
        <f t="shared" si="67"/>
        <v>8.6792452830188674E-2</v>
      </c>
      <c r="X326" s="18">
        <f t="shared" si="68"/>
        <v>0.25294117647058822</v>
      </c>
      <c r="Y326" s="18">
        <f t="shared" si="69"/>
        <v>0.39751552795031053</v>
      </c>
      <c r="Z326" s="18">
        <f t="shared" si="70"/>
        <v>0.22302158273381295</v>
      </c>
      <c r="AA326" s="10">
        <f t="shared" si="71"/>
        <v>0.2057087665</v>
      </c>
      <c r="AB326" t="str">
        <f>IF(AA326&gt;=Como_Avaliar!$B$15,"Alta",IF(AA326&gt;=Como_Avaliar!$B$16,"Média","Baixa"))</f>
        <v>Baixa</v>
      </c>
    </row>
    <row r="327" spans="1:28" x14ac:dyDescent="0.25">
      <c r="A327" t="s">
        <v>631</v>
      </c>
      <c r="B327" t="s">
        <v>292</v>
      </c>
      <c r="C327" t="s">
        <v>84</v>
      </c>
      <c r="D327" t="s">
        <v>56</v>
      </c>
      <c r="E327" t="s">
        <v>94</v>
      </c>
      <c r="F327">
        <v>3</v>
      </c>
      <c r="G327">
        <v>4</v>
      </c>
      <c r="H327">
        <v>1</v>
      </c>
      <c r="I327" t="s">
        <v>62</v>
      </c>
      <c r="J327" t="s">
        <v>97</v>
      </c>
      <c r="K327" t="s">
        <v>97</v>
      </c>
      <c r="L327" t="s">
        <v>322</v>
      </c>
      <c r="M327">
        <v>0</v>
      </c>
      <c r="N327" t="str">
        <f t="shared" si="60"/>
        <v>1. &lt; 8 anos</v>
      </c>
      <c r="O327" t="str">
        <f t="shared" si="61"/>
        <v>1. &lt; 20</v>
      </c>
      <c r="P327" t="str">
        <f t="shared" si="62"/>
        <v>1. 1 a 2</v>
      </c>
      <c r="Q327">
        <f t="shared" si="63"/>
        <v>0</v>
      </c>
      <c r="R327">
        <f t="shared" si="64"/>
        <v>0</v>
      </c>
      <c r="S327">
        <f t="shared" si="65"/>
        <v>0</v>
      </c>
      <c r="V327" s="18">
        <f t="shared" si="66"/>
        <v>6.8273092369477914E-2</v>
      </c>
      <c r="W327" s="18">
        <f t="shared" si="67"/>
        <v>8.6792452830188674E-2</v>
      </c>
      <c r="X327" s="18">
        <f t="shared" si="68"/>
        <v>0.10309278350515463</v>
      </c>
      <c r="Y327" s="18">
        <f t="shared" si="69"/>
        <v>0.37662337662337664</v>
      </c>
      <c r="Z327" s="18">
        <f t="shared" si="70"/>
        <v>0.22368421052631579</v>
      </c>
      <c r="AA327" s="10">
        <f t="shared" si="71"/>
        <v>0.17169318319999999</v>
      </c>
      <c r="AB327" t="str">
        <f>IF(AA327&gt;=Como_Avaliar!$B$15,"Alta",IF(AA327&gt;=Como_Avaliar!$B$16,"Média","Baixa"))</f>
        <v>Baixa</v>
      </c>
    </row>
    <row r="328" spans="1:28" x14ac:dyDescent="0.25">
      <c r="A328" t="s">
        <v>632</v>
      </c>
      <c r="B328" t="s">
        <v>288</v>
      </c>
      <c r="C328" t="s">
        <v>88</v>
      </c>
      <c r="D328" t="s">
        <v>56</v>
      </c>
      <c r="E328" t="s">
        <v>91</v>
      </c>
      <c r="F328">
        <v>7</v>
      </c>
      <c r="G328">
        <v>17</v>
      </c>
      <c r="H328">
        <v>1</v>
      </c>
      <c r="I328" t="s">
        <v>63</v>
      </c>
      <c r="J328" t="s">
        <v>97</v>
      </c>
      <c r="K328" t="s">
        <v>97</v>
      </c>
      <c r="L328" t="s">
        <v>284</v>
      </c>
      <c r="M328">
        <v>0</v>
      </c>
      <c r="N328" t="str">
        <f t="shared" si="60"/>
        <v>1. &lt; 8 anos</v>
      </c>
      <c r="O328" t="str">
        <f t="shared" si="61"/>
        <v>1. &lt; 20</v>
      </c>
      <c r="P328" t="str">
        <f t="shared" si="62"/>
        <v>1. 1 a 2</v>
      </c>
      <c r="Q328">
        <f t="shared" si="63"/>
        <v>1</v>
      </c>
      <c r="R328">
        <f t="shared" si="64"/>
        <v>0</v>
      </c>
      <c r="S328">
        <f t="shared" si="65"/>
        <v>1</v>
      </c>
      <c r="T328">
        <v>2</v>
      </c>
      <c r="U328" t="s">
        <v>139</v>
      </c>
      <c r="V328" s="18">
        <f t="shared" si="66"/>
        <v>6.8273092369477914E-2</v>
      </c>
      <c r="W328" s="18">
        <f t="shared" si="67"/>
        <v>8.6792452830188674E-2</v>
      </c>
      <c r="X328" s="18">
        <f t="shared" si="68"/>
        <v>0.10309278350515463</v>
      </c>
      <c r="Y328" s="18">
        <f t="shared" si="69"/>
        <v>6.5217391304347824E-2</v>
      </c>
      <c r="Z328" s="18">
        <f t="shared" si="70"/>
        <v>0.22368421052631579</v>
      </c>
      <c r="AA328" s="10">
        <f t="shared" si="71"/>
        <v>0.1094119861</v>
      </c>
      <c r="AB328" t="str">
        <f>IF(AA328&gt;=Como_Avaliar!$B$15,"Alta",IF(AA328&gt;=Como_Avaliar!$B$16,"Média","Baixa"))</f>
        <v>Baixa</v>
      </c>
    </row>
    <row r="329" spans="1:28" x14ac:dyDescent="0.25">
      <c r="A329" t="s">
        <v>633</v>
      </c>
      <c r="B329" t="s">
        <v>355</v>
      </c>
      <c r="C329" t="s">
        <v>86</v>
      </c>
      <c r="D329" t="s">
        <v>59</v>
      </c>
      <c r="E329" t="s">
        <v>90</v>
      </c>
      <c r="F329">
        <v>28</v>
      </c>
      <c r="G329">
        <v>21</v>
      </c>
      <c r="H329">
        <v>8</v>
      </c>
      <c r="I329" t="s">
        <v>62</v>
      </c>
      <c r="J329" t="s">
        <v>97</v>
      </c>
      <c r="K329" t="s">
        <v>98</v>
      </c>
      <c r="L329" t="s">
        <v>284</v>
      </c>
      <c r="M329">
        <v>1</v>
      </c>
      <c r="N329" t="str">
        <f t="shared" si="60"/>
        <v>3. 16+ anos</v>
      </c>
      <c r="O329" t="str">
        <f t="shared" si="61"/>
        <v>2. 20 a 49</v>
      </c>
      <c r="P329" t="str">
        <f t="shared" si="62"/>
        <v>3. 6 a 15</v>
      </c>
      <c r="Q329">
        <f t="shared" si="63"/>
        <v>0</v>
      </c>
      <c r="R329">
        <f t="shared" si="64"/>
        <v>0</v>
      </c>
      <c r="S329">
        <f t="shared" si="65"/>
        <v>0</v>
      </c>
      <c r="V329" s="18">
        <f t="shared" si="66"/>
        <v>0.43835616438356162</v>
      </c>
      <c r="W329" s="18">
        <f t="shared" si="67"/>
        <v>0.55319148936170215</v>
      </c>
      <c r="X329" s="18">
        <f t="shared" si="68"/>
        <v>0.25294117647058822</v>
      </c>
      <c r="Y329" s="18">
        <f t="shared" si="69"/>
        <v>0.37662337662337664</v>
      </c>
      <c r="Z329" s="18">
        <f t="shared" si="70"/>
        <v>0.56634304207119746</v>
      </c>
      <c r="AA329" s="10">
        <f t="shared" si="71"/>
        <v>0.43749104979999998</v>
      </c>
      <c r="AB329" t="str">
        <f>IF(AA329&gt;=Como_Avaliar!$B$15,"Alta",IF(AA329&gt;=Como_Avaliar!$B$16,"Média","Baixa"))</f>
        <v>Média</v>
      </c>
    </row>
    <row r="330" spans="1:28" x14ac:dyDescent="0.25">
      <c r="A330" t="s">
        <v>634</v>
      </c>
      <c r="B330" t="s">
        <v>314</v>
      </c>
      <c r="C330" t="s">
        <v>84</v>
      </c>
      <c r="D330" t="s">
        <v>56</v>
      </c>
      <c r="E330" t="s">
        <v>92</v>
      </c>
      <c r="F330">
        <v>16</v>
      </c>
      <c r="G330">
        <v>10</v>
      </c>
      <c r="H330">
        <v>1</v>
      </c>
      <c r="I330" t="s">
        <v>65</v>
      </c>
      <c r="J330" t="s">
        <v>98</v>
      </c>
      <c r="K330" t="s">
        <v>97</v>
      </c>
      <c r="L330" t="s">
        <v>298</v>
      </c>
      <c r="M330">
        <v>0</v>
      </c>
      <c r="N330" t="str">
        <f t="shared" si="60"/>
        <v>3. 16+ anos</v>
      </c>
      <c r="O330" t="str">
        <f t="shared" si="61"/>
        <v>1. &lt; 20</v>
      </c>
      <c r="P330" t="str">
        <f t="shared" si="62"/>
        <v>1. 1 a 2</v>
      </c>
      <c r="Q330">
        <f t="shared" si="63"/>
        <v>0</v>
      </c>
      <c r="R330">
        <f t="shared" si="64"/>
        <v>0</v>
      </c>
      <c r="S330">
        <f t="shared" si="65"/>
        <v>1</v>
      </c>
      <c r="T330">
        <v>1</v>
      </c>
      <c r="U330" t="s">
        <v>139</v>
      </c>
      <c r="V330" s="18">
        <f t="shared" si="66"/>
        <v>6.8273092369477914E-2</v>
      </c>
      <c r="W330" s="18">
        <f t="shared" si="67"/>
        <v>8.6792452830188674E-2</v>
      </c>
      <c r="X330" s="18">
        <f t="shared" si="68"/>
        <v>0.10309278350515463</v>
      </c>
      <c r="Y330" s="18">
        <f t="shared" si="69"/>
        <v>0.39751552795031053</v>
      </c>
      <c r="Z330" s="18">
        <f t="shared" si="70"/>
        <v>0.56634304207119746</v>
      </c>
      <c r="AA330" s="10">
        <f t="shared" si="71"/>
        <v>0.24440337970000001</v>
      </c>
      <c r="AB330" t="str">
        <f>IF(AA330&gt;=Como_Avaliar!$B$15,"Alta",IF(AA330&gt;=Como_Avaliar!$B$16,"Média","Baixa"))</f>
        <v>Média</v>
      </c>
    </row>
    <row r="331" spans="1:28" x14ac:dyDescent="0.25">
      <c r="A331" t="s">
        <v>635</v>
      </c>
      <c r="B331" t="s">
        <v>327</v>
      </c>
      <c r="C331" t="s">
        <v>86</v>
      </c>
      <c r="D331" t="s">
        <v>56</v>
      </c>
      <c r="E331" t="s">
        <v>91</v>
      </c>
      <c r="F331">
        <v>26</v>
      </c>
      <c r="G331">
        <v>4</v>
      </c>
      <c r="H331">
        <v>2</v>
      </c>
      <c r="I331" t="s">
        <v>62</v>
      </c>
      <c r="J331" t="s">
        <v>97</v>
      </c>
      <c r="K331" t="s">
        <v>97</v>
      </c>
      <c r="L331" t="s">
        <v>284</v>
      </c>
      <c r="M331">
        <v>0</v>
      </c>
      <c r="N331" t="str">
        <f t="shared" si="60"/>
        <v>3. 16+ anos</v>
      </c>
      <c r="O331" t="str">
        <f t="shared" si="61"/>
        <v>1. &lt; 20</v>
      </c>
      <c r="P331" t="str">
        <f t="shared" si="62"/>
        <v>1. 1 a 2</v>
      </c>
      <c r="Q331">
        <f t="shared" si="63"/>
        <v>0</v>
      </c>
      <c r="R331">
        <f t="shared" si="64"/>
        <v>0</v>
      </c>
      <c r="S331">
        <f t="shared" si="65"/>
        <v>1</v>
      </c>
      <c r="T331">
        <v>1</v>
      </c>
      <c r="U331" t="s">
        <v>139</v>
      </c>
      <c r="V331" s="18">
        <f t="shared" si="66"/>
        <v>6.8273092369477914E-2</v>
      </c>
      <c r="W331" s="18">
        <f t="shared" si="67"/>
        <v>8.6792452830188674E-2</v>
      </c>
      <c r="X331" s="18">
        <f t="shared" si="68"/>
        <v>0.10309278350515463</v>
      </c>
      <c r="Y331" s="18">
        <f t="shared" si="69"/>
        <v>0.37662337662337664</v>
      </c>
      <c r="Z331" s="18">
        <f t="shared" si="70"/>
        <v>0.56634304207119746</v>
      </c>
      <c r="AA331" s="10">
        <f t="shared" si="71"/>
        <v>0.24022494950000001</v>
      </c>
      <c r="AB331" t="str">
        <f>IF(AA331&gt;=Como_Avaliar!$B$15,"Alta",IF(AA331&gt;=Como_Avaliar!$B$16,"Média","Baixa"))</f>
        <v>Média</v>
      </c>
    </row>
    <row r="332" spans="1:28" x14ac:dyDescent="0.25">
      <c r="A332" t="s">
        <v>636</v>
      </c>
      <c r="B332" t="s">
        <v>327</v>
      </c>
      <c r="C332" t="s">
        <v>86</v>
      </c>
      <c r="D332" t="s">
        <v>56</v>
      </c>
      <c r="E332" t="s">
        <v>96</v>
      </c>
      <c r="F332">
        <v>16</v>
      </c>
      <c r="G332">
        <v>15</v>
      </c>
      <c r="H332">
        <v>1</v>
      </c>
      <c r="I332" t="s">
        <v>62</v>
      </c>
      <c r="J332" t="s">
        <v>97</v>
      </c>
      <c r="K332" t="s">
        <v>98</v>
      </c>
      <c r="L332" t="s">
        <v>289</v>
      </c>
      <c r="M332">
        <v>0</v>
      </c>
      <c r="N332" t="str">
        <f t="shared" si="60"/>
        <v>3. 16+ anos</v>
      </c>
      <c r="O332" t="str">
        <f t="shared" si="61"/>
        <v>1. &lt; 20</v>
      </c>
      <c r="P332" t="str">
        <f t="shared" si="62"/>
        <v>1. 1 a 2</v>
      </c>
      <c r="Q332">
        <f t="shared" si="63"/>
        <v>0</v>
      </c>
      <c r="R332">
        <f t="shared" si="64"/>
        <v>0</v>
      </c>
      <c r="S332">
        <f t="shared" si="65"/>
        <v>1</v>
      </c>
      <c r="T332">
        <v>2</v>
      </c>
      <c r="U332" t="s">
        <v>139</v>
      </c>
      <c r="V332" s="18">
        <f t="shared" si="66"/>
        <v>6.8273092369477914E-2</v>
      </c>
      <c r="W332" s="18">
        <f t="shared" si="67"/>
        <v>8.6792452830188674E-2</v>
      </c>
      <c r="X332" s="18">
        <f t="shared" si="68"/>
        <v>0.10309278350515463</v>
      </c>
      <c r="Y332" s="18">
        <f t="shared" si="69"/>
        <v>0.37662337662337664</v>
      </c>
      <c r="Z332" s="18">
        <f t="shared" si="70"/>
        <v>0.56634304207119746</v>
      </c>
      <c r="AA332" s="10">
        <f t="shared" si="71"/>
        <v>0.24022494950000001</v>
      </c>
      <c r="AB332" t="str">
        <f>IF(AA332&gt;=Como_Avaliar!$B$15,"Alta",IF(AA332&gt;=Como_Avaliar!$B$16,"Média","Baixa"))</f>
        <v>Média</v>
      </c>
    </row>
    <row r="333" spans="1:28" x14ac:dyDescent="0.25">
      <c r="A333" t="s">
        <v>637</v>
      </c>
      <c r="B333" t="s">
        <v>288</v>
      </c>
      <c r="C333" t="s">
        <v>88</v>
      </c>
      <c r="D333" t="s">
        <v>59</v>
      </c>
      <c r="E333" t="s">
        <v>90</v>
      </c>
      <c r="F333">
        <v>25</v>
      </c>
      <c r="G333">
        <v>71</v>
      </c>
      <c r="H333">
        <v>4</v>
      </c>
      <c r="I333" t="s">
        <v>62</v>
      </c>
      <c r="J333" t="s">
        <v>97</v>
      </c>
      <c r="K333" t="s">
        <v>97</v>
      </c>
      <c r="L333" t="s">
        <v>298</v>
      </c>
      <c r="M333">
        <v>1</v>
      </c>
      <c r="N333" t="str">
        <f t="shared" si="60"/>
        <v>3. 16+ anos</v>
      </c>
      <c r="O333" t="str">
        <f t="shared" si="61"/>
        <v>3. 50 a 149</v>
      </c>
      <c r="P333" t="str">
        <f t="shared" si="62"/>
        <v>2. 3 a 5</v>
      </c>
      <c r="Q333">
        <f t="shared" si="63"/>
        <v>0</v>
      </c>
      <c r="R333">
        <f t="shared" si="64"/>
        <v>0</v>
      </c>
      <c r="S333">
        <f t="shared" si="65"/>
        <v>0</v>
      </c>
      <c r="V333" s="18">
        <f t="shared" si="66"/>
        <v>0.43835616438356162</v>
      </c>
      <c r="W333" s="18">
        <f t="shared" si="67"/>
        <v>0.38095238095238093</v>
      </c>
      <c r="X333" s="18">
        <f t="shared" si="68"/>
        <v>0.58992805755395683</v>
      </c>
      <c r="Y333" s="18">
        <f t="shared" si="69"/>
        <v>0.37662337662337664</v>
      </c>
      <c r="Z333" s="18">
        <f t="shared" si="70"/>
        <v>0.56634304207119746</v>
      </c>
      <c r="AA333" s="10">
        <f t="shared" si="71"/>
        <v>0.47044060430000001</v>
      </c>
      <c r="AB333" t="str">
        <f>IF(AA333&gt;=Como_Avaliar!$B$15,"Alta",IF(AA333&gt;=Como_Avaliar!$B$16,"Média","Baixa"))</f>
        <v>Média</v>
      </c>
    </row>
    <row r="334" spans="1:28" x14ac:dyDescent="0.25">
      <c r="A334" t="s">
        <v>638</v>
      </c>
      <c r="B334" t="s">
        <v>314</v>
      </c>
      <c r="C334" t="s">
        <v>84</v>
      </c>
      <c r="D334" t="s">
        <v>56</v>
      </c>
      <c r="E334" t="s">
        <v>92</v>
      </c>
      <c r="F334">
        <v>20</v>
      </c>
      <c r="G334">
        <v>10</v>
      </c>
      <c r="H334">
        <v>1</v>
      </c>
      <c r="I334" t="s">
        <v>62</v>
      </c>
      <c r="J334" t="s">
        <v>97</v>
      </c>
      <c r="K334" t="s">
        <v>97</v>
      </c>
      <c r="L334" t="s">
        <v>289</v>
      </c>
      <c r="M334">
        <v>0</v>
      </c>
      <c r="N334" t="str">
        <f t="shared" si="60"/>
        <v>3. 16+ anos</v>
      </c>
      <c r="O334" t="str">
        <f t="shared" si="61"/>
        <v>1. &lt; 20</v>
      </c>
      <c r="P334" t="str">
        <f t="shared" si="62"/>
        <v>1. 1 a 2</v>
      </c>
      <c r="Q334">
        <f t="shared" si="63"/>
        <v>0</v>
      </c>
      <c r="R334">
        <f t="shared" si="64"/>
        <v>0</v>
      </c>
      <c r="S334">
        <f t="shared" si="65"/>
        <v>1</v>
      </c>
      <c r="T334">
        <v>1</v>
      </c>
      <c r="U334" t="s">
        <v>139</v>
      </c>
      <c r="V334" s="18">
        <f t="shared" si="66"/>
        <v>6.8273092369477914E-2</v>
      </c>
      <c r="W334" s="18">
        <f t="shared" si="67"/>
        <v>8.6792452830188674E-2</v>
      </c>
      <c r="X334" s="18">
        <f t="shared" si="68"/>
        <v>0.10309278350515463</v>
      </c>
      <c r="Y334" s="18">
        <f t="shared" si="69"/>
        <v>0.37662337662337664</v>
      </c>
      <c r="Z334" s="18">
        <f t="shared" si="70"/>
        <v>0.56634304207119746</v>
      </c>
      <c r="AA334" s="10">
        <f t="shared" si="71"/>
        <v>0.24022494950000001</v>
      </c>
      <c r="AB334" t="str">
        <f>IF(AA334&gt;=Como_Avaliar!$B$15,"Alta",IF(AA334&gt;=Como_Avaliar!$B$16,"Média","Baixa"))</f>
        <v>Média</v>
      </c>
    </row>
    <row r="335" spans="1:28" x14ac:dyDescent="0.25">
      <c r="A335" t="s">
        <v>639</v>
      </c>
      <c r="B335" t="s">
        <v>286</v>
      </c>
      <c r="C335" t="s">
        <v>88</v>
      </c>
      <c r="D335" t="s">
        <v>59</v>
      </c>
      <c r="E335" t="s">
        <v>93</v>
      </c>
      <c r="F335">
        <v>28</v>
      </c>
      <c r="G335">
        <v>42</v>
      </c>
      <c r="H335">
        <v>4</v>
      </c>
      <c r="I335" t="s">
        <v>68</v>
      </c>
      <c r="J335" t="s">
        <v>98</v>
      </c>
      <c r="K335" t="s">
        <v>98</v>
      </c>
      <c r="L335" t="s">
        <v>284</v>
      </c>
      <c r="M335">
        <v>1</v>
      </c>
      <c r="N335" t="str">
        <f t="shared" si="60"/>
        <v>3. 16+ anos</v>
      </c>
      <c r="O335" t="str">
        <f t="shared" si="61"/>
        <v>2. 20 a 49</v>
      </c>
      <c r="P335" t="str">
        <f t="shared" si="62"/>
        <v>2. 3 a 5</v>
      </c>
      <c r="Q335">
        <f t="shared" si="63"/>
        <v>0</v>
      </c>
      <c r="R335">
        <f t="shared" si="64"/>
        <v>0</v>
      </c>
      <c r="S335">
        <f t="shared" si="65"/>
        <v>0</v>
      </c>
      <c r="V335" s="18">
        <f t="shared" si="66"/>
        <v>0.43835616438356162</v>
      </c>
      <c r="W335" s="18">
        <f t="shared" si="67"/>
        <v>0.38095238095238093</v>
      </c>
      <c r="X335" s="18">
        <f t="shared" si="68"/>
        <v>0.25294117647058822</v>
      </c>
      <c r="Y335" s="18">
        <f t="shared" si="69"/>
        <v>0.58333333333333337</v>
      </c>
      <c r="Z335" s="18">
        <f t="shared" si="70"/>
        <v>0.56634304207119746</v>
      </c>
      <c r="AA335" s="10">
        <f t="shared" si="71"/>
        <v>0.44438521939999998</v>
      </c>
      <c r="AB335" t="str">
        <f>IF(AA335&gt;=Como_Avaliar!$B$15,"Alta",IF(AA335&gt;=Como_Avaliar!$B$16,"Média","Baixa"))</f>
        <v>Média</v>
      </c>
    </row>
    <row r="336" spans="1:28" x14ac:dyDescent="0.25">
      <c r="A336" t="s">
        <v>640</v>
      </c>
      <c r="B336" t="s">
        <v>297</v>
      </c>
      <c r="C336" t="s">
        <v>86</v>
      </c>
      <c r="D336" t="s">
        <v>58</v>
      </c>
      <c r="E336" t="s">
        <v>96</v>
      </c>
      <c r="F336">
        <v>17</v>
      </c>
      <c r="G336">
        <v>74</v>
      </c>
      <c r="H336">
        <v>30</v>
      </c>
      <c r="I336" t="s">
        <v>68</v>
      </c>
      <c r="J336" t="s">
        <v>98</v>
      </c>
      <c r="K336" t="s">
        <v>97</v>
      </c>
      <c r="L336" t="s">
        <v>289</v>
      </c>
      <c r="M336">
        <v>1</v>
      </c>
      <c r="N336" t="str">
        <f t="shared" si="60"/>
        <v>3. 16+ anos</v>
      </c>
      <c r="O336" t="str">
        <f t="shared" si="61"/>
        <v>3. 50 a 149</v>
      </c>
      <c r="P336" t="str">
        <f t="shared" si="62"/>
        <v>4. 16+</v>
      </c>
      <c r="Q336">
        <f t="shared" si="63"/>
        <v>0</v>
      </c>
      <c r="R336">
        <f t="shared" si="64"/>
        <v>1</v>
      </c>
      <c r="S336">
        <f t="shared" si="65"/>
        <v>0</v>
      </c>
      <c r="V336" s="18">
        <f t="shared" si="66"/>
        <v>0.93975903614457834</v>
      </c>
      <c r="W336" s="18">
        <f t="shared" si="67"/>
        <v>0.97272727272727277</v>
      </c>
      <c r="X336" s="18">
        <f t="shared" si="68"/>
        <v>0.58992805755395683</v>
      </c>
      <c r="Y336" s="18">
        <f t="shared" si="69"/>
        <v>0.58333333333333337</v>
      </c>
      <c r="Z336" s="18">
        <f t="shared" si="70"/>
        <v>0.56634304207119746</v>
      </c>
      <c r="AA336" s="10">
        <f t="shared" si="71"/>
        <v>0.73041814839999997</v>
      </c>
      <c r="AB336" t="str">
        <f>IF(AA336&gt;=Como_Avaliar!$B$15,"Alta",IF(AA336&gt;=Como_Avaliar!$B$16,"Média","Baixa"))</f>
        <v>Alta</v>
      </c>
    </row>
    <row r="337" spans="1:28" x14ac:dyDescent="0.25">
      <c r="A337" t="s">
        <v>641</v>
      </c>
      <c r="B337" t="s">
        <v>327</v>
      </c>
      <c r="C337" t="s">
        <v>86</v>
      </c>
      <c r="D337" t="s">
        <v>56</v>
      </c>
      <c r="E337" t="s">
        <v>92</v>
      </c>
      <c r="F337">
        <v>2</v>
      </c>
      <c r="G337">
        <v>7</v>
      </c>
      <c r="H337">
        <v>2</v>
      </c>
      <c r="I337" t="s">
        <v>65</v>
      </c>
      <c r="J337" t="s">
        <v>97</v>
      </c>
      <c r="K337" t="s">
        <v>97</v>
      </c>
      <c r="L337" t="s">
        <v>298</v>
      </c>
      <c r="M337">
        <v>0</v>
      </c>
      <c r="N337" t="str">
        <f t="shared" si="60"/>
        <v>1. &lt; 8 anos</v>
      </c>
      <c r="O337" t="str">
        <f t="shared" si="61"/>
        <v>1. &lt; 20</v>
      </c>
      <c r="P337" t="str">
        <f t="shared" si="62"/>
        <v>1. 1 a 2</v>
      </c>
      <c r="Q337">
        <f t="shared" si="63"/>
        <v>0</v>
      </c>
      <c r="R337">
        <f t="shared" si="64"/>
        <v>0</v>
      </c>
      <c r="S337">
        <f t="shared" si="65"/>
        <v>1</v>
      </c>
      <c r="T337">
        <v>1</v>
      </c>
      <c r="U337" t="s">
        <v>139</v>
      </c>
      <c r="V337" s="18">
        <f t="shared" si="66"/>
        <v>6.8273092369477914E-2</v>
      </c>
      <c r="W337" s="18">
        <f t="shared" si="67"/>
        <v>8.6792452830188674E-2</v>
      </c>
      <c r="X337" s="18">
        <f t="shared" si="68"/>
        <v>0.10309278350515463</v>
      </c>
      <c r="Y337" s="18">
        <f t="shared" si="69"/>
        <v>0.39751552795031053</v>
      </c>
      <c r="Z337" s="18">
        <f t="shared" si="70"/>
        <v>0.22368421052631579</v>
      </c>
      <c r="AA337" s="10">
        <f t="shared" si="71"/>
        <v>0.17587161339999999</v>
      </c>
      <c r="AB337" t="str">
        <f>IF(AA337&gt;=Como_Avaliar!$B$15,"Alta",IF(AA337&gt;=Como_Avaliar!$B$16,"Média","Baixa"))</f>
        <v>Baixa</v>
      </c>
    </row>
    <row r="338" spans="1:28" x14ac:dyDescent="0.25">
      <c r="A338" t="s">
        <v>642</v>
      </c>
      <c r="B338" t="s">
        <v>288</v>
      </c>
      <c r="C338" t="s">
        <v>88</v>
      </c>
      <c r="D338" t="s">
        <v>56</v>
      </c>
      <c r="E338" t="s">
        <v>93</v>
      </c>
      <c r="F338">
        <v>1</v>
      </c>
      <c r="G338">
        <v>19</v>
      </c>
      <c r="H338">
        <v>1</v>
      </c>
      <c r="I338" t="s">
        <v>64</v>
      </c>
      <c r="J338" t="s">
        <v>97</v>
      </c>
      <c r="K338" t="s">
        <v>98</v>
      </c>
      <c r="L338" t="s">
        <v>329</v>
      </c>
      <c r="M338">
        <v>0</v>
      </c>
      <c r="N338" t="str">
        <f t="shared" si="60"/>
        <v>1. &lt; 8 anos</v>
      </c>
      <c r="O338" t="str">
        <f t="shared" si="61"/>
        <v>1. &lt; 20</v>
      </c>
      <c r="P338" t="str">
        <f t="shared" si="62"/>
        <v>1. 1 a 2</v>
      </c>
      <c r="Q338">
        <f t="shared" si="63"/>
        <v>1</v>
      </c>
      <c r="R338">
        <f t="shared" si="64"/>
        <v>0</v>
      </c>
      <c r="S338">
        <f t="shared" si="65"/>
        <v>1</v>
      </c>
      <c r="T338">
        <v>2</v>
      </c>
      <c r="U338" t="s">
        <v>139</v>
      </c>
      <c r="V338" s="18">
        <f t="shared" si="66"/>
        <v>6.8273092369477914E-2</v>
      </c>
      <c r="W338" s="18">
        <f t="shared" si="67"/>
        <v>8.6792452830188674E-2</v>
      </c>
      <c r="X338" s="18">
        <f t="shared" si="68"/>
        <v>0.10309278350515463</v>
      </c>
      <c r="Y338" s="18">
        <f t="shared" si="69"/>
        <v>0.15625</v>
      </c>
      <c r="Z338" s="18">
        <f t="shared" si="70"/>
        <v>0.22368421052631579</v>
      </c>
      <c r="AA338" s="10">
        <f t="shared" si="71"/>
        <v>0.1276185078</v>
      </c>
      <c r="AB338" t="str">
        <f>IF(AA338&gt;=Como_Avaliar!$B$15,"Alta",IF(AA338&gt;=Como_Avaliar!$B$16,"Média","Baixa"))</f>
        <v>Baixa</v>
      </c>
    </row>
    <row r="339" spans="1:28" x14ac:dyDescent="0.25">
      <c r="A339" t="s">
        <v>643</v>
      </c>
      <c r="B339" t="s">
        <v>327</v>
      </c>
      <c r="C339" t="s">
        <v>86</v>
      </c>
      <c r="D339" t="s">
        <v>56</v>
      </c>
      <c r="E339" t="s">
        <v>91</v>
      </c>
      <c r="F339">
        <v>16</v>
      </c>
      <c r="G339">
        <v>12</v>
      </c>
      <c r="H339">
        <v>2</v>
      </c>
      <c r="I339" t="s">
        <v>64</v>
      </c>
      <c r="J339" t="s">
        <v>98</v>
      </c>
      <c r="K339" t="s">
        <v>97</v>
      </c>
      <c r="L339" t="s">
        <v>284</v>
      </c>
      <c r="M339">
        <v>0</v>
      </c>
      <c r="N339" t="str">
        <f t="shared" si="60"/>
        <v>3. 16+ anos</v>
      </c>
      <c r="O339" t="str">
        <f t="shared" si="61"/>
        <v>1. &lt; 20</v>
      </c>
      <c r="P339" t="str">
        <f t="shared" si="62"/>
        <v>1. 1 a 2</v>
      </c>
      <c r="Q339">
        <f t="shared" si="63"/>
        <v>1</v>
      </c>
      <c r="R339">
        <f t="shared" si="64"/>
        <v>0</v>
      </c>
      <c r="S339">
        <f t="shared" si="65"/>
        <v>1</v>
      </c>
      <c r="T339">
        <v>2</v>
      </c>
      <c r="U339" t="s">
        <v>139</v>
      </c>
      <c r="V339" s="18">
        <f t="shared" si="66"/>
        <v>6.8273092369477914E-2</v>
      </c>
      <c r="W339" s="18">
        <f t="shared" si="67"/>
        <v>8.6792452830188674E-2</v>
      </c>
      <c r="X339" s="18">
        <f t="shared" si="68"/>
        <v>0.10309278350515463</v>
      </c>
      <c r="Y339" s="18">
        <f t="shared" si="69"/>
        <v>0.15625</v>
      </c>
      <c r="Z339" s="18">
        <f t="shared" si="70"/>
        <v>0.56634304207119746</v>
      </c>
      <c r="AA339" s="10">
        <f t="shared" si="71"/>
        <v>0.1961502742</v>
      </c>
      <c r="AB339" t="str">
        <f>IF(AA339&gt;=Como_Avaliar!$B$15,"Alta",IF(AA339&gt;=Como_Avaliar!$B$16,"Média","Baixa"))</f>
        <v>Baixa</v>
      </c>
    </row>
    <row r="340" spans="1:28" x14ac:dyDescent="0.25">
      <c r="A340" t="s">
        <v>644</v>
      </c>
      <c r="B340" t="s">
        <v>381</v>
      </c>
      <c r="C340" t="s">
        <v>88</v>
      </c>
      <c r="D340" t="s">
        <v>59</v>
      </c>
      <c r="E340" t="s">
        <v>90</v>
      </c>
      <c r="F340">
        <v>12</v>
      </c>
      <c r="G340">
        <v>44</v>
      </c>
      <c r="H340">
        <v>9</v>
      </c>
      <c r="I340" t="s">
        <v>62</v>
      </c>
      <c r="J340" t="s">
        <v>97</v>
      </c>
      <c r="K340" t="s">
        <v>97</v>
      </c>
      <c r="L340" t="s">
        <v>284</v>
      </c>
      <c r="M340">
        <v>1</v>
      </c>
      <c r="N340" t="str">
        <f t="shared" si="60"/>
        <v>2. 8 a 15 anos</v>
      </c>
      <c r="O340" t="str">
        <f t="shared" si="61"/>
        <v>2. 20 a 49</v>
      </c>
      <c r="P340" t="str">
        <f t="shared" si="62"/>
        <v>3. 6 a 15</v>
      </c>
      <c r="Q340">
        <f t="shared" si="63"/>
        <v>0</v>
      </c>
      <c r="R340">
        <f t="shared" si="64"/>
        <v>0</v>
      </c>
      <c r="S340">
        <f t="shared" si="65"/>
        <v>0</v>
      </c>
      <c r="V340" s="18">
        <f t="shared" si="66"/>
        <v>0.43835616438356162</v>
      </c>
      <c r="W340" s="18">
        <f t="shared" si="67"/>
        <v>0.55319148936170215</v>
      </c>
      <c r="X340" s="18">
        <f t="shared" si="68"/>
        <v>0.25294117647058822</v>
      </c>
      <c r="Y340" s="18">
        <f t="shared" si="69"/>
        <v>0.37662337662337664</v>
      </c>
      <c r="Z340" s="18">
        <f t="shared" si="70"/>
        <v>0.22302158273381295</v>
      </c>
      <c r="AA340" s="10">
        <f t="shared" si="71"/>
        <v>0.36882675790000002</v>
      </c>
      <c r="AB340" t="str">
        <f>IF(AA340&gt;=Como_Avaliar!$B$15,"Alta",IF(AA340&gt;=Como_Avaliar!$B$16,"Média","Baixa"))</f>
        <v>Média</v>
      </c>
    </row>
    <row r="341" spans="1:28" x14ac:dyDescent="0.25">
      <c r="A341" t="s">
        <v>645</v>
      </c>
      <c r="B341" t="s">
        <v>288</v>
      </c>
      <c r="C341" t="s">
        <v>88</v>
      </c>
      <c r="D341" t="s">
        <v>58</v>
      </c>
      <c r="E341" t="s">
        <v>96</v>
      </c>
      <c r="F341">
        <v>5</v>
      </c>
      <c r="G341">
        <v>247</v>
      </c>
      <c r="H341">
        <v>12</v>
      </c>
      <c r="I341" t="s">
        <v>68</v>
      </c>
      <c r="J341" t="s">
        <v>98</v>
      </c>
      <c r="K341" t="s">
        <v>97</v>
      </c>
      <c r="L341" t="s">
        <v>298</v>
      </c>
      <c r="M341">
        <v>0</v>
      </c>
      <c r="N341" t="str">
        <f t="shared" si="60"/>
        <v>1. &lt; 8 anos</v>
      </c>
      <c r="O341" t="str">
        <f t="shared" si="61"/>
        <v>4. 150+</v>
      </c>
      <c r="P341" t="str">
        <f t="shared" si="62"/>
        <v>3. 6 a 15</v>
      </c>
      <c r="Q341">
        <f t="shared" si="63"/>
        <v>0</v>
      </c>
      <c r="R341">
        <f t="shared" si="64"/>
        <v>1</v>
      </c>
      <c r="S341">
        <f t="shared" si="65"/>
        <v>1</v>
      </c>
      <c r="T341">
        <v>3</v>
      </c>
      <c r="U341" t="s">
        <v>138</v>
      </c>
      <c r="V341" s="18">
        <f t="shared" si="66"/>
        <v>0.93975903614457834</v>
      </c>
      <c r="W341" s="18">
        <f t="shared" si="67"/>
        <v>0.55319148936170215</v>
      </c>
      <c r="X341" s="18">
        <f t="shared" si="68"/>
        <v>0.97938144329896903</v>
      </c>
      <c r="Y341" s="18">
        <f t="shared" si="69"/>
        <v>0.58333333333333337</v>
      </c>
      <c r="Z341" s="18">
        <f t="shared" si="70"/>
        <v>0.22368421052631579</v>
      </c>
      <c r="AA341" s="10">
        <f t="shared" si="71"/>
        <v>0.65586990249999999</v>
      </c>
      <c r="AB341" t="str">
        <f>IF(AA341&gt;=Como_Avaliar!$B$15,"Alta",IF(AA341&gt;=Como_Avaliar!$B$16,"Média","Baixa"))</f>
        <v>Alta</v>
      </c>
    </row>
    <row r="342" spans="1:28" x14ac:dyDescent="0.25">
      <c r="A342" t="s">
        <v>646</v>
      </c>
      <c r="B342" t="s">
        <v>314</v>
      </c>
      <c r="C342" t="s">
        <v>84</v>
      </c>
      <c r="D342" t="s">
        <v>59</v>
      </c>
      <c r="E342" t="s">
        <v>90</v>
      </c>
      <c r="F342">
        <v>5</v>
      </c>
      <c r="G342">
        <v>55</v>
      </c>
      <c r="H342">
        <v>6</v>
      </c>
      <c r="I342" t="s">
        <v>65</v>
      </c>
      <c r="J342" t="s">
        <v>98</v>
      </c>
      <c r="K342" t="s">
        <v>97</v>
      </c>
      <c r="L342" t="s">
        <v>284</v>
      </c>
      <c r="M342">
        <v>0</v>
      </c>
      <c r="N342" t="str">
        <f t="shared" si="60"/>
        <v>1. &lt; 8 anos</v>
      </c>
      <c r="O342" t="str">
        <f t="shared" si="61"/>
        <v>3. 50 a 149</v>
      </c>
      <c r="P342" t="str">
        <f t="shared" si="62"/>
        <v>3. 6 a 15</v>
      </c>
      <c r="Q342">
        <f t="shared" si="63"/>
        <v>0</v>
      </c>
      <c r="R342">
        <f t="shared" si="64"/>
        <v>1</v>
      </c>
      <c r="S342">
        <f t="shared" si="65"/>
        <v>1</v>
      </c>
      <c r="T342">
        <v>3</v>
      </c>
      <c r="U342" t="s">
        <v>138</v>
      </c>
      <c r="V342" s="18">
        <f t="shared" si="66"/>
        <v>0.43835616438356162</v>
      </c>
      <c r="W342" s="18">
        <f t="shared" si="67"/>
        <v>0.55319148936170215</v>
      </c>
      <c r="X342" s="18">
        <f t="shared" si="68"/>
        <v>0.58992805755395683</v>
      </c>
      <c r="Y342" s="18">
        <f t="shared" si="69"/>
        <v>0.39751552795031053</v>
      </c>
      <c r="Z342" s="18">
        <f t="shared" si="70"/>
        <v>0.22368421052631579</v>
      </c>
      <c r="AA342" s="10">
        <f t="shared" si="71"/>
        <v>0.44053509000000002</v>
      </c>
      <c r="AB342" t="str">
        <f>IF(AA342&gt;=Como_Avaliar!$B$15,"Alta",IF(AA342&gt;=Como_Avaliar!$B$16,"Média","Baixa"))</f>
        <v>Média</v>
      </c>
    </row>
    <row r="343" spans="1:28" x14ac:dyDescent="0.25">
      <c r="A343" t="s">
        <v>647</v>
      </c>
      <c r="B343" t="s">
        <v>288</v>
      </c>
      <c r="C343" t="s">
        <v>88</v>
      </c>
      <c r="D343" t="s">
        <v>57</v>
      </c>
      <c r="E343" t="s">
        <v>92</v>
      </c>
      <c r="F343">
        <v>27</v>
      </c>
      <c r="G343">
        <v>791</v>
      </c>
      <c r="H343">
        <v>78</v>
      </c>
      <c r="I343" t="s">
        <v>65</v>
      </c>
      <c r="J343" t="s">
        <v>98</v>
      </c>
      <c r="K343" t="s">
        <v>97</v>
      </c>
      <c r="L343" t="s">
        <v>284</v>
      </c>
      <c r="M343">
        <v>1</v>
      </c>
      <c r="N343" t="str">
        <f t="shared" si="60"/>
        <v>3. 16+ anos</v>
      </c>
      <c r="O343" t="str">
        <f t="shared" si="61"/>
        <v>4. 150+</v>
      </c>
      <c r="P343" t="str">
        <f t="shared" si="62"/>
        <v>4. 16+</v>
      </c>
      <c r="Q343">
        <f t="shared" si="63"/>
        <v>0</v>
      </c>
      <c r="R343">
        <f t="shared" si="64"/>
        <v>1</v>
      </c>
      <c r="S343">
        <f t="shared" si="65"/>
        <v>0</v>
      </c>
      <c r="V343" s="18">
        <f t="shared" si="66"/>
        <v>1</v>
      </c>
      <c r="W343" s="18">
        <f t="shared" si="67"/>
        <v>0.97272727272727277</v>
      </c>
      <c r="X343" s="18">
        <f t="shared" si="68"/>
        <v>0.97938144329896903</v>
      </c>
      <c r="Y343" s="18">
        <f t="shared" si="69"/>
        <v>0.39751552795031053</v>
      </c>
      <c r="Z343" s="18">
        <f t="shared" si="70"/>
        <v>0.56634304207119746</v>
      </c>
      <c r="AA343" s="10">
        <f t="shared" si="71"/>
        <v>0.7831934572</v>
      </c>
      <c r="AB343" t="str">
        <f>IF(AA343&gt;=Como_Avaliar!$B$15,"Alta",IF(AA343&gt;=Como_Avaliar!$B$16,"Média","Baixa"))</f>
        <v>Alta</v>
      </c>
    </row>
    <row r="344" spans="1:28" x14ac:dyDescent="0.25">
      <c r="A344" t="s">
        <v>648</v>
      </c>
      <c r="B344" t="s">
        <v>286</v>
      </c>
      <c r="C344" t="s">
        <v>88</v>
      </c>
      <c r="D344" t="s">
        <v>59</v>
      </c>
      <c r="E344" t="s">
        <v>96</v>
      </c>
      <c r="F344">
        <v>23</v>
      </c>
      <c r="G344">
        <v>56</v>
      </c>
      <c r="H344">
        <v>8</v>
      </c>
      <c r="I344" t="s">
        <v>62</v>
      </c>
      <c r="J344" t="s">
        <v>97</v>
      </c>
      <c r="K344" t="s">
        <v>98</v>
      </c>
      <c r="L344" t="s">
        <v>298</v>
      </c>
      <c r="M344">
        <v>1</v>
      </c>
      <c r="N344" t="str">
        <f t="shared" si="60"/>
        <v>3. 16+ anos</v>
      </c>
      <c r="O344" t="str">
        <f t="shared" si="61"/>
        <v>3. 50 a 149</v>
      </c>
      <c r="P344" t="str">
        <f t="shared" si="62"/>
        <v>3. 6 a 15</v>
      </c>
      <c r="Q344">
        <f t="shared" si="63"/>
        <v>0</v>
      </c>
      <c r="R344">
        <f t="shared" si="64"/>
        <v>1</v>
      </c>
      <c r="S344">
        <f t="shared" si="65"/>
        <v>0</v>
      </c>
      <c r="V344" s="18">
        <f t="shared" si="66"/>
        <v>0.43835616438356162</v>
      </c>
      <c r="W344" s="18">
        <f t="shared" si="67"/>
        <v>0.55319148936170215</v>
      </c>
      <c r="X344" s="18">
        <f t="shared" si="68"/>
        <v>0.58992805755395683</v>
      </c>
      <c r="Y344" s="18">
        <f t="shared" si="69"/>
        <v>0.37662337662337664</v>
      </c>
      <c r="Z344" s="18">
        <f t="shared" si="70"/>
        <v>0.56634304207119746</v>
      </c>
      <c r="AA344" s="10">
        <f t="shared" si="71"/>
        <v>0.50488842599999995</v>
      </c>
      <c r="AB344" t="str">
        <f>IF(AA344&gt;=Como_Avaliar!$B$15,"Alta",IF(AA344&gt;=Como_Avaliar!$B$16,"Média","Baixa"))</f>
        <v>Alta</v>
      </c>
    </row>
    <row r="345" spans="1:28" x14ac:dyDescent="0.25">
      <c r="A345" t="s">
        <v>649</v>
      </c>
      <c r="B345" t="s">
        <v>286</v>
      </c>
      <c r="C345" t="s">
        <v>88</v>
      </c>
      <c r="D345" t="s">
        <v>56</v>
      </c>
      <c r="E345" t="s">
        <v>95</v>
      </c>
      <c r="F345">
        <v>9</v>
      </c>
      <c r="G345">
        <v>10</v>
      </c>
      <c r="H345">
        <v>2</v>
      </c>
      <c r="I345" t="s">
        <v>61</v>
      </c>
      <c r="J345" t="s">
        <v>97</v>
      </c>
      <c r="K345" t="s">
        <v>98</v>
      </c>
      <c r="L345" t="s">
        <v>322</v>
      </c>
      <c r="M345">
        <v>0</v>
      </c>
      <c r="N345" t="str">
        <f t="shared" si="60"/>
        <v>2. 8 a 15 anos</v>
      </c>
      <c r="O345" t="str">
        <f t="shared" si="61"/>
        <v>1. &lt; 20</v>
      </c>
      <c r="P345" t="str">
        <f t="shared" si="62"/>
        <v>1. 1 a 2</v>
      </c>
      <c r="Q345">
        <f t="shared" si="63"/>
        <v>1</v>
      </c>
      <c r="R345">
        <f t="shared" si="64"/>
        <v>0</v>
      </c>
      <c r="S345">
        <f t="shared" si="65"/>
        <v>0</v>
      </c>
      <c r="V345" s="18">
        <f t="shared" si="66"/>
        <v>6.8273092369477914E-2</v>
      </c>
      <c r="W345" s="18">
        <f t="shared" si="67"/>
        <v>8.6792452830188674E-2</v>
      </c>
      <c r="X345" s="18">
        <f t="shared" si="68"/>
        <v>0.10309278350515463</v>
      </c>
      <c r="Y345" s="18">
        <f t="shared" si="69"/>
        <v>0</v>
      </c>
      <c r="Z345" s="18">
        <f t="shared" si="70"/>
        <v>0.22302158273381295</v>
      </c>
      <c r="AA345" s="10">
        <f t="shared" si="71"/>
        <v>9.6235982299999995E-2</v>
      </c>
      <c r="AB345" t="str">
        <f>IF(AA345&gt;=Como_Avaliar!$B$15,"Alta",IF(AA345&gt;=Como_Avaliar!$B$16,"Média","Baixa"))</f>
        <v>Baixa</v>
      </c>
    </row>
    <row r="346" spans="1:28" x14ac:dyDescent="0.25">
      <c r="A346" t="s">
        <v>650</v>
      </c>
      <c r="B346" t="s">
        <v>288</v>
      </c>
      <c r="C346" t="s">
        <v>88</v>
      </c>
      <c r="D346" t="s">
        <v>56</v>
      </c>
      <c r="E346" t="s">
        <v>92</v>
      </c>
      <c r="F346">
        <v>9</v>
      </c>
      <c r="G346">
        <v>12</v>
      </c>
      <c r="H346">
        <v>1</v>
      </c>
      <c r="I346" t="s">
        <v>65</v>
      </c>
      <c r="J346" t="s">
        <v>98</v>
      </c>
      <c r="K346" t="s">
        <v>97</v>
      </c>
      <c r="L346" t="s">
        <v>298</v>
      </c>
      <c r="M346">
        <v>0</v>
      </c>
      <c r="N346" t="str">
        <f t="shared" si="60"/>
        <v>2. 8 a 15 anos</v>
      </c>
      <c r="O346" t="str">
        <f t="shared" si="61"/>
        <v>1. &lt; 20</v>
      </c>
      <c r="P346" t="str">
        <f t="shared" si="62"/>
        <v>1. 1 a 2</v>
      </c>
      <c r="Q346">
        <f t="shared" si="63"/>
        <v>0</v>
      </c>
      <c r="R346">
        <f t="shared" si="64"/>
        <v>0</v>
      </c>
      <c r="S346">
        <f t="shared" si="65"/>
        <v>1</v>
      </c>
      <c r="T346">
        <v>3</v>
      </c>
      <c r="U346" t="s">
        <v>138</v>
      </c>
      <c r="V346" s="18">
        <f t="shared" si="66"/>
        <v>6.8273092369477914E-2</v>
      </c>
      <c r="W346" s="18">
        <f t="shared" si="67"/>
        <v>8.6792452830188674E-2</v>
      </c>
      <c r="X346" s="18">
        <f t="shared" si="68"/>
        <v>0.10309278350515463</v>
      </c>
      <c r="Y346" s="18">
        <f t="shared" si="69"/>
        <v>0.39751552795031053</v>
      </c>
      <c r="Z346" s="18">
        <f t="shared" si="70"/>
        <v>0.22302158273381295</v>
      </c>
      <c r="AA346" s="10">
        <f t="shared" si="71"/>
        <v>0.17573908790000001</v>
      </c>
      <c r="AB346" t="str">
        <f>IF(AA346&gt;=Como_Avaliar!$B$15,"Alta",IF(AA346&gt;=Como_Avaliar!$B$16,"Média","Baixa"))</f>
        <v>Baixa</v>
      </c>
    </row>
    <row r="347" spans="1:28" x14ac:dyDescent="0.25">
      <c r="A347" t="s">
        <v>651</v>
      </c>
      <c r="B347" t="s">
        <v>327</v>
      </c>
      <c r="C347" t="s">
        <v>86</v>
      </c>
      <c r="D347" t="s">
        <v>59</v>
      </c>
      <c r="E347" t="s">
        <v>96</v>
      </c>
      <c r="F347">
        <v>3</v>
      </c>
      <c r="G347">
        <v>33</v>
      </c>
      <c r="H347">
        <v>3</v>
      </c>
      <c r="I347" t="s">
        <v>62</v>
      </c>
      <c r="J347" t="s">
        <v>97</v>
      </c>
      <c r="K347" t="s">
        <v>98</v>
      </c>
      <c r="L347" t="s">
        <v>284</v>
      </c>
      <c r="M347">
        <v>0</v>
      </c>
      <c r="N347" t="str">
        <f t="shared" si="60"/>
        <v>1. &lt; 8 anos</v>
      </c>
      <c r="O347" t="str">
        <f t="shared" si="61"/>
        <v>2. 20 a 49</v>
      </c>
      <c r="P347" t="str">
        <f t="shared" si="62"/>
        <v>2. 3 a 5</v>
      </c>
      <c r="Q347">
        <f t="shared" si="63"/>
        <v>0</v>
      </c>
      <c r="R347">
        <f t="shared" si="64"/>
        <v>0</v>
      </c>
      <c r="S347">
        <f t="shared" si="65"/>
        <v>1</v>
      </c>
      <c r="T347">
        <v>3</v>
      </c>
      <c r="U347" t="s">
        <v>138</v>
      </c>
      <c r="V347" s="18">
        <f t="shared" si="66"/>
        <v>0.43835616438356162</v>
      </c>
      <c r="W347" s="18">
        <f t="shared" si="67"/>
        <v>0.38095238095238093</v>
      </c>
      <c r="X347" s="18">
        <f t="shared" si="68"/>
        <v>0.25294117647058822</v>
      </c>
      <c r="Y347" s="18">
        <f t="shared" si="69"/>
        <v>0.37662337662337664</v>
      </c>
      <c r="Z347" s="18">
        <f t="shared" si="70"/>
        <v>0.22368421052631579</v>
      </c>
      <c r="AA347" s="10">
        <f t="shared" si="71"/>
        <v>0.33451146180000002</v>
      </c>
      <c r="AB347" t="str">
        <f>IF(AA347&gt;=Como_Avaliar!$B$15,"Alta",IF(AA347&gt;=Como_Avaliar!$B$16,"Média","Baixa"))</f>
        <v>Média</v>
      </c>
    </row>
    <row r="348" spans="1:28" x14ac:dyDescent="0.25">
      <c r="A348" t="s">
        <v>652</v>
      </c>
      <c r="B348" t="s">
        <v>334</v>
      </c>
      <c r="C348" t="s">
        <v>87</v>
      </c>
      <c r="D348" t="s">
        <v>57</v>
      </c>
      <c r="E348" t="s">
        <v>92</v>
      </c>
      <c r="F348">
        <v>19</v>
      </c>
      <c r="G348">
        <v>733</v>
      </c>
      <c r="H348">
        <v>76</v>
      </c>
      <c r="I348" t="s">
        <v>65</v>
      </c>
      <c r="J348" t="s">
        <v>97</v>
      </c>
      <c r="K348" t="s">
        <v>97</v>
      </c>
      <c r="L348" t="s">
        <v>284</v>
      </c>
      <c r="M348">
        <v>1</v>
      </c>
      <c r="N348" t="str">
        <f t="shared" si="60"/>
        <v>3. 16+ anos</v>
      </c>
      <c r="O348" t="str">
        <f t="shared" si="61"/>
        <v>4. 150+</v>
      </c>
      <c r="P348" t="str">
        <f t="shared" si="62"/>
        <v>4. 16+</v>
      </c>
      <c r="Q348">
        <f t="shared" si="63"/>
        <v>0</v>
      </c>
      <c r="R348">
        <f t="shared" si="64"/>
        <v>1</v>
      </c>
      <c r="S348">
        <f t="shared" si="65"/>
        <v>0</v>
      </c>
      <c r="V348" s="18">
        <f t="shared" si="66"/>
        <v>1</v>
      </c>
      <c r="W348" s="18">
        <f t="shared" si="67"/>
        <v>0.97272727272727277</v>
      </c>
      <c r="X348" s="18">
        <f t="shared" si="68"/>
        <v>0.97938144329896903</v>
      </c>
      <c r="Y348" s="18">
        <f t="shared" si="69"/>
        <v>0.39751552795031053</v>
      </c>
      <c r="Z348" s="18">
        <f t="shared" si="70"/>
        <v>0.56634304207119746</v>
      </c>
      <c r="AA348" s="10">
        <f t="shared" si="71"/>
        <v>0.7831934572</v>
      </c>
      <c r="AB348" t="str">
        <f>IF(AA348&gt;=Como_Avaliar!$B$15,"Alta",IF(AA348&gt;=Como_Avaliar!$B$16,"Média","Baixa"))</f>
        <v>Alta</v>
      </c>
    </row>
    <row r="349" spans="1:28" x14ac:dyDescent="0.25">
      <c r="A349" t="s">
        <v>653</v>
      </c>
      <c r="B349" t="s">
        <v>288</v>
      </c>
      <c r="C349" t="s">
        <v>88</v>
      </c>
      <c r="D349" t="s">
        <v>56</v>
      </c>
      <c r="E349" t="s">
        <v>93</v>
      </c>
      <c r="F349">
        <v>16</v>
      </c>
      <c r="G349">
        <v>10</v>
      </c>
      <c r="H349">
        <v>2</v>
      </c>
      <c r="I349" t="s">
        <v>62</v>
      </c>
      <c r="J349" t="s">
        <v>97</v>
      </c>
      <c r="K349" t="s">
        <v>97</v>
      </c>
      <c r="L349" t="s">
        <v>284</v>
      </c>
      <c r="M349">
        <v>0</v>
      </c>
      <c r="N349" t="str">
        <f t="shared" si="60"/>
        <v>3. 16+ anos</v>
      </c>
      <c r="O349" t="str">
        <f t="shared" si="61"/>
        <v>1. &lt; 20</v>
      </c>
      <c r="P349" t="str">
        <f t="shared" si="62"/>
        <v>1. 1 a 2</v>
      </c>
      <c r="Q349">
        <f t="shared" si="63"/>
        <v>0</v>
      </c>
      <c r="R349">
        <f t="shared" si="64"/>
        <v>0</v>
      </c>
      <c r="S349">
        <f t="shared" si="65"/>
        <v>1</v>
      </c>
      <c r="T349">
        <v>1</v>
      </c>
      <c r="U349" t="s">
        <v>139</v>
      </c>
      <c r="V349" s="18">
        <f t="shared" si="66"/>
        <v>6.8273092369477914E-2</v>
      </c>
      <c r="W349" s="18">
        <f t="shared" si="67"/>
        <v>8.6792452830188674E-2</v>
      </c>
      <c r="X349" s="18">
        <f t="shared" si="68"/>
        <v>0.10309278350515463</v>
      </c>
      <c r="Y349" s="18">
        <f t="shared" si="69"/>
        <v>0.37662337662337664</v>
      </c>
      <c r="Z349" s="18">
        <f t="shared" si="70"/>
        <v>0.56634304207119746</v>
      </c>
      <c r="AA349" s="10">
        <f t="shared" si="71"/>
        <v>0.24022494950000001</v>
      </c>
      <c r="AB349" t="str">
        <f>IF(AA349&gt;=Como_Avaliar!$B$15,"Alta",IF(AA349&gt;=Como_Avaliar!$B$16,"Média","Baixa"))</f>
        <v>Média</v>
      </c>
    </row>
    <row r="350" spans="1:28" x14ac:dyDescent="0.25">
      <c r="A350" t="s">
        <v>654</v>
      </c>
      <c r="B350" t="s">
        <v>283</v>
      </c>
      <c r="C350" t="s">
        <v>89</v>
      </c>
      <c r="D350" t="s">
        <v>56</v>
      </c>
      <c r="E350" t="s">
        <v>94</v>
      </c>
      <c r="F350">
        <v>16</v>
      </c>
      <c r="G350">
        <v>16</v>
      </c>
      <c r="H350">
        <v>2</v>
      </c>
      <c r="I350" t="s">
        <v>64</v>
      </c>
      <c r="J350" t="s">
        <v>97</v>
      </c>
      <c r="K350" t="s">
        <v>97</v>
      </c>
      <c r="L350" t="s">
        <v>322</v>
      </c>
      <c r="M350">
        <v>0</v>
      </c>
      <c r="N350" t="str">
        <f t="shared" si="60"/>
        <v>3. 16+ anos</v>
      </c>
      <c r="O350" t="str">
        <f t="shared" si="61"/>
        <v>1. &lt; 20</v>
      </c>
      <c r="P350" t="str">
        <f t="shared" si="62"/>
        <v>1. 1 a 2</v>
      </c>
      <c r="Q350">
        <f t="shared" si="63"/>
        <v>1</v>
      </c>
      <c r="R350">
        <f t="shared" si="64"/>
        <v>0</v>
      </c>
      <c r="S350">
        <f t="shared" si="65"/>
        <v>0</v>
      </c>
      <c r="V350" s="18">
        <f t="shared" si="66"/>
        <v>6.8273092369477914E-2</v>
      </c>
      <c r="W350" s="18">
        <f t="shared" si="67"/>
        <v>8.6792452830188674E-2</v>
      </c>
      <c r="X350" s="18">
        <f t="shared" si="68"/>
        <v>0.10309278350515463</v>
      </c>
      <c r="Y350" s="18">
        <f t="shared" si="69"/>
        <v>0.15625</v>
      </c>
      <c r="Z350" s="18">
        <f t="shared" si="70"/>
        <v>0.56634304207119746</v>
      </c>
      <c r="AA350" s="10">
        <f t="shared" si="71"/>
        <v>0.1961502742</v>
      </c>
      <c r="AB350" t="str">
        <f>IF(AA350&gt;=Como_Avaliar!$B$15,"Alta",IF(AA350&gt;=Como_Avaliar!$B$16,"Média","Baixa"))</f>
        <v>Baixa</v>
      </c>
    </row>
    <row r="351" spans="1:28" x14ac:dyDescent="0.25">
      <c r="A351" t="s">
        <v>655</v>
      </c>
      <c r="B351" t="s">
        <v>301</v>
      </c>
      <c r="C351" t="s">
        <v>88</v>
      </c>
      <c r="D351" t="s">
        <v>58</v>
      </c>
      <c r="E351" t="s">
        <v>94</v>
      </c>
      <c r="F351">
        <v>3</v>
      </c>
      <c r="G351">
        <v>136</v>
      </c>
      <c r="H351">
        <v>22</v>
      </c>
      <c r="I351" t="s">
        <v>60</v>
      </c>
      <c r="J351" t="s">
        <v>98</v>
      </c>
      <c r="K351" t="s">
        <v>98</v>
      </c>
      <c r="L351" t="s">
        <v>322</v>
      </c>
      <c r="M351">
        <v>1</v>
      </c>
      <c r="N351" t="str">
        <f t="shared" si="60"/>
        <v>1. &lt; 8 anos</v>
      </c>
      <c r="O351" t="str">
        <f t="shared" si="61"/>
        <v>3. 50 a 149</v>
      </c>
      <c r="P351" t="str">
        <f t="shared" si="62"/>
        <v>4. 16+</v>
      </c>
      <c r="Q351">
        <f t="shared" si="63"/>
        <v>0</v>
      </c>
      <c r="R351">
        <f t="shared" si="64"/>
        <v>1</v>
      </c>
      <c r="S351">
        <f t="shared" si="65"/>
        <v>0</v>
      </c>
      <c r="V351" s="18">
        <f t="shared" si="66"/>
        <v>0.93975903614457834</v>
      </c>
      <c r="W351" s="18">
        <f t="shared" si="67"/>
        <v>0.97272727272727277</v>
      </c>
      <c r="X351" s="18">
        <f t="shared" si="68"/>
        <v>0.58992805755395683</v>
      </c>
      <c r="Y351" s="18">
        <f t="shared" si="69"/>
        <v>0.65217391304347827</v>
      </c>
      <c r="Z351" s="18">
        <f t="shared" si="70"/>
        <v>0.22368421052631579</v>
      </c>
      <c r="AA351" s="10">
        <f t="shared" si="71"/>
        <v>0.67565449799999999</v>
      </c>
      <c r="AB351" t="str">
        <f>IF(AA351&gt;=Como_Avaliar!$B$15,"Alta",IF(AA351&gt;=Como_Avaliar!$B$16,"Média","Baixa"))</f>
        <v>Alta</v>
      </c>
    </row>
    <row r="352" spans="1:28" x14ac:dyDescent="0.25">
      <c r="A352" t="s">
        <v>656</v>
      </c>
      <c r="B352" t="s">
        <v>363</v>
      </c>
      <c r="C352" t="s">
        <v>87</v>
      </c>
      <c r="D352" t="s">
        <v>58</v>
      </c>
      <c r="E352" t="s">
        <v>94</v>
      </c>
      <c r="F352">
        <v>20</v>
      </c>
      <c r="G352">
        <v>130</v>
      </c>
      <c r="H352">
        <v>23</v>
      </c>
      <c r="I352" t="s">
        <v>68</v>
      </c>
      <c r="J352" t="s">
        <v>98</v>
      </c>
      <c r="K352" t="s">
        <v>97</v>
      </c>
      <c r="L352" t="s">
        <v>284</v>
      </c>
      <c r="M352">
        <v>1</v>
      </c>
      <c r="N352" t="str">
        <f t="shared" si="60"/>
        <v>3. 16+ anos</v>
      </c>
      <c r="O352" t="str">
        <f t="shared" si="61"/>
        <v>3. 50 a 149</v>
      </c>
      <c r="P352" t="str">
        <f t="shared" si="62"/>
        <v>4. 16+</v>
      </c>
      <c r="Q352">
        <f t="shared" si="63"/>
        <v>0</v>
      </c>
      <c r="R352">
        <f t="shared" si="64"/>
        <v>1</v>
      </c>
      <c r="S352">
        <f t="shared" si="65"/>
        <v>0</v>
      </c>
      <c r="V352" s="18">
        <f t="shared" si="66"/>
        <v>0.93975903614457834</v>
      </c>
      <c r="W352" s="18">
        <f t="shared" si="67"/>
        <v>0.97272727272727277</v>
      </c>
      <c r="X352" s="18">
        <f t="shared" si="68"/>
        <v>0.58992805755395683</v>
      </c>
      <c r="Y352" s="18">
        <f t="shared" si="69"/>
        <v>0.58333333333333337</v>
      </c>
      <c r="Z352" s="18">
        <f t="shared" si="70"/>
        <v>0.56634304207119746</v>
      </c>
      <c r="AA352" s="10">
        <f t="shared" si="71"/>
        <v>0.73041814839999997</v>
      </c>
      <c r="AB352" t="str">
        <f>IF(AA352&gt;=Como_Avaliar!$B$15,"Alta",IF(AA352&gt;=Como_Avaliar!$B$16,"Média","Baixa"))</f>
        <v>Alta</v>
      </c>
    </row>
    <row r="353" spans="1:28" x14ac:dyDescent="0.25">
      <c r="A353" t="s">
        <v>657</v>
      </c>
      <c r="B353" t="s">
        <v>305</v>
      </c>
      <c r="C353" t="s">
        <v>89</v>
      </c>
      <c r="D353" t="s">
        <v>56</v>
      </c>
      <c r="E353" t="s">
        <v>93</v>
      </c>
      <c r="F353">
        <v>24</v>
      </c>
      <c r="G353">
        <v>4</v>
      </c>
      <c r="H353">
        <v>2</v>
      </c>
      <c r="I353" t="s">
        <v>63</v>
      </c>
      <c r="J353" t="s">
        <v>98</v>
      </c>
      <c r="K353" t="s">
        <v>97</v>
      </c>
      <c r="L353" t="s">
        <v>298</v>
      </c>
      <c r="M353">
        <v>0</v>
      </c>
      <c r="N353" t="str">
        <f t="shared" si="60"/>
        <v>3. 16+ anos</v>
      </c>
      <c r="O353" t="str">
        <f t="shared" si="61"/>
        <v>1. &lt; 20</v>
      </c>
      <c r="P353" t="str">
        <f t="shared" si="62"/>
        <v>1. 1 a 2</v>
      </c>
      <c r="Q353">
        <f t="shared" si="63"/>
        <v>1</v>
      </c>
      <c r="R353">
        <f t="shared" si="64"/>
        <v>0</v>
      </c>
      <c r="S353">
        <f t="shared" si="65"/>
        <v>1</v>
      </c>
      <c r="T353">
        <v>1</v>
      </c>
      <c r="U353" t="s">
        <v>139</v>
      </c>
      <c r="V353" s="18">
        <f t="shared" si="66"/>
        <v>6.8273092369477914E-2</v>
      </c>
      <c r="W353" s="18">
        <f t="shared" si="67"/>
        <v>8.6792452830188674E-2</v>
      </c>
      <c r="X353" s="18">
        <f t="shared" si="68"/>
        <v>0.10309278350515463</v>
      </c>
      <c r="Y353" s="18">
        <f t="shared" si="69"/>
        <v>6.5217391304347824E-2</v>
      </c>
      <c r="Z353" s="18">
        <f t="shared" si="70"/>
        <v>0.56634304207119746</v>
      </c>
      <c r="AA353" s="10">
        <f t="shared" si="71"/>
        <v>0.17794375239999999</v>
      </c>
      <c r="AB353" t="str">
        <f>IF(AA353&gt;=Como_Avaliar!$B$15,"Alta",IF(AA353&gt;=Como_Avaliar!$B$16,"Média","Baixa"))</f>
        <v>Baixa</v>
      </c>
    </row>
    <row r="354" spans="1:28" x14ac:dyDescent="0.25">
      <c r="A354" t="s">
        <v>658</v>
      </c>
      <c r="B354" t="s">
        <v>355</v>
      </c>
      <c r="C354" t="s">
        <v>86</v>
      </c>
      <c r="D354" t="s">
        <v>56</v>
      </c>
      <c r="E354" t="s">
        <v>92</v>
      </c>
      <c r="F354">
        <v>22</v>
      </c>
      <c r="G354">
        <v>20</v>
      </c>
      <c r="H354">
        <v>1</v>
      </c>
      <c r="I354" t="s">
        <v>62</v>
      </c>
      <c r="J354" t="s">
        <v>98</v>
      </c>
      <c r="K354" t="s">
        <v>97</v>
      </c>
      <c r="L354" t="s">
        <v>289</v>
      </c>
      <c r="M354">
        <v>0</v>
      </c>
      <c r="N354" t="str">
        <f t="shared" si="60"/>
        <v>3. 16+ anos</v>
      </c>
      <c r="O354" t="str">
        <f t="shared" si="61"/>
        <v>2. 20 a 49</v>
      </c>
      <c r="P354" t="str">
        <f t="shared" si="62"/>
        <v>1. 1 a 2</v>
      </c>
      <c r="Q354">
        <f t="shared" si="63"/>
        <v>0</v>
      </c>
      <c r="R354">
        <f t="shared" si="64"/>
        <v>0</v>
      </c>
      <c r="S354">
        <f t="shared" si="65"/>
        <v>1</v>
      </c>
      <c r="T354">
        <v>2</v>
      </c>
      <c r="U354" t="s">
        <v>139</v>
      </c>
      <c r="V354" s="18">
        <f t="shared" si="66"/>
        <v>6.8273092369477914E-2</v>
      </c>
      <c r="W354" s="18">
        <f t="shared" si="67"/>
        <v>8.6792452830188674E-2</v>
      </c>
      <c r="X354" s="18">
        <f t="shared" si="68"/>
        <v>0.25294117647058822</v>
      </c>
      <c r="Y354" s="18">
        <f t="shared" si="69"/>
        <v>0.37662337662337664</v>
      </c>
      <c r="Z354" s="18">
        <f t="shared" si="70"/>
        <v>0.56634304207119746</v>
      </c>
      <c r="AA354" s="10">
        <f t="shared" si="71"/>
        <v>0.2701946281</v>
      </c>
      <c r="AB354" t="str">
        <f>IF(AA354&gt;=Como_Avaliar!$B$15,"Alta",IF(AA354&gt;=Como_Avaliar!$B$16,"Média","Baixa"))</f>
        <v>Média</v>
      </c>
    </row>
    <row r="355" spans="1:28" x14ac:dyDescent="0.25">
      <c r="A355" t="s">
        <v>659</v>
      </c>
      <c r="B355" t="s">
        <v>286</v>
      </c>
      <c r="C355" t="s">
        <v>88</v>
      </c>
      <c r="D355" t="s">
        <v>56</v>
      </c>
      <c r="E355" t="s">
        <v>94</v>
      </c>
      <c r="F355">
        <v>24</v>
      </c>
      <c r="G355">
        <v>21</v>
      </c>
      <c r="H355">
        <v>1</v>
      </c>
      <c r="I355" t="s">
        <v>62</v>
      </c>
      <c r="J355" t="s">
        <v>97</v>
      </c>
      <c r="K355" t="s">
        <v>97</v>
      </c>
      <c r="L355" t="s">
        <v>289</v>
      </c>
      <c r="M355">
        <v>0</v>
      </c>
      <c r="N355" t="str">
        <f t="shared" si="60"/>
        <v>3. 16+ anos</v>
      </c>
      <c r="O355" t="str">
        <f t="shared" si="61"/>
        <v>2. 20 a 49</v>
      </c>
      <c r="P355" t="str">
        <f t="shared" si="62"/>
        <v>1. 1 a 2</v>
      </c>
      <c r="Q355">
        <f t="shared" si="63"/>
        <v>0</v>
      </c>
      <c r="R355">
        <f t="shared" si="64"/>
        <v>0</v>
      </c>
      <c r="S355">
        <f t="shared" si="65"/>
        <v>1</v>
      </c>
      <c r="T355">
        <v>2</v>
      </c>
      <c r="U355" t="s">
        <v>139</v>
      </c>
      <c r="V355" s="18">
        <f t="shared" si="66"/>
        <v>6.8273092369477914E-2</v>
      </c>
      <c r="W355" s="18">
        <f t="shared" si="67"/>
        <v>8.6792452830188674E-2</v>
      </c>
      <c r="X355" s="18">
        <f t="shared" si="68"/>
        <v>0.25294117647058822</v>
      </c>
      <c r="Y355" s="18">
        <f t="shared" si="69"/>
        <v>0.37662337662337664</v>
      </c>
      <c r="Z355" s="18">
        <f t="shared" si="70"/>
        <v>0.56634304207119746</v>
      </c>
      <c r="AA355" s="10">
        <f t="shared" si="71"/>
        <v>0.2701946281</v>
      </c>
      <c r="AB355" t="str">
        <f>IF(AA355&gt;=Como_Avaliar!$B$15,"Alta",IF(AA355&gt;=Como_Avaliar!$B$16,"Média","Baixa"))</f>
        <v>Média</v>
      </c>
    </row>
    <row r="356" spans="1:28" x14ac:dyDescent="0.25">
      <c r="A356" t="s">
        <v>660</v>
      </c>
      <c r="B356" t="s">
        <v>334</v>
      </c>
      <c r="C356" t="s">
        <v>87</v>
      </c>
      <c r="D356" t="s">
        <v>58</v>
      </c>
      <c r="E356" t="s">
        <v>92</v>
      </c>
      <c r="F356">
        <v>1</v>
      </c>
      <c r="G356">
        <v>248</v>
      </c>
      <c r="H356">
        <v>22</v>
      </c>
      <c r="I356" t="s">
        <v>62</v>
      </c>
      <c r="J356" t="s">
        <v>97</v>
      </c>
      <c r="K356" t="s">
        <v>97</v>
      </c>
      <c r="L356" t="s">
        <v>289</v>
      </c>
      <c r="M356">
        <v>1</v>
      </c>
      <c r="N356" t="str">
        <f t="shared" si="60"/>
        <v>1. &lt; 8 anos</v>
      </c>
      <c r="O356" t="str">
        <f t="shared" si="61"/>
        <v>4. 150+</v>
      </c>
      <c r="P356" t="str">
        <f t="shared" si="62"/>
        <v>4. 16+</v>
      </c>
      <c r="Q356">
        <f t="shared" si="63"/>
        <v>0</v>
      </c>
      <c r="R356">
        <f t="shared" si="64"/>
        <v>1</v>
      </c>
      <c r="S356">
        <f t="shared" si="65"/>
        <v>0</v>
      </c>
      <c r="V356" s="18">
        <f t="shared" si="66"/>
        <v>0.93975903614457834</v>
      </c>
      <c r="W356" s="18">
        <f t="shared" si="67"/>
        <v>0.97272727272727277</v>
      </c>
      <c r="X356" s="18">
        <f t="shared" si="68"/>
        <v>0.97938144329896903</v>
      </c>
      <c r="Y356" s="18">
        <f t="shared" si="69"/>
        <v>0.37662337662337664</v>
      </c>
      <c r="Z356" s="18">
        <f t="shared" si="70"/>
        <v>0.22368421052631579</v>
      </c>
      <c r="AA356" s="10">
        <f t="shared" si="71"/>
        <v>0.69843506789999998</v>
      </c>
      <c r="AB356" t="str">
        <f>IF(AA356&gt;=Como_Avaliar!$B$15,"Alta",IF(AA356&gt;=Como_Avaliar!$B$16,"Média","Baixa"))</f>
        <v>Alta</v>
      </c>
    </row>
    <row r="357" spans="1:28" x14ac:dyDescent="0.25">
      <c r="A357" t="s">
        <v>661</v>
      </c>
      <c r="B357" t="s">
        <v>286</v>
      </c>
      <c r="C357" t="s">
        <v>88</v>
      </c>
      <c r="D357" t="s">
        <v>59</v>
      </c>
      <c r="E357" t="s">
        <v>92</v>
      </c>
      <c r="F357">
        <v>24</v>
      </c>
      <c r="G357">
        <v>37</v>
      </c>
      <c r="H357">
        <v>7</v>
      </c>
      <c r="I357" t="s">
        <v>62</v>
      </c>
      <c r="J357" t="s">
        <v>97</v>
      </c>
      <c r="K357" t="s">
        <v>98</v>
      </c>
      <c r="L357" t="s">
        <v>284</v>
      </c>
      <c r="M357">
        <v>1</v>
      </c>
      <c r="N357" t="str">
        <f t="shared" si="60"/>
        <v>3. 16+ anos</v>
      </c>
      <c r="O357" t="str">
        <f t="shared" si="61"/>
        <v>2. 20 a 49</v>
      </c>
      <c r="P357" t="str">
        <f t="shared" si="62"/>
        <v>3. 6 a 15</v>
      </c>
      <c r="Q357">
        <f t="shared" si="63"/>
        <v>0</v>
      </c>
      <c r="R357">
        <f t="shared" si="64"/>
        <v>0</v>
      </c>
      <c r="S357">
        <f t="shared" si="65"/>
        <v>0</v>
      </c>
      <c r="V357" s="18">
        <f t="shared" si="66"/>
        <v>0.43835616438356162</v>
      </c>
      <c r="W357" s="18">
        <f t="shared" si="67"/>
        <v>0.55319148936170215</v>
      </c>
      <c r="X357" s="18">
        <f t="shared" si="68"/>
        <v>0.25294117647058822</v>
      </c>
      <c r="Y357" s="18">
        <f t="shared" si="69"/>
        <v>0.37662337662337664</v>
      </c>
      <c r="Z357" s="18">
        <f t="shared" si="70"/>
        <v>0.56634304207119746</v>
      </c>
      <c r="AA357" s="10">
        <f t="shared" si="71"/>
        <v>0.43749104979999998</v>
      </c>
      <c r="AB357" t="str">
        <f>IF(AA357&gt;=Como_Avaliar!$B$15,"Alta",IF(AA357&gt;=Como_Avaliar!$B$16,"Média","Baixa"))</f>
        <v>Média</v>
      </c>
    </row>
    <row r="358" spans="1:28" x14ac:dyDescent="0.25">
      <c r="A358" t="s">
        <v>662</v>
      </c>
      <c r="B358" t="s">
        <v>334</v>
      </c>
      <c r="C358" t="s">
        <v>87</v>
      </c>
      <c r="D358" t="s">
        <v>56</v>
      </c>
      <c r="E358" t="s">
        <v>91</v>
      </c>
      <c r="F358">
        <v>20</v>
      </c>
      <c r="G358">
        <v>23</v>
      </c>
      <c r="H358">
        <v>1</v>
      </c>
      <c r="I358" t="s">
        <v>62</v>
      </c>
      <c r="J358" t="s">
        <v>97</v>
      </c>
      <c r="K358" t="s">
        <v>98</v>
      </c>
      <c r="L358" t="s">
        <v>284</v>
      </c>
      <c r="M358">
        <v>0</v>
      </c>
      <c r="N358" t="str">
        <f t="shared" si="60"/>
        <v>3. 16+ anos</v>
      </c>
      <c r="O358" t="str">
        <f t="shared" si="61"/>
        <v>2. 20 a 49</v>
      </c>
      <c r="P358" t="str">
        <f t="shared" si="62"/>
        <v>1. 1 a 2</v>
      </c>
      <c r="Q358">
        <f t="shared" si="63"/>
        <v>0</v>
      </c>
      <c r="R358">
        <f t="shared" si="64"/>
        <v>0</v>
      </c>
      <c r="S358">
        <f t="shared" si="65"/>
        <v>1</v>
      </c>
      <c r="T358">
        <v>2</v>
      </c>
      <c r="U358" t="s">
        <v>139</v>
      </c>
      <c r="V358" s="18">
        <f t="shared" si="66"/>
        <v>6.8273092369477914E-2</v>
      </c>
      <c r="W358" s="18">
        <f t="shared" si="67"/>
        <v>8.6792452830188674E-2</v>
      </c>
      <c r="X358" s="18">
        <f t="shared" si="68"/>
        <v>0.25294117647058822</v>
      </c>
      <c r="Y358" s="18">
        <f t="shared" si="69"/>
        <v>0.37662337662337664</v>
      </c>
      <c r="Z358" s="18">
        <f t="shared" si="70"/>
        <v>0.56634304207119746</v>
      </c>
      <c r="AA358" s="10">
        <f t="shared" si="71"/>
        <v>0.2701946281</v>
      </c>
      <c r="AB358" t="str">
        <f>IF(AA358&gt;=Como_Avaliar!$B$15,"Alta",IF(AA358&gt;=Como_Avaliar!$B$16,"Média","Baixa"))</f>
        <v>Média</v>
      </c>
    </row>
    <row r="359" spans="1:28" x14ac:dyDescent="0.25">
      <c r="A359" t="s">
        <v>663</v>
      </c>
      <c r="B359" t="s">
        <v>288</v>
      </c>
      <c r="C359" t="s">
        <v>88</v>
      </c>
      <c r="D359" t="s">
        <v>59</v>
      </c>
      <c r="E359" t="s">
        <v>92</v>
      </c>
      <c r="F359">
        <v>11</v>
      </c>
      <c r="G359">
        <v>69</v>
      </c>
      <c r="H359">
        <v>10</v>
      </c>
      <c r="I359" t="s">
        <v>64</v>
      </c>
      <c r="J359" t="s">
        <v>97</v>
      </c>
      <c r="K359" t="s">
        <v>98</v>
      </c>
      <c r="L359" t="s">
        <v>284</v>
      </c>
      <c r="M359">
        <v>0</v>
      </c>
      <c r="N359" t="str">
        <f t="shared" si="60"/>
        <v>2. 8 a 15 anos</v>
      </c>
      <c r="O359" t="str">
        <f t="shared" si="61"/>
        <v>3. 50 a 149</v>
      </c>
      <c r="P359" t="str">
        <f t="shared" si="62"/>
        <v>3. 6 a 15</v>
      </c>
      <c r="Q359">
        <f t="shared" si="63"/>
        <v>1</v>
      </c>
      <c r="R359">
        <f t="shared" si="64"/>
        <v>0</v>
      </c>
      <c r="S359">
        <f t="shared" si="65"/>
        <v>1</v>
      </c>
      <c r="T359">
        <v>3</v>
      </c>
      <c r="U359" t="s">
        <v>138</v>
      </c>
      <c r="V359" s="18">
        <f t="shared" si="66"/>
        <v>0.43835616438356162</v>
      </c>
      <c r="W359" s="18">
        <f t="shared" si="67"/>
        <v>0.55319148936170215</v>
      </c>
      <c r="X359" s="18">
        <f t="shared" si="68"/>
        <v>0.58992805755395683</v>
      </c>
      <c r="Y359" s="18">
        <f t="shared" si="69"/>
        <v>0.15625</v>
      </c>
      <c r="Z359" s="18">
        <f t="shared" si="70"/>
        <v>0.22302158273381295</v>
      </c>
      <c r="AA359" s="10">
        <f t="shared" si="71"/>
        <v>0.39214945880000002</v>
      </c>
      <c r="AB359" t="str">
        <f>IF(AA359&gt;=Como_Avaliar!$B$15,"Alta",IF(AA359&gt;=Como_Avaliar!$B$16,"Média","Baixa"))</f>
        <v>Média</v>
      </c>
    </row>
    <row r="360" spans="1:28" x14ac:dyDescent="0.25">
      <c r="A360" t="s">
        <v>664</v>
      </c>
      <c r="B360" t="s">
        <v>286</v>
      </c>
      <c r="C360" t="s">
        <v>88</v>
      </c>
      <c r="D360" t="s">
        <v>56</v>
      </c>
      <c r="E360" t="s">
        <v>92</v>
      </c>
      <c r="F360">
        <v>17</v>
      </c>
      <c r="G360">
        <v>20</v>
      </c>
      <c r="H360">
        <v>2</v>
      </c>
      <c r="I360" t="s">
        <v>64</v>
      </c>
      <c r="J360" t="s">
        <v>98</v>
      </c>
      <c r="K360" t="s">
        <v>98</v>
      </c>
      <c r="L360" t="s">
        <v>322</v>
      </c>
      <c r="M360">
        <v>1</v>
      </c>
      <c r="N360" t="str">
        <f t="shared" si="60"/>
        <v>3. 16+ anos</v>
      </c>
      <c r="O360" t="str">
        <f t="shared" si="61"/>
        <v>2. 20 a 49</v>
      </c>
      <c r="P360" t="str">
        <f t="shared" si="62"/>
        <v>1. 1 a 2</v>
      </c>
      <c r="Q360">
        <f t="shared" si="63"/>
        <v>1</v>
      </c>
      <c r="R360">
        <f t="shared" si="64"/>
        <v>0</v>
      </c>
      <c r="S360">
        <f t="shared" si="65"/>
        <v>0</v>
      </c>
      <c r="V360" s="18">
        <f t="shared" si="66"/>
        <v>6.8273092369477914E-2</v>
      </c>
      <c r="W360" s="18">
        <f t="shared" si="67"/>
        <v>8.6792452830188674E-2</v>
      </c>
      <c r="X360" s="18">
        <f t="shared" si="68"/>
        <v>0.25294117647058822</v>
      </c>
      <c r="Y360" s="18">
        <f t="shared" si="69"/>
        <v>0.15625</v>
      </c>
      <c r="Z360" s="18">
        <f t="shared" si="70"/>
        <v>0.56634304207119746</v>
      </c>
      <c r="AA360" s="10">
        <f t="shared" si="71"/>
        <v>0.22611995269999999</v>
      </c>
      <c r="AB360" t="str">
        <f>IF(AA360&gt;=Como_Avaliar!$B$15,"Alta",IF(AA360&gt;=Como_Avaliar!$B$16,"Média","Baixa"))</f>
        <v>Baixa</v>
      </c>
    </row>
    <row r="361" spans="1:28" x14ac:dyDescent="0.25">
      <c r="A361" t="s">
        <v>665</v>
      </c>
      <c r="B361" t="s">
        <v>301</v>
      </c>
      <c r="C361" t="s">
        <v>88</v>
      </c>
      <c r="D361" t="s">
        <v>58</v>
      </c>
      <c r="E361" t="s">
        <v>90</v>
      </c>
      <c r="F361">
        <v>8</v>
      </c>
      <c r="G361">
        <v>186</v>
      </c>
      <c r="H361">
        <v>14</v>
      </c>
      <c r="I361" t="s">
        <v>68</v>
      </c>
      <c r="J361" t="s">
        <v>98</v>
      </c>
      <c r="K361" t="s">
        <v>97</v>
      </c>
      <c r="L361" t="s">
        <v>289</v>
      </c>
      <c r="M361">
        <v>1</v>
      </c>
      <c r="N361" t="str">
        <f t="shared" si="60"/>
        <v>2. 8 a 15 anos</v>
      </c>
      <c r="O361" t="str">
        <f t="shared" si="61"/>
        <v>4. 150+</v>
      </c>
      <c r="P361" t="str">
        <f t="shared" si="62"/>
        <v>3. 6 a 15</v>
      </c>
      <c r="Q361">
        <f t="shared" si="63"/>
        <v>0</v>
      </c>
      <c r="R361">
        <f t="shared" si="64"/>
        <v>1</v>
      </c>
      <c r="S361">
        <f t="shared" si="65"/>
        <v>0</v>
      </c>
      <c r="V361" s="18">
        <f t="shared" si="66"/>
        <v>0.93975903614457834</v>
      </c>
      <c r="W361" s="18">
        <f t="shared" si="67"/>
        <v>0.55319148936170215</v>
      </c>
      <c r="X361" s="18">
        <f t="shared" si="68"/>
        <v>0.97938144329896903</v>
      </c>
      <c r="Y361" s="18">
        <f t="shared" si="69"/>
        <v>0.58333333333333337</v>
      </c>
      <c r="Z361" s="18">
        <f t="shared" si="70"/>
        <v>0.22302158273381295</v>
      </c>
      <c r="AA361" s="10">
        <f t="shared" si="71"/>
        <v>0.65573737700000001</v>
      </c>
      <c r="AB361" t="str">
        <f>IF(AA361&gt;=Como_Avaliar!$B$15,"Alta",IF(AA361&gt;=Como_Avaliar!$B$16,"Média","Baixa"))</f>
        <v>Alta</v>
      </c>
    </row>
    <row r="362" spans="1:28" x14ac:dyDescent="0.25">
      <c r="A362" t="s">
        <v>666</v>
      </c>
      <c r="B362" t="s">
        <v>292</v>
      </c>
      <c r="C362" t="s">
        <v>84</v>
      </c>
      <c r="D362" t="s">
        <v>56</v>
      </c>
      <c r="E362" t="s">
        <v>90</v>
      </c>
      <c r="F362">
        <v>4</v>
      </c>
      <c r="G362">
        <v>4</v>
      </c>
      <c r="H362">
        <v>2</v>
      </c>
      <c r="I362" t="s">
        <v>63</v>
      </c>
      <c r="J362" t="s">
        <v>98</v>
      </c>
      <c r="K362" t="s">
        <v>97</v>
      </c>
      <c r="L362" t="s">
        <v>293</v>
      </c>
      <c r="M362">
        <v>0</v>
      </c>
      <c r="N362" t="str">
        <f t="shared" si="60"/>
        <v>1. &lt; 8 anos</v>
      </c>
      <c r="O362" t="str">
        <f t="shared" si="61"/>
        <v>1. &lt; 20</v>
      </c>
      <c r="P362" t="str">
        <f t="shared" si="62"/>
        <v>1. 1 a 2</v>
      </c>
      <c r="Q362">
        <f t="shared" si="63"/>
        <v>1</v>
      </c>
      <c r="R362">
        <f t="shared" si="64"/>
        <v>0</v>
      </c>
      <c r="S362">
        <f t="shared" si="65"/>
        <v>1</v>
      </c>
      <c r="T362">
        <v>2</v>
      </c>
      <c r="U362" t="s">
        <v>139</v>
      </c>
      <c r="V362" s="18">
        <f t="shared" si="66"/>
        <v>6.8273092369477914E-2</v>
      </c>
      <c r="W362" s="18">
        <f t="shared" si="67"/>
        <v>8.6792452830188674E-2</v>
      </c>
      <c r="X362" s="18">
        <f t="shared" si="68"/>
        <v>0.10309278350515463</v>
      </c>
      <c r="Y362" s="18">
        <f t="shared" si="69"/>
        <v>6.5217391304347824E-2</v>
      </c>
      <c r="Z362" s="18">
        <f t="shared" si="70"/>
        <v>0.22368421052631579</v>
      </c>
      <c r="AA362" s="10">
        <f t="shared" si="71"/>
        <v>0.1094119861</v>
      </c>
      <c r="AB362" t="str">
        <f>IF(AA362&gt;=Como_Avaliar!$B$15,"Alta",IF(AA362&gt;=Como_Avaliar!$B$16,"Média","Baixa"))</f>
        <v>Baixa</v>
      </c>
    </row>
    <row r="363" spans="1:28" x14ac:dyDescent="0.25">
      <c r="A363" t="s">
        <v>667</v>
      </c>
      <c r="B363" t="s">
        <v>288</v>
      </c>
      <c r="C363" t="s">
        <v>88</v>
      </c>
      <c r="D363" t="s">
        <v>59</v>
      </c>
      <c r="E363" t="s">
        <v>93</v>
      </c>
      <c r="F363">
        <v>6</v>
      </c>
      <c r="G363">
        <v>59</v>
      </c>
      <c r="H363">
        <v>5</v>
      </c>
      <c r="I363" t="s">
        <v>62</v>
      </c>
      <c r="J363" t="s">
        <v>97</v>
      </c>
      <c r="K363" t="s">
        <v>97</v>
      </c>
      <c r="L363" t="s">
        <v>284</v>
      </c>
      <c r="M363">
        <v>0</v>
      </c>
      <c r="N363" t="str">
        <f t="shared" si="60"/>
        <v>1. &lt; 8 anos</v>
      </c>
      <c r="O363" t="str">
        <f t="shared" si="61"/>
        <v>3. 50 a 149</v>
      </c>
      <c r="P363" t="str">
        <f t="shared" si="62"/>
        <v>2. 3 a 5</v>
      </c>
      <c r="Q363">
        <f t="shared" si="63"/>
        <v>0</v>
      </c>
      <c r="R363">
        <f t="shared" si="64"/>
        <v>0</v>
      </c>
      <c r="S363">
        <f t="shared" si="65"/>
        <v>1</v>
      </c>
      <c r="T363">
        <v>3</v>
      </c>
      <c r="U363" t="s">
        <v>138</v>
      </c>
      <c r="V363" s="18">
        <f t="shared" si="66"/>
        <v>0.43835616438356162</v>
      </c>
      <c r="W363" s="18">
        <f t="shared" si="67"/>
        <v>0.38095238095238093</v>
      </c>
      <c r="X363" s="18">
        <f t="shared" si="68"/>
        <v>0.58992805755395683</v>
      </c>
      <c r="Y363" s="18">
        <f t="shared" si="69"/>
        <v>0.37662337662337664</v>
      </c>
      <c r="Z363" s="18">
        <f t="shared" si="70"/>
        <v>0.22368421052631579</v>
      </c>
      <c r="AA363" s="10">
        <f t="shared" si="71"/>
        <v>0.40190883799999999</v>
      </c>
      <c r="AB363" t="str">
        <f>IF(AA363&gt;=Como_Avaliar!$B$15,"Alta",IF(AA363&gt;=Como_Avaliar!$B$16,"Média","Baixa"))</f>
        <v>Média</v>
      </c>
    </row>
    <row r="364" spans="1:28" x14ac:dyDescent="0.25">
      <c r="A364" t="s">
        <v>668</v>
      </c>
      <c r="B364" t="s">
        <v>283</v>
      </c>
      <c r="C364" t="s">
        <v>89</v>
      </c>
      <c r="D364" t="s">
        <v>56</v>
      </c>
      <c r="E364" t="s">
        <v>95</v>
      </c>
      <c r="F364">
        <v>8</v>
      </c>
      <c r="G364">
        <v>23</v>
      </c>
      <c r="H364">
        <v>2</v>
      </c>
      <c r="I364" t="s">
        <v>64</v>
      </c>
      <c r="J364" t="s">
        <v>98</v>
      </c>
      <c r="K364" t="s">
        <v>97</v>
      </c>
      <c r="L364" t="s">
        <v>284</v>
      </c>
      <c r="M364">
        <v>0</v>
      </c>
      <c r="N364" t="str">
        <f t="shared" si="60"/>
        <v>2. 8 a 15 anos</v>
      </c>
      <c r="O364" t="str">
        <f t="shared" si="61"/>
        <v>2. 20 a 49</v>
      </c>
      <c r="P364" t="str">
        <f t="shared" si="62"/>
        <v>1. 1 a 2</v>
      </c>
      <c r="Q364">
        <f t="shared" si="63"/>
        <v>1</v>
      </c>
      <c r="R364">
        <f t="shared" si="64"/>
        <v>0</v>
      </c>
      <c r="S364">
        <f t="shared" si="65"/>
        <v>1</v>
      </c>
      <c r="T364">
        <v>2</v>
      </c>
      <c r="U364" t="s">
        <v>139</v>
      </c>
      <c r="V364" s="18">
        <f t="shared" si="66"/>
        <v>6.8273092369477914E-2</v>
      </c>
      <c r="W364" s="18">
        <f t="shared" si="67"/>
        <v>8.6792452830188674E-2</v>
      </c>
      <c r="X364" s="18">
        <f t="shared" si="68"/>
        <v>0.25294117647058822</v>
      </c>
      <c r="Y364" s="18">
        <f t="shared" si="69"/>
        <v>0.15625</v>
      </c>
      <c r="Z364" s="18">
        <f t="shared" si="70"/>
        <v>0.22302158273381295</v>
      </c>
      <c r="AA364" s="10">
        <f t="shared" si="71"/>
        <v>0.15745566089999999</v>
      </c>
      <c r="AB364" t="str">
        <f>IF(AA364&gt;=Como_Avaliar!$B$15,"Alta",IF(AA364&gt;=Como_Avaliar!$B$16,"Média","Baixa"))</f>
        <v>Baixa</v>
      </c>
    </row>
    <row r="365" spans="1:28" x14ac:dyDescent="0.25">
      <c r="A365" t="s">
        <v>669</v>
      </c>
      <c r="B365" t="s">
        <v>305</v>
      </c>
      <c r="C365" t="s">
        <v>89</v>
      </c>
      <c r="D365" t="s">
        <v>58</v>
      </c>
      <c r="E365" t="s">
        <v>91</v>
      </c>
      <c r="F365">
        <v>20</v>
      </c>
      <c r="G365">
        <v>231</v>
      </c>
      <c r="H365">
        <v>16</v>
      </c>
      <c r="I365" t="s">
        <v>68</v>
      </c>
      <c r="J365" t="s">
        <v>97</v>
      </c>
      <c r="K365" t="s">
        <v>97</v>
      </c>
      <c r="L365" t="s">
        <v>289</v>
      </c>
      <c r="M365">
        <v>1</v>
      </c>
      <c r="N365" t="str">
        <f t="shared" si="60"/>
        <v>3. 16+ anos</v>
      </c>
      <c r="O365" t="str">
        <f t="shared" si="61"/>
        <v>4. 150+</v>
      </c>
      <c r="P365" t="str">
        <f t="shared" si="62"/>
        <v>4. 16+</v>
      </c>
      <c r="Q365">
        <f t="shared" si="63"/>
        <v>0</v>
      </c>
      <c r="R365">
        <f t="shared" si="64"/>
        <v>1</v>
      </c>
      <c r="S365">
        <f t="shared" si="65"/>
        <v>0</v>
      </c>
      <c r="V365" s="18">
        <f t="shared" si="66"/>
        <v>0.93975903614457834</v>
      </c>
      <c r="W365" s="18">
        <f t="shared" si="67"/>
        <v>0.97272727272727277</v>
      </c>
      <c r="X365" s="18">
        <f t="shared" si="68"/>
        <v>0.97938144329896903</v>
      </c>
      <c r="Y365" s="18">
        <f t="shared" si="69"/>
        <v>0.58333333333333337</v>
      </c>
      <c r="Z365" s="18">
        <f t="shared" si="70"/>
        <v>0.56634304207119746</v>
      </c>
      <c r="AA365" s="10">
        <f t="shared" si="71"/>
        <v>0.80830882550000005</v>
      </c>
      <c r="AB365" t="str">
        <f>IF(AA365&gt;=Como_Avaliar!$B$15,"Alta",IF(AA365&gt;=Como_Avaliar!$B$16,"Média","Baixa"))</f>
        <v>Alta</v>
      </c>
    </row>
    <row r="366" spans="1:28" x14ac:dyDescent="0.25">
      <c r="A366" t="s">
        <v>670</v>
      </c>
      <c r="B366" t="s">
        <v>301</v>
      </c>
      <c r="C366" t="s">
        <v>88</v>
      </c>
      <c r="D366" t="s">
        <v>59</v>
      </c>
      <c r="E366" t="s">
        <v>91</v>
      </c>
      <c r="F366">
        <v>3</v>
      </c>
      <c r="G366">
        <v>63</v>
      </c>
      <c r="H366">
        <v>7</v>
      </c>
      <c r="I366" t="s">
        <v>65</v>
      </c>
      <c r="J366" t="s">
        <v>97</v>
      </c>
      <c r="K366" t="s">
        <v>98</v>
      </c>
      <c r="L366" t="s">
        <v>322</v>
      </c>
      <c r="M366">
        <v>0</v>
      </c>
      <c r="N366" t="str">
        <f t="shared" si="60"/>
        <v>1. &lt; 8 anos</v>
      </c>
      <c r="O366" t="str">
        <f t="shared" si="61"/>
        <v>3. 50 a 149</v>
      </c>
      <c r="P366" t="str">
        <f t="shared" si="62"/>
        <v>3. 6 a 15</v>
      </c>
      <c r="Q366">
        <f t="shared" si="63"/>
        <v>0</v>
      </c>
      <c r="R366">
        <f t="shared" si="64"/>
        <v>1</v>
      </c>
      <c r="S366">
        <f t="shared" si="65"/>
        <v>0</v>
      </c>
      <c r="V366" s="18">
        <f t="shared" si="66"/>
        <v>0.43835616438356162</v>
      </c>
      <c r="W366" s="18">
        <f t="shared" si="67"/>
        <v>0.55319148936170215</v>
      </c>
      <c r="X366" s="18">
        <f t="shared" si="68"/>
        <v>0.58992805755395683</v>
      </c>
      <c r="Y366" s="18">
        <f t="shared" si="69"/>
        <v>0.39751552795031053</v>
      </c>
      <c r="Z366" s="18">
        <f t="shared" si="70"/>
        <v>0.22368421052631579</v>
      </c>
      <c r="AA366" s="10">
        <f t="shared" si="71"/>
        <v>0.44053509000000002</v>
      </c>
      <c r="AB366" t="str">
        <f>IF(AA366&gt;=Como_Avaliar!$B$15,"Alta",IF(AA366&gt;=Como_Avaliar!$B$16,"Média","Baixa"))</f>
        <v>Média</v>
      </c>
    </row>
    <row r="367" spans="1:28" x14ac:dyDescent="0.25">
      <c r="A367" t="s">
        <v>671</v>
      </c>
      <c r="B367" t="s">
        <v>312</v>
      </c>
      <c r="C367" t="s">
        <v>89</v>
      </c>
      <c r="D367" t="s">
        <v>59</v>
      </c>
      <c r="E367" t="s">
        <v>91</v>
      </c>
      <c r="F367">
        <v>16</v>
      </c>
      <c r="G367">
        <v>55</v>
      </c>
      <c r="H367">
        <v>6</v>
      </c>
      <c r="I367" t="s">
        <v>65</v>
      </c>
      <c r="J367" t="s">
        <v>97</v>
      </c>
      <c r="K367" t="s">
        <v>98</v>
      </c>
      <c r="L367" t="s">
        <v>322</v>
      </c>
      <c r="M367">
        <v>1</v>
      </c>
      <c r="N367" t="str">
        <f t="shared" si="60"/>
        <v>3. 16+ anos</v>
      </c>
      <c r="O367" t="str">
        <f t="shared" si="61"/>
        <v>3. 50 a 149</v>
      </c>
      <c r="P367" t="str">
        <f t="shared" si="62"/>
        <v>3. 6 a 15</v>
      </c>
      <c r="Q367">
        <f t="shared" si="63"/>
        <v>0</v>
      </c>
      <c r="R367">
        <f t="shared" si="64"/>
        <v>1</v>
      </c>
      <c r="S367">
        <f t="shared" si="65"/>
        <v>0</v>
      </c>
      <c r="V367" s="18">
        <f t="shared" si="66"/>
        <v>0.43835616438356162</v>
      </c>
      <c r="W367" s="18">
        <f t="shared" si="67"/>
        <v>0.55319148936170215</v>
      </c>
      <c r="X367" s="18">
        <f t="shared" si="68"/>
        <v>0.58992805755395683</v>
      </c>
      <c r="Y367" s="18">
        <f t="shared" si="69"/>
        <v>0.39751552795031053</v>
      </c>
      <c r="Z367" s="18">
        <f t="shared" si="70"/>
        <v>0.56634304207119746</v>
      </c>
      <c r="AA367" s="10">
        <f t="shared" si="71"/>
        <v>0.50906685630000004</v>
      </c>
      <c r="AB367" t="str">
        <f>IF(AA367&gt;=Como_Avaliar!$B$15,"Alta",IF(AA367&gt;=Como_Avaliar!$B$16,"Média","Baixa"))</f>
        <v>Alta</v>
      </c>
    </row>
    <row r="368" spans="1:28" x14ac:dyDescent="0.25">
      <c r="A368" t="s">
        <v>672</v>
      </c>
      <c r="B368" t="s">
        <v>288</v>
      </c>
      <c r="C368" t="s">
        <v>88</v>
      </c>
      <c r="D368" t="s">
        <v>59</v>
      </c>
      <c r="E368" t="s">
        <v>90</v>
      </c>
      <c r="F368">
        <v>25</v>
      </c>
      <c r="G368">
        <v>68</v>
      </c>
      <c r="H368">
        <v>7</v>
      </c>
      <c r="I368" t="s">
        <v>62</v>
      </c>
      <c r="J368" t="s">
        <v>98</v>
      </c>
      <c r="K368" t="s">
        <v>97</v>
      </c>
      <c r="L368" t="s">
        <v>298</v>
      </c>
      <c r="M368">
        <v>1</v>
      </c>
      <c r="N368" t="str">
        <f t="shared" si="60"/>
        <v>3. 16+ anos</v>
      </c>
      <c r="O368" t="str">
        <f t="shared" si="61"/>
        <v>3. 50 a 149</v>
      </c>
      <c r="P368" t="str">
        <f t="shared" si="62"/>
        <v>3. 6 a 15</v>
      </c>
      <c r="Q368">
        <f t="shared" si="63"/>
        <v>0</v>
      </c>
      <c r="R368">
        <f t="shared" si="64"/>
        <v>1</v>
      </c>
      <c r="S368">
        <f t="shared" si="65"/>
        <v>0</v>
      </c>
      <c r="V368" s="18">
        <f t="shared" si="66"/>
        <v>0.43835616438356162</v>
      </c>
      <c r="W368" s="18">
        <f t="shared" si="67"/>
        <v>0.55319148936170215</v>
      </c>
      <c r="X368" s="18">
        <f t="shared" si="68"/>
        <v>0.58992805755395683</v>
      </c>
      <c r="Y368" s="18">
        <f t="shared" si="69"/>
        <v>0.37662337662337664</v>
      </c>
      <c r="Z368" s="18">
        <f t="shared" si="70"/>
        <v>0.56634304207119746</v>
      </c>
      <c r="AA368" s="10">
        <f t="shared" si="71"/>
        <v>0.50488842599999995</v>
      </c>
      <c r="AB368" t="str">
        <f>IF(AA368&gt;=Como_Avaliar!$B$15,"Alta",IF(AA368&gt;=Como_Avaliar!$B$16,"Média","Baixa"))</f>
        <v>Alta</v>
      </c>
    </row>
    <row r="369" spans="1:28" x14ac:dyDescent="0.25">
      <c r="A369" t="s">
        <v>673</v>
      </c>
      <c r="B369" t="s">
        <v>295</v>
      </c>
      <c r="C369" t="s">
        <v>84</v>
      </c>
      <c r="D369" t="s">
        <v>57</v>
      </c>
      <c r="E369" t="s">
        <v>91</v>
      </c>
      <c r="F369">
        <v>3</v>
      </c>
      <c r="G369">
        <v>618</v>
      </c>
      <c r="H369">
        <v>95</v>
      </c>
      <c r="I369" t="s">
        <v>66</v>
      </c>
      <c r="J369" t="s">
        <v>98</v>
      </c>
      <c r="K369" t="s">
        <v>98</v>
      </c>
      <c r="L369" t="s">
        <v>298</v>
      </c>
      <c r="M369">
        <v>1</v>
      </c>
      <c r="N369" t="str">
        <f t="shared" si="60"/>
        <v>1. &lt; 8 anos</v>
      </c>
      <c r="O369" t="str">
        <f t="shared" si="61"/>
        <v>4. 150+</v>
      </c>
      <c r="P369" t="str">
        <f t="shared" si="62"/>
        <v>4. 16+</v>
      </c>
      <c r="Q369">
        <f t="shared" si="63"/>
        <v>0</v>
      </c>
      <c r="R369">
        <f t="shared" si="64"/>
        <v>1</v>
      </c>
      <c r="S369">
        <f t="shared" si="65"/>
        <v>0</v>
      </c>
      <c r="V369" s="18">
        <f t="shared" si="66"/>
        <v>1</v>
      </c>
      <c r="W369" s="18">
        <f t="shared" si="67"/>
        <v>0.97272727272727277</v>
      </c>
      <c r="X369" s="18">
        <f t="shared" si="68"/>
        <v>0.97938144329896903</v>
      </c>
      <c r="Y369" s="18">
        <f t="shared" si="69"/>
        <v>1</v>
      </c>
      <c r="Z369" s="18">
        <f t="shared" si="70"/>
        <v>0.22368421052631579</v>
      </c>
      <c r="AA369" s="10">
        <f t="shared" si="71"/>
        <v>0.83515858529999998</v>
      </c>
      <c r="AB369" t="str">
        <f>IF(AA369&gt;=Como_Avaliar!$B$15,"Alta",IF(AA369&gt;=Como_Avaliar!$B$16,"Média","Baixa"))</f>
        <v>Alta</v>
      </c>
    </row>
    <row r="370" spans="1:28" x14ac:dyDescent="0.25">
      <c r="A370" t="s">
        <v>674</v>
      </c>
      <c r="B370" t="s">
        <v>286</v>
      </c>
      <c r="C370" t="s">
        <v>88</v>
      </c>
      <c r="D370" t="s">
        <v>56</v>
      </c>
      <c r="E370" t="s">
        <v>94</v>
      </c>
      <c r="F370">
        <v>25</v>
      </c>
      <c r="G370">
        <v>7</v>
      </c>
      <c r="H370">
        <v>1</v>
      </c>
      <c r="I370" t="s">
        <v>65</v>
      </c>
      <c r="J370" t="s">
        <v>97</v>
      </c>
      <c r="K370" t="s">
        <v>97</v>
      </c>
      <c r="L370" t="s">
        <v>329</v>
      </c>
      <c r="M370">
        <v>0</v>
      </c>
      <c r="N370" t="str">
        <f t="shared" si="60"/>
        <v>3. 16+ anos</v>
      </c>
      <c r="O370" t="str">
        <f t="shared" si="61"/>
        <v>1. &lt; 20</v>
      </c>
      <c r="P370" t="str">
        <f t="shared" si="62"/>
        <v>1. 1 a 2</v>
      </c>
      <c r="Q370">
        <f t="shared" si="63"/>
        <v>0</v>
      </c>
      <c r="R370">
        <f t="shared" si="64"/>
        <v>0</v>
      </c>
      <c r="S370">
        <f t="shared" si="65"/>
        <v>1</v>
      </c>
      <c r="T370">
        <v>1</v>
      </c>
      <c r="U370" t="s">
        <v>139</v>
      </c>
      <c r="V370" s="18">
        <f t="shared" si="66"/>
        <v>6.8273092369477914E-2</v>
      </c>
      <c r="W370" s="18">
        <f t="shared" si="67"/>
        <v>8.6792452830188674E-2</v>
      </c>
      <c r="X370" s="18">
        <f t="shared" si="68"/>
        <v>0.10309278350515463</v>
      </c>
      <c r="Y370" s="18">
        <f t="shared" si="69"/>
        <v>0.39751552795031053</v>
      </c>
      <c r="Z370" s="18">
        <f t="shared" si="70"/>
        <v>0.56634304207119746</v>
      </c>
      <c r="AA370" s="10">
        <f t="shared" si="71"/>
        <v>0.24440337970000001</v>
      </c>
      <c r="AB370" t="str">
        <f>IF(AA370&gt;=Como_Avaliar!$B$15,"Alta",IF(AA370&gt;=Como_Avaliar!$B$16,"Média","Baixa"))</f>
        <v>Média</v>
      </c>
    </row>
    <row r="371" spans="1:28" x14ac:dyDescent="0.25">
      <c r="A371" t="s">
        <v>675</v>
      </c>
      <c r="B371" t="s">
        <v>355</v>
      </c>
      <c r="C371" t="s">
        <v>86</v>
      </c>
      <c r="D371" t="s">
        <v>56</v>
      </c>
      <c r="E371" t="s">
        <v>91</v>
      </c>
      <c r="F371">
        <v>29</v>
      </c>
      <c r="G371">
        <v>12</v>
      </c>
      <c r="H371">
        <v>2</v>
      </c>
      <c r="I371" t="s">
        <v>65</v>
      </c>
      <c r="J371" t="s">
        <v>98</v>
      </c>
      <c r="K371" t="s">
        <v>97</v>
      </c>
      <c r="L371" t="s">
        <v>322</v>
      </c>
      <c r="M371">
        <v>0</v>
      </c>
      <c r="N371" t="str">
        <f t="shared" si="60"/>
        <v>3. 16+ anos</v>
      </c>
      <c r="O371" t="str">
        <f t="shared" si="61"/>
        <v>1. &lt; 20</v>
      </c>
      <c r="P371" t="str">
        <f t="shared" si="62"/>
        <v>1. 1 a 2</v>
      </c>
      <c r="Q371">
        <f t="shared" si="63"/>
        <v>0</v>
      </c>
      <c r="R371">
        <f t="shared" si="64"/>
        <v>0</v>
      </c>
      <c r="S371">
        <f t="shared" si="65"/>
        <v>0</v>
      </c>
      <c r="V371" s="18">
        <f t="shared" si="66"/>
        <v>6.8273092369477914E-2</v>
      </c>
      <c r="W371" s="18">
        <f t="shared" si="67"/>
        <v>8.6792452830188674E-2</v>
      </c>
      <c r="X371" s="18">
        <f t="shared" si="68"/>
        <v>0.10309278350515463</v>
      </c>
      <c r="Y371" s="18">
        <f t="shared" si="69"/>
        <v>0.39751552795031053</v>
      </c>
      <c r="Z371" s="18">
        <f t="shared" si="70"/>
        <v>0.56634304207119746</v>
      </c>
      <c r="AA371" s="10">
        <f t="shared" si="71"/>
        <v>0.24440337970000001</v>
      </c>
      <c r="AB371" t="str">
        <f>IF(AA371&gt;=Como_Avaliar!$B$15,"Alta",IF(AA371&gt;=Como_Avaliar!$B$16,"Média","Baixa"))</f>
        <v>Média</v>
      </c>
    </row>
    <row r="372" spans="1:28" x14ac:dyDescent="0.25">
      <c r="A372" t="s">
        <v>676</v>
      </c>
      <c r="B372" t="s">
        <v>305</v>
      </c>
      <c r="C372" t="s">
        <v>89</v>
      </c>
      <c r="D372" t="s">
        <v>59</v>
      </c>
      <c r="E372" t="s">
        <v>91</v>
      </c>
      <c r="F372">
        <v>18</v>
      </c>
      <c r="G372">
        <v>63</v>
      </c>
      <c r="H372">
        <v>7</v>
      </c>
      <c r="I372" t="s">
        <v>62</v>
      </c>
      <c r="J372" t="s">
        <v>98</v>
      </c>
      <c r="K372" t="s">
        <v>98</v>
      </c>
      <c r="L372" t="s">
        <v>322</v>
      </c>
      <c r="M372">
        <v>1</v>
      </c>
      <c r="N372" t="str">
        <f t="shared" si="60"/>
        <v>3. 16+ anos</v>
      </c>
      <c r="O372" t="str">
        <f t="shared" si="61"/>
        <v>3. 50 a 149</v>
      </c>
      <c r="P372" t="str">
        <f t="shared" si="62"/>
        <v>3. 6 a 15</v>
      </c>
      <c r="Q372">
        <f t="shared" si="63"/>
        <v>0</v>
      </c>
      <c r="R372">
        <f t="shared" si="64"/>
        <v>1</v>
      </c>
      <c r="S372">
        <f t="shared" si="65"/>
        <v>0</v>
      </c>
      <c r="V372" s="18">
        <f t="shared" si="66"/>
        <v>0.43835616438356162</v>
      </c>
      <c r="W372" s="18">
        <f t="shared" si="67"/>
        <v>0.55319148936170215</v>
      </c>
      <c r="X372" s="18">
        <f t="shared" si="68"/>
        <v>0.58992805755395683</v>
      </c>
      <c r="Y372" s="18">
        <f t="shared" si="69"/>
        <v>0.37662337662337664</v>
      </c>
      <c r="Z372" s="18">
        <f t="shared" si="70"/>
        <v>0.56634304207119746</v>
      </c>
      <c r="AA372" s="10">
        <f t="shared" si="71"/>
        <v>0.50488842599999995</v>
      </c>
      <c r="AB372" t="str">
        <f>IF(AA372&gt;=Como_Avaliar!$B$15,"Alta",IF(AA372&gt;=Como_Avaliar!$B$16,"Média","Baixa"))</f>
        <v>Alta</v>
      </c>
    </row>
    <row r="373" spans="1:28" x14ac:dyDescent="0.25">
      <c r="A373" t="s">
        <v>677</v>
      </c>
      <c r="B373" t="s">
        <v>292</v>
      </c>
      <c r="C373" t="s">
        <v>84</v>
      </c>
      <c r="D373" t="s">
        <v>56</v>
      </c>
      <c r="E373" t="s">
        <v>90</v>
      </c>
      <c r="F373">
        <v>14</v>
      </c>
      <c r="G373">
        <v>8</v>
      </c>
      <c r="H373">
        <v>1</v>
      </c>
      <c r="I373" t="s">
        <v>62</v>
      </c>
      <c r="J373" t="s">
        <v>98</v>
      </c>
      <c r="K373" t="s">
        <v>97</v>
      </c>
      <c r="L373" t="s">
        <v>322</v>
      </c>
      <c r="M373">
        <v>0</v>
      </c>
      <c r="N373" t="str">
        <f t="shared" si="60"/>
        <v>2. 8 a 15 anos</v>
      </c>
      <c r="O373" t="str">
        <f t="shared" si="61"/>
        <v>1. &lt; 20</v>
      </c>
      <c r="P373" t="str">
        <f t="shared" si="62"/>
        <v>1. 1 a 2</v>
      </c>
      <c r="Q373">
        <f t="shared" si="63"/>
        <v>0</v>
      </c>
      <c r="R373">
        <f t="shared" si="64"/>
        <v>0</v>
      </c>
      <c r="S373">
        <f t="shared" si="65"/>
        <v>0</v>
      </c>
      <c r="V373" s="18">
        <f t="shared" si="66"/>
        <v>6.8273092369477914E-2</v>
      </c>
      <c r="W373" s="18">
        <f t="shared" si="67"/>
        <v>8.6792452830188674E-2</v>
      </c>
      <c r="X373" s="18">
        <f t="shared" si="68"/>
        <v>0.10309278350515463</v>
      </c>
      <c r="Y373" s="18">
        <f t="shared" si="69"/>
        <v>0.37662337662337664</v>
      </c>
      <c r="Z373" s="18">
        <f t="shared" si="70"/>
        <v>0.22302158273381295</v>
      </c>
      <c r="AA373" s="10">
        <f t="shared" si="71"/>
        <v>0.1715606576</v>
      </c>
      <c r="AB373" t="str">
        <f>IF(AA373&gt;=Como_Avaliar!$B$15,"Alta",IF(AA373&gt;=Como_Avaliar!$B$16,"Média","Baixa"))</f>
        <v>Baixa</v>
      </c>
    </row>
    <row r="374" spans="1:28" x14ac:dyDescent="0.25">
      <c r="A374" t="s">
        <v>678</v>
      </c>
      <c r="B374" t="s">
        <v>426</v>
      </c>
      <c r="C374" t="s">
        <v>84</v>
      </c>
      <c r="D374" t="s">
        <v>58</v>
      </c>
      <c r="E374" t="s">
        <v>96</v>
      </c>
      <c r="F374">
        <v>18</v>
      </c>
      <c r="G374">
        <v>197</v>
      </c>
      <c r="H374">
        <v>9</v>
      </c>
      <c r="I374" t="s">
        <v>66</v>
      </c>
      <c r="J374" t="s">
        <v>97</v>
      </c>
      <c r="K374" t="s">
        <v>98</v>
      </c>
      <c r="L374" t="s">
        <v>322</v>
      </c>
      <c r="M374">
        <v>1</v>
      </c>
      <c r="N374" t="str">
        <f t="shared" si="60"/>
        <v>3. 16+ anos</v>
      </c>
      <c r="O374" t="str">
        <f t="shared" si="61"/>
        <v>4. 150+</v>
      </c>
      <c r="P374" t="str">
        <f t="shared" si="62"/>
        <v>3. 6 a 15</v>
      </c>
      <c r="Q374">
        <f t="shared" si="63"/>
        <v>0</v>
      </c>
      <c r="R374">
        <f t="shared" si="64"/>
        <v>1</v>
      </c>
      <c r="S374">
        <f t="shared" si="65"/>
        <v>0</v>
      </c>
      <c r="V374" s="18">
        <f t="shared" si="66"/>
        <v>0.93975903614457834</v>
      </c>
      <c r="W374" s="18">
        <f t="shared" si="67"/>
        <v>0.55319148936170215</v>
      </c>
      <c r="X374" s="18">
        <f t="shared" si="68"/>
        <v>0.97938144329896903</v>
      </c>
      <c r="Y374" s="18">
        <f t="shared" si="69"/>
        <v>1</v>
      </c>
      <c r="Z374" s="18">
        <f t="shared" si="70"/>
        <v>0.56634304207119746</v>
      </c>
      <c r="AA374" s="10">
        <f t="shared" si="71"/>
        <v>0.80773500220000005</v>
      </c>
      <c r="AB374" t="str">
        <f>IF(AA374&gt;=Como_Avaliar!$B$15,"Alta",IF(AA374&gt;=Como_Avaliar!$B$16,"Média","Baixa"))</f>
        <v>Alta</v>
      </c>
    </row>
    <row r="375" spans="1:28" x14ac:dyDescent="0.25">
      <c r="A375" t="s">
        <v>679</v>
      </c>
      <c r="B375" t="s">
        <v>295</v>
      </c>
      <c r="C375" t="s">
        <v>84</v>
      </c>
      <c r="D375" t="s">
        <v>56</v>
      </c>
      <c r="E375" t="s">
        <v>92</v>
      </c>
      <c r="F375">
        <v>2</v>
      </c>
      <c r="G375">
        <v>18</v>
      </c>
      <c r="H375">
        <v>1</v>
      </c>
      <c r="I375" t="s">
        <v>62</v>
      </c>
      <c r="J375" t="s">
        <v>97</v>
      </c>
      <c r="K375" t="s">
        <v>97</v>
      </c>
      <c r="L375" t="s">
        <v>289</v>
      </c>
      <c r="M375">
        <v>0</v>
      </c>
      <c r="N375" t="str">
        <f t="shared" si="60"/>
        <v>1. &lt; 8 anos</v>
      </c>
      <c r="O375" t="str">
        <f t="shared" si="61"/>
        <v>1. &lt; 20</v>
      </c>
      <c r="P375" t="str">
        <f t="shared" si="62"/>
        <v>1. 1 a 2</v>
      </c>
      <c r="Q375">
        <f t="shared" si="63"/>
        <v>0</v>
      </c>
      <c r="R375">
        <f t="shared" si="64"/>
        <v>0</v>
      </c>
      <c r="S375">
        <f t="shared" si="65"/>
        <v>1</v>
      </c>
      <c r="T375">
        <v>2</v>
      </c>
      <c r="U375" t="s">
        <v>139</v>
      </c>
      <c r="V375" s="18">
        <f t="shared" si="66"/>
        <v>6.8273092369477914E-2</v>
      </c>
      <c r="W375" s="18">
        <f t="shared" si="67"/>
        <v>8.6792452830188674E-2</v>
      </c>
      <c r="X375" s="18">
        <f t="shared" si="68"/>
        <v>0.10309278350515463</v>
      </c>
      <c r="Y375" s="18">
        <f t="shared" si="69"/>
        <v>0.37662337662337664</v>
      </c>
      <c r="Z375" s="18">
        <f t="shared" si="70"/>
        <v>0.22368421052631579</v>
      </c>
      <c r="AA375" s="10">
        <f t="shared" si="71"/>
        <v>0.17169318319999999</v>
      </c>
      <c r="AB375" t="str">
        <f>IF(AA375&gt;=Como_Avaliar!$B$15,"Alta",IF(AA375&gt;=Como_Avaliar!$B$16,"Média","Baixa"))</f>
        <v>Baixa</v>
      </c>
    </row>
    <row r="376" spans="1:28" x14ac:dyDescent="0.25">
      <c r="A376" t="s">
        <v>680</v>
      </c>
      <c r="B376" t="s">
        <v>301</v>
      </c>
      <c r="C376" t="s">
        <v>88</v>
      </c>
      <c r="D376" t="s">
        <v>56</v>
      </c>
      <c r="E376" t="s">
        <v>96</v>
      </c>
      <c r="F376">
        <v>22</v>
      </c>
      <c r="G376">
        <v>10</v>
      </c>
      <c r="H376">
        <v>2</v>
      </c>
      <c r="I376" t="s">
        <v>63</v>
      </c>
      <c r="J376" t="s">
        <v>97</v>
      </c>
      <c r="K376" t="s">
        <v>98</v>
      </c>
      <c r="L376" t="s">
        <v>293</v>
      </c>
      <c r="M376">
        <v>0</v>
      </c>
      <c r="N376" t="str">
        <f t="shared" si="60"/>
        <v>3. 16+ anos</v>
      </c>
      <c r="O376" t="str">
        <f t="shared" si="61"/>
        <v>1. &lt; 20</v>
      </c>
      <c r="P376" t="str">
        <f t="shared" si="62"/>
        <v>1. 1 a 2</v>
      </c>
      <c r="Q376">
        <f t="shared" si="63"/>
        <v>1</v>
      </c>
      <c r="R376">
        <f t="shared" si="64"/>
        <v>0</v>
      </c>
      <c r="S376">
        <f t="shared" si="65"/>
        <v>1</v>
      </c>
      <c r="T376">
        <v>1</v>
      </c>
      <c r="U376" t="s">
        <v>139</v>
      </c>
      <c r="V376" s="18">
        <f t="shared" si="66"/>
        <v>6.8273092369477914E-2</v>
      </c>
      <c r="W376" s="18">
        <f t="shared" si="67"/>
        <v>8.6792452830188674E-2</v>
      </c>
      <c r="X376" s="18">
        <f t="shared" si="68"/>
        <v>0.10309278350515463</v>
      </c>
      <c r="Y376" s="18">
        <f t="shared" si="69"/>
        <v>6.5217391304347824E-2</v>
      </c>
      <c r="Z376" s="18">
        <f t="shared" si="70"/>
        <v>0.56634304207119746</v>
      </c>
      <c r="AA376" s="10">
        <f t="shared" si="71"/>
        <v>0.17794375239999999</v>
      </c>
      <c r="AB376" t="str">
        <f>IF(AA376&gt;=Como_Avaliar!$B$15,"Alta",IF(AA376&gt;=Como_Avaliar!$B$16,"Média","Baixa"))</f>
        <v>Baixa</v>
      </c>
    </row>
    <row r="377" spans="1:28" x14ac:dyDescent="0.25">
      <c r="A377" t="s">
        <v>681</v>
      </c>
      <c r="B377" t="s">
        <v>286</v>
      </c>
      <c r="C377" t="s">
        <v>88</v>
      </c>
      <c r="D377" t="s">
        <v>59</v>
      </c>
      <c r="E377" t="s">
        <v>93</v>
      </c>
      <c r="F377">
        <v>3</v>
      </c>
      <c r="G377">
        <v>43</v>
      </c>
      <c r="H377">
        <v>2</v>
      </c>
      <c r="I377" t="s">
        <v>60</v>
      </c>
      <c r="J377" t="s">
        <v>98</v>
      </c>
      <c r="K377" t="s">
        <v>97</v>
      </c>
      <c r="L377" t="s">
        <v>284</v>
      </c>
      <c r="M377">
        <v>1</v>
      </c>
      <c r="N377" t="str">
        <f t="shared" si="60"/>
        <v>1. &lt; 8 anos</v>
      </c>
      <c r="O377" t="str">
        <f t="shared" si="61"/>
        <v>2. 20 a 49</v>
      </c>
      <c r="P377" t="str">
        <f t="shared" si="62"/>
        <v>1. 1 a 2</v>
      </c>
      <c r="Q377">
        <f t="shared" si="63"/>
        <v>0</v>
      </c>
      <c r="R377">
        <f t="shared" si="64"/>
        <v>0</v>
      </c>
      <c r="S377">
        <f t="shared" si="65"/>
        <v>0</v>
      </c>
      <c r="V377" s="18">
        <f t="shared" si="66"/>
        <v>0.43835616438356162</v>
      </c>
      <c r="W377" s="18">
        <f t="shared" si="67"/>
        <v>8.6792452830188674E-2</v>
      </c>
      <c r="X377" s="18">
        <f t="shared" si="68"/>
        <v>0.25294117647058822</v>
      </c>
      <c r="Y377" s="18">
        <f t="shared" si="69"/>
        <v>0.65217391304347827</v>
      </c>
      <c r="Z377" s="18">
        <f t="shared" si="70"/>
        <v>0.22368421052631579</v>
      </c>
      <c r="AA377" s="10">
        <f t="shared" si="71"/>
        <v>0.33078958349999998</v>
      </c>
      <c r="AB377" t="str">
        <f>IF(AA377&gt;=Como_Avaliar!$B$15,"Alta",IF(AA377&gt;=Como_Avaliar!$B$16,"Média","Baixa"))</f>
        <v>Média</v>
      </c>
    </row>
    <row r="378" spans="1:28" x14ac:dyDescent="0.25">
      <c r="A378" t="s">
        <v>682</v>
      </c>
      <c r="B378" t="s">
        <v>295</v>
      </c>
      <c r="C378" t="s">
        <v>84</v>
      </c>
      <c r="D378" t="s">
        <v>59</v>
      </c>
      <c r="E378" t="s">
        <v>95</v>
      </c>
      <c r="F378">
        <v>16</v>
      </c>
      <c r="G378">
        <v>53</v>
      </c>
      <c r="H378">
        <v>3</v>
      </c>
      <c r="I378" t="s">
        <v>62</v>
      </c>
      <c r="J378" t="s">
        <v>97</v>
      </c>
      <c r="K378" t="s">
        <v>97</v>
      </c>
      <c r="L378" t="s">
        <v>284</v>
      </c>
      <c r="M378">
        <v>1</v>
      </c>
      <c r="N378" t="str">
        <f t="shared" si="60"/>
        <v>3. 16+ anos</v>
      </c>
      <c r="O378" t="str">
        <f t="shared" si="61"/>
        <v>3. 50 a 149</v>
      </c>
      <c r="P378" t="str">
        <f t="shared" si="62"/>
        <v>2. 3 a 5</v>
      </c>
      <c r="Q378">
        <f t="shared" si="63"/>
        <v>0</v>
      </c>
      <c r="R378">
        <f t="shared" si="64"/>
        <v>0</v>
      </c>
      <c r="S378">
        <f t="shared" si="65"/>
        <v>0</v>
      </c>
      <c r="V378" s="18">
        <f t="shared" si="66"/>
        <v>0.43835616438356162</v>
      </c>
      <c r="W378" s="18">
        <f t="shared" si="67"/>
        <v>0.38095238095238093</v>
      </c>
      <c r="X378" s="18">
        <f t="shared" si="68"/>
        <v>0.58992805755395683</v>
      </c>
      <c r="Y378" s="18">
        <f t="shared" si="69"/>
        <v>0.37662337662337664</v>
      </c>
      <c r="Z378" s="18">
        <f t="shared" si="70"/>
        <v>0.56634304207119746</v>
      </c>
      <c r="AA378" s="10">
        <f t="shared" si="71"/>
        <v>0.47044060430000001</v>
      </c>
      <c r="AB378" t="str">
        <f>IF(AA378&gt;=Como_Avaliar!$B$15,"Alta",IF(AA378&gt;=Como_Avaliar!$B$16,"Média","Baixa"))</f>
        <v>Média</v>
      </c>
    </row>
    <row r="379" spans="1:28" x14ac:dyDescent="0.25">
      <c r="A379" t="s">
        <v>683</v>
      </c>
      <c r="B379" t="s">
        <v>288</v>
      </c>
      <c r="C379" t="s">
        <v>88</v>
      </c>
      <c r="D379" t="s">
        <v>57</v>
      </c>
      <c r="E379" t="s">
        <v>90</v>
      </c>
      <c r="F379">
        <v>29</v>
      </c>
      <c r="G379">
        <v>347</v>
      </c>
      <c r="H379">
        <v>45</v>
      </c>
      <c r="I379" t="s">
        <v>65</v>
      </c>
      <c r="J379" t="s">
        <v>98</v>
      </c>
      <c r="K379" t="s">
        <v>97</v>
      </c>
      <c r="L379" t="s">
        <v>284</v>
      </c>
      <c r="M379">
        <v>1</v>
      </c>
      <c r="N379" t="str">
        <f t="shared" si="60"/>
        <v>3. 16+ anos</v>
      </c>
      <c r="O379" t="str">
        <f t="shared" si="61"/>
        <v>4. 150+</v>
      </c>
      <c r="P379" t="str">
        <f t="shared" si="62"/>
        <v>4. 16+</v>
      </c>
      <c r="Q379">
        <f t="shared" si="63"/>
        <v>0</v>
      </c>
      <c r="R379">
        <f t="shared" si="64"/>
        <v>1</v>
      </c>
      <c r="S379">
        <f t="shared" si="65"/>
        <v>0</v>
      </c>
      <c r="V379" s="18">
        <f t="shared" si="66"/>
        <v>1</v>
      </c>
      <c r="W379" s="18">
        <f t="shared" si="67"/>
        <v>0.97272727272727277</v>
      </c>
      <c r="X379" s="18">
        <f t="shared" si="68"/>
        <v>0.97938144329896903</v>
      </c>
      <c r="Y379" s="18">
        <f t="shared" si="69"/>
        <v>0.39751552795031053</v>
      </c>
      <c r="Z379" s="18">
        <f t="shared" si="70"/>
        <v>0.56634304207119746</v>
      </c>
      <c r="AA379" s="10">
        <f t="shared" si="71"/>
        <v>0.7831934572</v>
      </c>
      <c r="AB379" t="str">
        <f>IF(AA379&gt;=Como_Avaliar!$B$15,"Alta",IF(AA379&gt;=Como_Avaliar!$B$16,"Média","Baixa"))</f>
        <v>Alta</v>
      </c>
    </row>
    <row r="380" spans="1:28" x14ac:dyDescent="0.25">
      <c r="A380" t="s">
        <v>684</v>
      </c>
      <c r="B380" t="s">
        <v>288</v>
      </c>
      <c r="C380" t="s">
        <v>88</v>
      </c>
      <c r="D380" t="s">
        <v>56</v>
      </c>
      <c r="E380" t="s">
        <v>92</v>
      </c>
      <c r="F380">
        <v>9</v>
      </c>
      <c r="G380">
        <v>17</v>
      </c>
      <c r="H380">
        <v>2</v>
      </c>
      <c r="I380" t="s">
        <v>65</v>
      </c>
      <c r="J380" t="s">
        <v>98</v>
      </c>
      <c r="K380" t="s">
        <v>97</v>
      </c>
      <c r="L380" t="s">
        <v>284</v>
      </c>
      <c r="M380">
        <v>0</v>
      </c>
      <c r="N380" t="str">
        <f t="shared" si="60"/>
        <v>2. 8 a 15 anos</v>
      </c>
      <c r="O380" t="str">
        <f t="shared" si="61"/>
        <v>1. &lt; 20</v>
      </c>
      <c r="P380" t="str">
        <f t="shared" si="62"/>
        <v>1. 1 a 2</v>
      </c>
      <c r="Q380">
        <f t="shared" si="63"/>
        <v>0</v>
      </c>
      <c r="R380">
        <f t="shared" si="64"/>
        <v>0</v>
      </c>
      <c r="S380">
        <f t="shared" si="65"/>
        <v>1</v>
      </c>
      <c r="T380">
        <v>2</v>
      </c>
      <c r="U380" t="s">
        <v>139</v>
      </c>
      <c r="V380" s="18">
        <f t="shared" si="66"/>
        <v>6.8273092369477914E-2</v>
      </c>
      <c r="W380" s="18">
        <f t="shared" si="67"/>
        <v>8.6792452830188674E-2</v>
      </c>
      <c r="X380" s="18">
        <f t="shared" si="68"/>
        <v>0.10309278350515463</v>
      </c>
      <c r="Y380" s="18">
        <f t="shared" si="69"/>
        <v>0.39751552795031053</v>
      </c>
      <c r="Z380" s="18">
        <f t="shared" si="70"/>
        <v>0.22302158273381295</v>
      </c>
      <c r="AA380" s="10">
        <f t="shared" si="71"/>
        <v>0.17573908790000001</v>
      </c>
      <c r="AB380" t="str">
        <f>IF(AA380&gt;=Como_Avaliar!$B$15,"Alta",IF(AA380&gt;=Como_Avaliar!$B$16,"Média","Baixa"))</f>
        <v>Baixa</v>
      </c>
    </row>
    <row r="381" spans="1:28" x14ac:dyDescent="0.25">
      <c r="A381" t="s">
        <v>685</v>
      </c>
      <c r="B381" t="s">
        <v>327</v>
      </c>
      <c r="C381" t="s">
        <v>86</v>
      </c>
      <c r="D381" t="s">
        <v>56</v>
      </c>
      <c r="E381" t="s">
        <v>90</v>
      </c>
      <c r="F381">
        <v>4</v>
      </c>
      <c r="G381">
        <v>4</v>
      </c>
      <c r="H381">
        <v>2</v>
      </c>
      <c r="I381" t="s">
        <v>63</v>
      </c>
      <c r="J381" t="s">
        <v>98</v>
      </c>
      <c r="K381" t="s">
        <v>97</v>
      </c>
      <c r="L381" t="s">
        <v>298</v>
      </c>
      <c r="M381">
        <v>0</v>
      </c>
      <c r="N381" t="str">
        <f t="shared" si="60"/>
        <v>1. &lt; 8 anos</v>
      </c>
      <c r="O381" t="str">
        <f t="shared" si="61"/>
        <v>1. &lt; 20</v>
      </c>
      <c r="P381" t="str">
        <f t="shared" si="62"/>
        <v>1. 1 a 2</v>
      </c>
      <c r="Q381">
        <f t="shared" si="63"/>
        <v>1</v>
      </c>
      <c r="R381">
        <f t="shared" si="64"/>
        <v>0</v>
      </c>
      <c r="S381">
        <f t="shared" si="65"/>
        <v>1</v>
      </c>
      <c r="T381">
        <v>1</v>
      </c>
      <c r="U381" t="s">
        <v>139</v>
      </c>
      <c r="V381" s="18">
        <f t="shared" si="66"/>
        <v>6.8273092369477914E-2</v>
      </c>
      <c r="W381" s="18">
        <f t="shared" si="67"/>
        <v>8.6792452830188674E-2</v>
      </c>
      <c r="X381" s="18">
        <f t="shared" si="68"/>
        <v>0.10309278350515463</v>
      </c>
      <c r="Y381" s="18">
        <f t="shared" si="69"/>
        <v>6.5217391304347824E-2</v>
      </c>
      <c r="Z381" s="18">
        <f t="shared" si="70"/>
        <v>0.22368421052631579</v>
      </c>
      <c r="AA381" s="10">
        <f t="shared" si="71"/>
        <v>0.1094119861</v>
      </c>
      <c r="AB381" t="str">
        <f>IF(AA381&gt;=Como_Avaliar!$B$15,"Alta",IF(AA381&gt;=Como_Avaliar!$B$16,"Média","Baixa"))</f>
        <v>Baixa</v>
      </c>
    </row>
    <row r="382" spans="1:28" x14ac:dyDescent="0.25">
      <c r="A382" t="s">
        <v>686</v>
      </c>
      <c r="B382" t="s">
        <v>292</v>
      </c>
      <c r="C382" t="s">
        <v>84</v>
      </c>
      <c r="D382" t="s">
        <v>56</v>
      </c>
      <c r="E382" t="s">
        <v>94</v>
      </c>
      <c r="F382">
        <v>1</v>
      </c>
      <c r="G382">
        <v>20</v>
      </c>
      <c r="H382">
        <v>1</v>
      </c>
      <c r="I382" t="s">
        <v>65</v>
      </c>
      <c r="J382" t="s">
        <v>97</v>
      </c>
      <c r="K382" t="s">
        <v>98</v>
      </c>
      <c r="L382" t="s">
        <v>284</v>
      </c>
      <c r="M382">
        <v>0</v>
      </c>
      <c r="N382" t="str">
        <f t="shared" si="60"/>
        <v>1. &lt; 8 anos</v>
      </c>
      <c r="O382" t="str">
        <f t="shared" si="61"/>
        <v>2. 20 a 49</v>
      </c>
      <c r="P382" t="str">
        <f t="shared" si="62"/>
        <v>1. 1 a 2</v>
      </c>
      <c r="Q382">
        <f t="shared" si="63"/>
        <v>0</v>
      </c>
      <c r="R382">
        <f t="shared" si="64"/>
        <v>0</v>
      </c>
      <c r="S382">
        <f t="shared" si="65"/>
        <v>1</v>
      </c>
      <c r="T382">
        <v>4</v>
      </c>
      <c r="U382" t="s">
        <v>137</v>
      </c>
      <c r="V382" s="18">
        <f t="shared" si="66"/>
        <v>6.8273092369477914E-2</v>
      </c>
      <c r="W382" s="18">
        <f t="shared" si="67"/>
        <v>8.6792452830188674E-2</v>
      </c>
      <c r="X382" s="18">
        <f t="shared" si="68"/>
        <v>0.25294117647058822</v>
      </c>
      <c r="Y382" s="18">
        <f t="shared" si="69"/>
        <v>0.39751552795031053</v>
      </c>
      <c r="Z382" s="18">
        <f t="shared" si="70"/>
        <v>0.22368421052631579</v>
      </c>
      <c r="AA382" s="10">
        <f t="shared" si="71"/>
        <v>0.20584129200000001</v>
      </c>
      <c r="AB382" t="str">
        <f>IF(AA382&gt;=Como_Avaliar!$B$15,"Alta",IF(AA382&gt;=Como_Avaliar!$B$16,"Média","Baixa"))</f>
        <v>Baixa</v>
      </c>
    </row>
    <row r="383" spans="1:28" x14ac:dyDescent="0.25">
      <c r="A383" t="s">
        <v>687</v>
      </c>
      <c r="B383" t="s">
        <v>288</v>
      </c>
      <c r="C383" t="s">
        <v>88</v>
      </c>
      <c r="D383" t="s">
        <v>56</v>
      </c>
      <c r="E383" t="s">
        <v>93</v>
      </c>
      <c r="F383">
        <v>4</v>
      </c>
      <c r="G383">
        <v>16</v>
      </c>
      <c r="H383">
        <v>2</v>
      </c>
      <c r="I383" t="s">
        <v>63</v>
      </c>
      <c r="J383" t="s">
        <v>98</v>
      </c>
      <c r="K383" t="s">
        <v>98</v>
      </c>
      <c r="L383" t="s">
        <v>289</v>
      </c>
      <c r="M383">
        <v>0</v>
      </c>
      <c r="N383" t="str">
        <f t="shared" si="60"/>
        <v>1. &lt; 8 anos</v>
      </c>
      <c r="O383" t="str">
        <f t="shared" si="61"/>
        <v>1. &lt; 20</v>
      </c>
      <c r="P383" t="str">
        <f t="shared" si="62"/>
        <v>1. 1 a 2</v>
      </c>
      <c r="Q383">
        <f t="shared" si="63"/>
        <v>1</v>
      </c>
      <c r="R383">
        <f t="shared" si="64"/>
        <v>0</v>
      </c>
      <c r="S383">
        <f t="shared" si="65"/>
        <v>1</v>
      </c>
      <c r="T383">
        <v>4</v>
      </c>
      <c r="U383" t="s">
        <v>137</v>
      </c>
      <c r="V383" s="18">
        <f t="shared" si="66"/>
        <v>6.8273092369477914E-2</v>
      </c>
      <c r="W383" s="18">
        <f t="shared" si="67"/>
        <v>8.6792452830188674E-2</v>
      </c>
      <c r="X383" s="18">
        <f t="shared" si="68"/>
        <v>0.10309278350515463</v>
      </c>
      <c r="Y383" s="18">
        <f t="shared" si="69"/>
        <v>6.5217391304347824E-2</v>
      </c>
      <c r="Z383" s="18">
        <f t="shared" si="70"/>
        <v>0.22368421052631579</v>
      </c>
      <c r="AA383" s="10">
        <f t="shared" si="71"/>
        <v>0.1094119861</v>
      </c>
      <c r="AB383" t="str">
        <f>IF(AA383&gt;=Como_Avaliar!$B$15,"Alta",IF(AA383&gt;=Como_Avaliar!$B$16,"Média","Baixa"))</f>
        <v>Baixa</v>
      </c>
    </row>
    <row r="384" spans="1:28" x14ac:dyDescent="0.25">
      <c r="A384" t="s">
        <v>688</v>
      </c>
      <c r="B384" t="s">
        <v>288</v>
      </c>
      <c r="C384" t="s">
        <v>88</v>
      </c>
      <c r="D384" t="s">
        <v>56</v>
      </c>
      <c r="E384" t="s">
        <v>96</v>
      </c>
      <c r="F384">
        <v>1</v>
      </c>
      <c r="G384">
        <v>16</v>
      </c>
      <c r="H384">
        <v>1</v>
      </c>
      <c r="I384" t="s">
        <v>62</v>
      </c>
      <c r="J384" t="s">
        <v>97</v>
      </c>
      <c r="K384" t="s">
        <v>98</v>
      </c>
      <c r="L384" t="s">
        <v>329</v>
      </c>
      <c r="M384">
        <v>0</v>
      </c>
      <c r="N384" t="str">
        <f t="shared" si="60"/>
        <v>1. &lt; 8 anos</v>
      </c>
      <c r="O384" t="str">
        <f t="shared" si="61"/>
        <v>1. &lt; 20</v>
      </c>
      <c r="P384" t="str">
        <f t="shared" si="62"/>
        <v>1. 1 a 2</v>
      </c>
      <c r="Q384">
        <f t="shared" si="63"/>
        <v>0</v>
      </c>
      <c r="R384">
        <f t="shared" si="64"/>
        <v>0</v>
      </c>
      <c r="S384">
        <f t="shared" si="65"/>
        <v>1</v>
      </c>
      <c r="T384">
        <v>2</v>
      </c>
      <c r="U384" t="s">
        <v>139</v>
      </c>
      <c r="V384" s="18">
        <f t="shared" si="66"/>
        <v>6.8273092369477914E-2</v>
      </c>
      <c r="W384" s="18">
        <f t="shared" si="67"/>
        <v>8.6792452830188674E-2</v>
      </c>
      <c r="X384" s="18">
        <f t="shared" si="68"/>
        <v>0.10309278350515463</v>
      </c>
      <c r="Y384" s="18">
        <f t="shared" si="69"/>
        <v>0.37662337662337664</v>
      </c>
      <c r="Z384" s="18">
        <f t="shared" si="70"/>
        <v>0.22368421052631579</v>
      </c>
      <c r="AA384" s="10">
        <f t="shared" si="71"/>
        <v>0.17169318319999999</v>
      </c>
      <c r="AB384" t="str">
        <f>IF(AA384&gt;=Como_Avaliar!$B$15,"Alta",IF(AA384&gt;=Como_Avaliar!$B$16,"Média","Baixa"))</f>
        <v>Baixa</v>
      </c>
    </row>
    <row r="385" spans="1:28" x14ac:dyDescent="0.25">
      <c r="A385" t="s">
        <v>689</v>
      </c>
      <c r="B385" t="s">
        <v>301</v>
      </c>
      <c r="C385" t="s">
        <v>88</v>
      </c>
      <c r="D385" t="s">
        <v>59</v>
      </c>
      <c r="E385" t="s">
        <v>96</v>
      </c>
      <c r="F385">
        <v>14</v>
      </c>
      <c r="G385">
        <v>32</v>
      </c>
      <c r="H385">
        <v>4</v>
      </c>
      <c r="I385" t="s">
        <v>68</v>
      </c>
      <c r="J385" t="s">
        <v>97</v>
      </c>
      <c r="K385" t="s">
        <v>98</v>
      </c>
      <c r="L385" t="s">
        <v>289</v>
      </c>
      <c r="M385">
        <v>0</v>
      </c>
      <c r="N385" t="str">
        <f t="shared" si="60"/>
        <v>2. 8 a 15 anos</v>
      </c>
      <c r="O385" t="str">
        <f t="shared" si="61"/>
        <v>2. 20 a 49</v>
      </c>
      <c r="P385" t="str">
        <f t="shared" si="62"/>
        <v>2. 3 a 5</v>
      </c>
      <c r="Q385">
        <f t="shared" si="63"/>
        <v>0</v>
      </c>
      <c r="R385">
        <f t="shared" si="64"/>
        <v>0</v>
      </c>
      <c r="S385">
        <f t="shared" si="65"/>
        <v>1</v>
      </c>
      <c r="T385">
        <v>3</v>
      </c>
      <c r="U385" t="s">
        <v>138</v>
      </c>
      <c r="V385" s="18">
        <f t="shared" si="66"/>
        <v>0.43835616438356162</v>
      </c>
      <c r="W385" s="18">
        <f t="shared" si="67"/>
        <v>0.38095238095238093</v>
      </c>
      <c r="X385" s="18">
        <f t="shared" si="68"/>
        <v>0.25294117647058822</v>
      </c>
      <c r="Y385" s="18">
        <f t="shared" si="69"/>
        <v>0.58333333333333337</v>
      </c>
      <c r="Z385" s="18">
        <f t="shared" si="70"/>
        <v>0.22302158273381295</v>
      </c>
      <c r="AA385" s="10">
        <f t="shared" si="71"/>
        <v>0.37572092759999998</v>
      </c>
      <c r="AB385" t="str">
        <f>IF(AA385&gt;=Como_Avaliar!$B$15,"Alta",IF(AA385&gt;=Como_Avaliar!$B$16,"Média","Baixa"))</f>
        <v>Média</v>
      </c>
    </row>
    <row r="386" spans="1:28" x14ac:dyDescent="0.25">
      <c r="A386" t="s">
        <v>690</v>
      </c>
      <c r="B386" t="s">
        <v>301</v>
      </c>
      <c r="C386" t="s">
        <v>88</v>
      </c>
      <c r="D386" t="s">
        <v>59</v>
      </c>
      <c r="E386" t="s">
        <v>94</v>
      </c>
      <c r="F386">
        <v>21</v>
      </c>
      <c r="G386">
        <v>64</v>
      </c>
      <c r="H386">
        <v>6</v>
      </c>
      <c r="I386" t="s">
        <v>65</v>
      </c>
      <c r="J386" t="s">
        <v>97</v>
      </c>
      <c r="K386" t="s">
        <v>97</v>
      </c>
      <c r="L386" t="s">
        <v>329</v>
      </c>
      <c r="M386">
        <v>0</v>
      </c>
      <c r="N386" t="str">
        <f t="shared" ref="N386:N449" si="72">IF(F386&lt;8,"1. &lt; 8 anos",IF(F386&lt;16,"2. 8 a 15 anos","3. 16+ anos"))</f>
        <v>3. 16+ anos</v>
      </c>
      <c r="O386" t="str">
        <f t="shared" ref="O386:O449" si="73">IF(G386&lt;20,"1. &lt; 20",IF(G386&lt;50,"2. 20 a 49",IF(G386&lt;150,"3. 50 a 149","4. 150+")))</f>
        <v>3. 50 a 149</v>
      </c>
      <c r="P386" t="str">
        <f t="shared" ref="P386:P449" si="74">IF(H386&lt;=2,"1. 1 a 2",IF(H386&lt;=5,"2. 3 a 5",IF(H386&lt;=15,"3. 6 a 15","4. 16+")))</f>
        <v>3. 6 a 15</v>
      </c>
      <c r="Q386">
        <f t="shared" ref="Q386:Q449" si="75">IF(OR(I386="Nenhum",I386="Planilha",I386="ContaAzul"),1,0)</f>
        <v>0</v>
      </c>
      <c r="R386">
        <f t="shared" ref="R386:R449" si="76">IF(AND(G386&gt;=50,H386&gt;=6,Q386=0),1,0)</f>
        <v>1</v>
      </c>
      <c r="S386">
        <f t="shared" ref="S386:S449" si="77">IF(AND(L386&lt;&gt;"Cliente Ativo",M386=0),1,0)</f>
        <v>1</v>
      </c>
      <c r="T386">
        <v>4</v>
      </c>
      <c r="U386" t="s">
        <v>137</v>
      </c>
      <c r="V386" s="18">
        <f t="shared" ref="V386:V449" si="78">AVERAGEIF($D$2:$D$601,D386,$M$2:$M$601)</f>
        <v>0.43835616438356162</v>
      </c>
      <c r="W386" s="18">
        <f t="shared" ref="W386:W449" si="79">AVERAGEIF($P$2:$P$601,P386,$M$2:$M$601)</f>
        <v>0.55319148936170215</v>
      </c>
      <c r="X386" s="18">
        <f t="shared" ref="X386:X449" si="80">AVERAGEIF($O$2:$O$601,O386,$M$2:$M$601)</f>
        <v>0.58992805755395683</v>
      </c>
      <c r="Y386" s="18">
        <f t="shared" ref="Y386:Y449" si="81">AVERAGEIF($I$2:$I$601,I386,$M$2:$M$601)</f>
        <v>0.39751552795031053</v>
      </c>
      <c r="Z386" s="18">
        <f t="shared" ref="Z386:Z449" si="82">AVERAGEIF($N$2:$N$601,N386,$M$2:$M$601)</f>
        <v>0.56634304207119746</v>
      </c>
      <c r="AA386" s="10">
        <f t="shared" ref="AA386:AA449" si="83">ROUND(AVERAGE(V386:Z386),10)</f>
        <v>0.50906685630000004</v>
      </c>
      <c r="AB386" t="str">
        <f>IF(AA386&gt;=Como_Avaliar!$B$15,"Alta",IF(AA386&gt;=Como_Avaliar!$B$16,"Média","Baixa"))</f>
        <v>Alta</v>
      </c>
    </row>
    <row r="387" spans="1:28" x14ac:dyDescent="0.25">
      <c r="A387" t="s">
        <v>691</v>
      </c>
      <c r="B387" t="s">
        <v>288</v>
      </c>
      <c r="C387" t="s">
        <v>88</v>
      </c>
      <c r="D387" t="s">
        <v>56</v>
      </c>
      <c r="E387" t="s">
        <v>94</v>
      </c>
      <c r="F387">
        <v>16</v>
      </c>
      <c r="G387">
        <v>10</v>
      </c>
      <c r="H387">
        <v>1</v>
      </c>
      <c r="I387" t="s">
        <v>61</v>
      </c>
      <c r="J387" t="s">
        <v>97</v>
      </c>
      <c r="K387" t="s">
        <v>98</v>
      </c>
      <c r="L387" t="s">
        <v>284</v>
      </c>
      <c r="M387">
        <v>0</v>
      </c>
      <c r="N387" t="str">
        <f t="shared" si="72"/>
        <v>3. 16+ anos</v>
      </c>
      <c r="O387" t="str">
        <f t="shared" si="73"/>
        <v>1. &lt; 20</v>
      </c>
      <c r="P387" t="str">
        <f t="shared" si="74"/>
        <v>1. 1 a 2</v>
      </c>
      <c r="Q387">
        <f t="shared" si="75"/>
        <v>1</v>
      </c>
      <c r="R387">
        <f t="shared" si="76"/>
        <v>0</v>
      </c>
      <c r="S387">
        <f t="shared" si="77"/>
        <v>1</v>
      </c>
      <c r="T387">
        <v>1</v>
      </c>
      <c r="U387" t="s">
        <v>139</v>
      </c>
      <c r="V387" s="18">
        <f t="shared" si="78"/>
        <v>6.8273092369477914E-2</v>
      </c>
      <c r="W387" s="18">
        <f t="shared" si="79"/>
        <v>8.6792452830188674E-2</v>
      </c>
      <c r="X387" s="18">
        <f t="shared" si="80"/>
        <v>0.10309278350515463</v>
      </c>
      <c r="Y387" s="18">
        <f t="shared" si="81"/>
        <v>0</v>
      </c>
      <c r="Z387" s="18">
        <f t="shared" si="82"/>
        <v>0.56634304207119746</v>
      </c>
      <c r="AA387" s="10">
        <f t="shared" si="83"/>
        <v>0.1649002742</v>
      </c>
      <c r="AB387" t="str">
        <f>IF(AA387&gt;=Como_Avaliar!$B$15,"Alta",IF(AA387&gt;=Como_Avaliar!$B$16,"Média","Baixa"))</f>
        <v>Baixa</v>
      </c>
    </row>
    <row r="388" spans="1:28" x14ac:dyDescent="0.25">
      <c r="A388" t="s">
        <v>692</v>
      </c>
      <c r="B388" t="s">
        <v>286</v>
      </c>
      <c r="C388" t="s">
        <v>88</v>
      </c>
      <c r="D388" t="s">
        <v>59</v>
      </c>
      <c r="E388" t="s">
        <v>94</v>
      </c>
      <c r="F388">
        <v>20</v>
      </c>
      <c r="G388">
        <v>47</v>
      </c>
      <c r="H388">
        <v>6</v>
      </c>
      <c r="I388" t="s">
        <v>68</v>
      </c>
      <c r="J388" t="s">
        <v>98</v>
      </c>
      <c r="K388" t="s">
        <v>97</v>
      </c>
      <c r="L388" t="s">
        <v>284</v>
      </c>
      <c r="M388">
        <v>1</v>
      </c>
      <c r="N388" t="str">
        <f t="shared" si="72"/>
        <v>3. 16+ anos</v>
      </c>
      <c r="O388" t="str">
        <f t="shared" si="73"/>
        <v>2. 20 a 49</v>
      </c>
      <c r="P388" t="str">
        <f t="shared" si="74"/>
        <v>3. 6 a 15</v>
      </c>
      <c r="Q388">
        <f t="shared" si="75"/>
        <v>0</v>
      </c>
      <c r="R388">
        <f t="shared" si="76"/>
        <v>0</v>
      </c>
      <c r="S388">
        <f t="shared" si="77"/>
        <v>0</v>
      </c>
      <c r="V388" s="18">
        <f t="shared" si="78"/>
        <v>0.43835616438356162</v>
      </c>
      <c r="W388" s="18">
        <f t="shared" si="79"/>
        <v>0.55319148936170215</v>
      </c>
      <c r="X388" s="18">
        <f t="shared" si="80"/>
        <v>0.25294117647058822</v>
      </c>
      <c r="Y388" s="18">
        <f t="shared" si="81"/>
        <v>0.58333333333333337</v>
      </c>
      <c r="Z388" s="18">
        <f t="shared" si="82"/>
        <v>0.56634304207119746</v>
      </c>
      <c r="AA388" s="10">
        <f t="shared" si="83"/>
        <v>0.47883304110000002</v>
      </c>
      <c r="AB388" t="str">
        <f>IF(AA388&gt;=Como_Avaliar!$B$15,"Alta",IF(AA388&gt;=Como_Avaliar!$B$16,"Média","Baixa"))</f>
        <v>Alta</v>
      </c>
    </row>
    <row r="389" spans="1:28" x14ac:dyDescent="0.25">
      <c r="A389" t="s">
        <v>693</v>
      </c>
      <c r="B389" t="s">
        <v>301</v>
      </c>
      <c r="C389" t="s">
        <v>88</v>
      </c>
      <c r="D389" t="s">
        <v>59</v>
      </c>
      <c r="E389" t="s">
        <v>91</v>
      </c>
      <c r="F389">
        <v>24</v>
      </c>
      <c r="G389">
        <v>41</v>
      </c>
      <c r="H389">
        <v>3</v>
      </c>
      <c r="I389" t="s">
        <v>65</v>
      </c>
      <c r="J389" t="s">
        <v>97</v>
      </c>
      <c r="K389" t="s">
        <v>97</v>
      </c>
      <c r="L389" t="s">
        <v>322</v>
      </c>
      <c r="M389">
        <v>1</v>
      </c>
      <c r="N389" t="str">
        <f t="shared" si="72"/>
        <v>3. 16+ anos</v>
      </c>
      <c r="O389" t="str">
        <f t="shared" si="73"/>
        <v>2. 20 a 49</v>
      </c>
      <c r="P389" t="str">
        <f t="shared" si="74"/>
        <v>2. 3 a 5</v>
      </c>
      <c r="Q389">
        <f t="shared" si="75"/>
        <v>0</v>
      </c>
      <c r="R389">
        <f t="shared" si="76"/>
        <v>0</v>
      </c>
      <c r="S389">
        <f t="shared" si="77"/>
        <v>0</v>
      </c>
      <c r="V389" s="18">
        <f t="shared" si="78"/>
        <v>0.43835616438356162</v>
      </c>
      <c r="W389" s="18">
        <f t="shared" si="79"/>
        <v>0.38095238095238093</v>
      </c>
      <c r="X389" s="18">
        <f t="shared" si="80"/>
        <v>0.25294117647058822</v>
      </c>
      <c r="Y389" s="18">
        <f t="shared" si="81"/>
        <v>0.39751552795031053</v>
      </c>
      <c r="Z389" s="18">
        <f t="shared" si="82"/>
        <v>0.56634304207119746</v>
      </c>
      <c r="AA389" s="10">
        <f t="shared" si="83"/>
        <v>0.40722165840000002</v>
      </c>
      <c r="AB389" t="str">
        <f>IF(AA389&gt;=Como_Avaliar!$B$15,"Alta",IF(AA389&gt;=Como_Avaliar!$B$16,"Média","Baixa"))</f>
        <v>Média</v>
      </c>
    </row>
    <row r="390" spans="1:28" x14ac:dyDescent="0.25">
      <c r="A390" t="s">
        <v>694</v>
      </c>
      <c r="B390" t="s">
        <v>321</v>
      </c>
      <c r="C390" t="s">
        <v>86</v>
      </c>
      <c r="D390" t="s">
        <v>59</v>
      </c>
      <c r="E390" t="s">
        <v>96</v>
      </c>
      <c r="F390">
        <v>8</v>
      </c>
      <c r="G390">
        <v>57</v>
      </c>
      <c r="H390">
        <v>7</v>
      </c>
      <c r="I390" t="s">
        <v>60</v>
      </c>
      <c r="J390" t="s">
        <v>97</v>
      </c>
      <c r="K390" t="s">
        <v>97</v>
      </c>
      <c r="L390" t="s">
        <v>284</v>
      </c>
      <c r="M390">
        <v>0</v>
      </c>
      <c r="N390" t="str">
        <f t="shared" si="72"/>
        <v>2. 8 a 15 anos</v>
      </c>
      <c r="O390" t="str">
        <f t="shared" si="73"/>
        <v>3. 50 a 149</v>
      </c>
      <c r="P390" t="str">
        <f t="shared" si="74"/>
        <v>3. 6 a 15</v>
      </c>
      <c r="Q390">
        <f t="shared" si="75"/>
        <v>0</v>
      </c>
      <c r="R390">
        <f t="shared" si="76"/>
        <v>1</v>
      </c>
      <c r="S390">
        <f t="shared" si="77"/>
        <v>1</v>
      </c>
      <c r="T390">
        <v>3</v>
      </c>
      <c r="U390" t="s">
        <v>138</v>
      </c>
      <c r="V390" s="18">
        <f t="shared" si="78"/>
        <v>0.43835616438356162</v>
      </c>
      <c r="W390" s="18">
        <f t="shared" si="79"/>
        <v>0.55319148936170215</v>
      </c>
      <c r="X390" s="18">
        <f t="shared" si="80"/>
        <v>0.58992805755395683</v>
      </c>
      <c r="Y390" s="18">
        <f t="shared" si="81"/>
        <v>0.65217391304347827</v>
      </c>
      <c r="Z390" s="18">
        <f t="shared" si="82"/>
        <v>0.22302158273381295</v>
      </c>
      <c r="AA390" s="10">
        <f t="shared" si="83"/>
        <v>0.49133424139999998</v>
      </c>
      <c r="AB390" t="str">
        <f>IF(AA390&gt;=Como_Avaliar!$B$15,"Alta",IF(AA390&gt;=Como_Avaliar!$B$16,"Média","Baixa"))</f>
        <v>Alta</v>
      </c>
    </row>
    <row r="391" spans="1:28" x14ac:dyDescent="0.25">
      <c r="A391" t="s">
        <v>695</v>
      </c>
      <c r="B391" t="s">
        <v>295</v>
      </c>
      <c r="C391" t="s">
        <v>84</v>
      </c>
      <c r="D391" t="s">
        <v>58</v>
      </c>
      <c r="E391" t="s">
        <v>91</v>
      </c>
      <c r="F391">
        <v>7</v>
      </c>
      <c r="G391">
        <v>225</v>
      </c>
      <c r="H391">
        <v>16</v>
      </c>
      <c r="I391" t="s">
        <v>66</v>
      </c>
      <c r="J391" t="s">
        <v>97</v>
      </c>
      <c r="K391" t="s">
        <v>97</v>
      </c>
      <c r="L391" t="s">
        <v>284</v>
      </c>
      <c r="M391">
        <v>1</v>
      </c>
      <c r="N391" t="str">
        <f t="shared" si="72"/>
        <v>1. &lt; 8 anos</v>
      </c>
      <c r="O391" t="str">
        <f t="shared" si="73"/>
        <v>4. 150+</v>
      </c>
      <c r="P391" t="str">
        <f t="shared" si="74"/>
        <v>4. 16+</v>
      </c>
      <c r="Q391">
        <f t="shared" si="75"/>
        <v>0</v>
      </c>
      <c r="R391">
        <f t="shared" si="76"/>
        <v>1</v>
      </c>
      <c r="S391">
        <f t="shared" si="77"/>
        <v>0</v>
      </c>
      <c r="V391" s="18">
        <f t="shared" si="78"/>
        <v>0.93975903614457834</v>
      </c>
      <c r="W391" s="18">
        <f t="shared" si="79"/>
        <v>0.97272727272727277</v>
      </c>
      <c r="X391" s="18">
        <f t="shared" si="80"/>
        <v>0.97938144329896903</v>
      </c>
      <c r="Y391" s="18">
        <f t="shared" si="81"/>
        <v>1</v>
      </c>
      <c r="Z391" s="18">
        <f t="shared" si="82"/>
        <v>0.22368421052631579</v>
      </c>
      <c r="AA391" s="10">
        <f t="shared" si="83"/>
        <v>0.82311039249999995</v>
      </c>
      <c r="AB391" t="str">
        <f>IF(AA391&gt;=Como_Avaliar!$B$15,"Alta",IF(AA391&gt;=Como_Avaliar!$B$16,"Média","Baixa"))</f>
        <v>Alta</v>
      </c>
    </row>
    <row r="392" spans="1:28" x14ac:dyDescent="0.25">
      <c r="A392" t="s">
        <v>696</v>
      </c>
      <c r="B392" t="s">
        <v>297</v>
      </c>
      <c r="C392" t="s">
        <v>86</v>
      </c>
      <c r="D392" t="s">
        <v>59</v>
      </c>
      <c r="E392" t="s">
        <v>94</v>
      </c>
      <c r="F392">
        <v>3</v>
      </c>
      <c r="G392">
        <v>25</v>
      </c>
      <c r="H392">
        <v>3</v>
      </c>
      <c r="I392" t="s">
        <v>65</v>
      </c>
      <c r="J392" t="s">
        <v>97</v>
      </c>
      <c r="K392" t="s">
        <v>97</v>
      </c>
      <c r="L392" t="s">
        <v>298</v>
      </c>
      <c r="M392">
        <v>0</v>
      </c>
      <c r="N392" t="str">
        <f t="shared" si="72"/>
        <v>1. &lt; 8 anos</v>
      </c>
      <c r="O392" t="str">
        <f t="shared" si="73"/>
        <v>2. 20 a 49</v>
      </c>
      <c r="P392" t="str">
        <f t="shared" si="74"/>
        <v>2. 3 a 5</v>
      </c>
      <c r="Q392">
        <f t="shared" si="75"/>
        <v>0</v>
      </c>
      <c r="R392">
        <f t="shared" si="76"/>
        <v>0</v>
      </c>
      <c r="S392">
        <f t="shared" si="77"/>
        <v>1</v>
      </c>
      <c r="T392">
        <v>3</v>
      </c>
      <c r="U392" t="s">
        <v>138</v>
      </c>
      <c r="V392" s="18">
        <f t="shared" si="78"/>
        <v>0.43835616438356162</v>
      </c>
      <c r="W392" s="18">
        <f t="shared" si="79"/>
        <v>0.38095238095238093</v>
      </c>
      <c r="X392" s="18">
        <f t="shared" si="80"/>
        <v>0.25294117647058822</v>
      </c>
      <c r="Y392" s="18">
        <f t="shared" si="81"/>
        <v>0.39751552795031053</v>
      </c>
      <c r="Z392" s="18">
        <f t="shared" si="82"/>
        <v>0.22368421052631579</v>
      </c>
      <c r="AA392" s="10">
        <f t="shared" si="83"/>
        <v>0.3386898921</v>
      </c>
      <c r="AB392" t="str">
        <f>IF(AA392&gt;=Como_Avaliar!$B$15,"Alta",IF(AA392&gt;=Como_Avaliar!$B$16,"Média","Baixa"))</f>
        <v>Média</v>
      </c>
    </row>
    <row r="393" spans="1:28" x14ac:dyDescent="0.25">
      <c r="A393" t="s">
        <v>697</v>
      </c>
      <c r="B393" t="s">
        <v>283</v>
      </c>
      <c r="C393" t="s">
        <v>89</v>
      </c>
      <c r="D393" t="s">
        <v>59</v>
      </c>
      <c r="E393" t="s">
        <v>92</v>
      </c>
      <c r="F393">
        <v>17</v>
      </c>
      <c r="G393">
        <v>72</v>
      </c>
      <c r="H393">
        <v>7</v>
      </c>
      <c r="I393" t="s">
        <v>65</v>
      </c>
      <c r="J393" t="s">
        <v>98</v>
      </c>
      <c r="K393" t="s">
        <v>97</v>
      </c>
      <c r="L393" t="s">
        <v>298</v>
      </c>
      <c r="M393">
        <v>1</v>
      </c>
      <c r="N393" t="str">
        <f t="shared" si="72"/>
        <v>3. 16+ anos</v>
      </c>
      <c r="O393" t="str">
        <f t="shared" si="73"/>
        <v>3. 50 a 149</v>
      </c>
      <c r="P393" t="str">
        <f t="shared" si="74"/>
        <v>3. 6 a 15</v>
      </c>
      <c r="Q393">
        <f t="shared" si="75"/>
        <v>0</v>
      </c>
      <c r="R393">
        <f t="shared" si="76"/>
        <v>1</v>
      </c>
      <c r="S393">
        <f t="shared" si="77"/>
        <v>0</v>
      </c>
      <c r="V393" s="18">
        <f t="shared" si="78"/>
        <v>0.43835616438356162</v>
      </c>
      <c r="W393" s="18">
        <f t="shared" si="79"/>
        <v>0.55319148936170215</v>
      </c>
      <c r="X393" s="18">
        <f t="shared" si="80"/>
        <v>0.58992805755395683</v>
      </c>
      <c r="Y393" s="18">
        <f t="shared" si="81"/>
        <v>0.39751552795031053</v>
      </c>
      <c r="Z393" s="18">
        <f t="shared" si="82"/>
        <v>0.56634304207119746</v>
      </c>
      <c r="AA393" s="10">
        <f t="shared" si="83"/>
        <v>0.50906685630000004</v>
      </c>
      <c r="AB393" t="str">
        <f>IF(AA393&gt;=Como_Avaliar!$B$15,"Alta",IF(AA393&gt;=Como_Avaliar!$B$16,"Média","Baixa"))</f>
        <v>Alta</v>
      </c>
    </row>
    <row r="394" spans="1:28" x14ac:dyDescent="0.25">
      <c r="A394" t="s">
        <v>698</v>
      </c>
      <c r="B394" t="s">
        <v>288</v>
      </c>
      <c r="C394" t="s">
        <v>88</v>
      </c>
      <c r="D394" t="s">
        <v>59</v>
      </c>
      <c r="E394" t="s">
        <v>90</v>
      </c>
      <c r="F394">
        <v>1</v>
      </c>
      <c r="G394">
        <v>62</v>
      </c>
      <c r="H394">
        <v>4</v>
      </c>
      <c r="I394" t="s">
        <v>62</v>
      </c>
      <c r="J394" t="s">
        <v>97</v>
      </c>
      <c r="K394" t="s">
        <v>98</v>
      </c>
      <c r="L394" t="s">
        <v>284</v>
      </c>
      <c r="M394">
        <v>0</v>
      </c>
      <c r="N394" t="str">
        <f t="shared" si="72"/>
        <v>1. &lt; 8 anos</v>
      </c>
      <c r="O394" t="str">
        <f t="shared" si="73"/>
        <v>3. 50 a 149</v>
      </c>
      <c r="P394" t="str">
        <f t="shared" si="74"/>
        <v>2. 3 a 5</v>
      </c>
      <c r="Q394">
        <f t="shared" si="75"/>
        <v>0</v>
      </c>
      <c r="R394">
        <f t="shared" si="76"/>
        <v>0</v>
      </c>
      <c r="S394">
        <f t="shared" si="77"/>
        <v>1</v>
      </c>
      <c r="T394">
        <v>3</v>
      </c>
      <c r="U394" t="s">
        <v>138</v>
      </c>
      <c r="V394" s="18">
        <f t="shared" si="78"/>
        <v>0.43835616438356162</v>
      </c>
      <c r="W394" s="18">
        <f t="shared" si="79"/>
        <v>0.38095238095238093</v>
      </c>
      <c r="X394" s="18">
        <f t="shared" si="80"/>
        <v>0.58992805755395683</v>
      </c>
      <c r="Y394" s="18">
        <f t="shared" si="81"/>
        <v>0.37662337662337664</v>
      </c>
      <c r="Z394" s="18">
        <f t="shared" si="82"/>
        <v>0.22368421052631579</v>
      </c>
      <c r="AA394" s="10">
        <f t="shared" si="83"/>
        <v>0.40190883799999999</v>
      </c>
      <c r="AB394" t="str">
        <f>IF(AA394&gt;=Como_Avaliar!$B$15,"Alta",IF(AA394&gt;=Como_Avaliar!$B$16,"Média","Baixa"))</f>
        <v>Média</v>
      </c>
    </row>
    <row r="395" spans="1:28" x14ac:dyDescent="0.25">
      <c r="A395" t="s">
        <v>699</v>
      </c>
      <c r="B395" t="s">
        <v>305</v>
      </c>
      <c r="C395" t="s">
        <v>89</v>
      </c>
      <c r="D395" t="s">
        <v>58</v>
      </c>
      <c r="E395" t="s">
        <v>91</v>
      </c>
      <c r="F395">
        <v>16</v>
      </c>
      <c r="G395">
        <v>83</v>
      </c>
      <c r="H395">
        <v>9</v>
      </c>
      <c r="I395" t="s">
        <v>65</v>
      </c>
      <c r="J395" t="s">
        <v>97</v>
      </c>
      <c r="K395" t="s">
        <v>97</v>
      </c>
      <c r="L395" t="s">
        <v>284</v>
      </c>
      <c r="M395">
        <v>1</v>
      </c>
      <c r="N395" t="str">
        <f t="shared" si="72"/>
        <v>3. 16+ anos</v>
      </c>
      <c r="O395" t="str">
        <f t="shared" si="73"/>
        <v>3. 50 a 149</v>
      </c>
      <c r="P395" t="str">
        <f t="shared" si="74"/>
        <v>3. 6 a 15</v>
      </c>
      <c r="Q395">
        <f t="shared" si="75"/>
        <v>0</v>
      </c>
      <c r="R395">
        <f t="shared" si="76"/>
        <v>1</v>
      </c>
      <c r="S395">
        <f t="shared" si="77"/>
        <v>0</v>
      </c>
      <c r="V395" s="18">
        <f t="shared" si="78"/>
        <v>0.93975903614457834</v>
      </c>
      <c r="W395" s="18">
        <f t="shared" si="79"/>
        <v>0.55319148936170215</v>
      </c>
      <c r="X395" s="18">
        <f t="shared" si="80"/>
        <v>0.58992805755395683</v>
      </c>
      <c r="Y395" s="18">
        <f t="shared" si="81"/>
        <v>0.39751552795031053</v>
      </c>
      <c r="Z395" s="18">
        <f t="shared" si="82"/>
        <v>0.56634304207119746</v>
      </c>
      <c r="AA395" s="10">
        <f t="shared" si="83"/>
        <v>0.60934743059999996</v>
      </c>
      <c r="AB395" t="str">
        <f>IF(AA395&gt;=Como_Avaliar!$B$15,"Alta",IF(AA395&gt;=Como_Avaliar!$B$16,"Média","Baixa"))</f>
        <v>Alta</v>
      </c>
    </row>
    <row r="396" spans="1:28" x14ac:dyDescent="0.25">
      <c r="A396" t="s">
        <v>700</v>
      </c>
      <c r="B396" t="s">
        <v>286</v>
      </c>
      <c r="C396" t="s">
        <v>88</v>
      </c>
      <c r="D396" t="s">
        <v>56</v>
      </c>
      <c r="E396" t="s">
        <v>92</v>
      </c>
      <c r="F396">
        <v>12</v>
      </c>
      <c r="G396">
        <v>20</v>
      </c>
      <c r="H396">
        <v>2</v>
      </c>
      <c r="I396" t="s">
        <v>61</v>
      </c>
      <c r="J396" t="s">
        <v>97</v>
      </c>
      <c r="K396" t="s">
        <v>98</v>
      </c>
      <c r="L396" t="s">
        <v>329</v>
      </c>
      <c r="M396">
        <v>0</v>
      </c>
      <c r="N396" t="str">
        <f t="shared" si="72"/>
        <v>2. 8 a 15 anos</v>
      </c>
      <c r="O396" t="str">
        <f t="shared" si="73"/>
        <v>2. 20 a 49</v>
      </c>
      <c r="P396" t="str">
        <f t="shared" si="74"/>
        <v>1. 1 a 2</v>
      </c>
      <c r="Q396">
        <f t="shared" si="75"/>
        <v>1</v>
      </c>
      <c r="R396">
        <f t="shared" si="76"/>
        <v>0</v>
      </c>
      <c r="S396">
        <f t="shared" si="77"/>
        <v>1</v>
      </c>
      <c r="T396">
        <v>2</v>
      </c>
      <c r="U396" t="s">
        <v>139</v>
      </c>
      <c r="V396" s="18">
        <f t="shared" si="78"/>
        <v>6.8273092369477914E-2</v>
      </c>
      <c r="W396" s="18">
        <f t="shared" si="79"/>
        <v>8.6792452830188674E-2</v>
      </c>
      <c r="X396" s="18">
        <f t="shared" si="80"/>
        <v>0.25294117647058822</v>
      </c>
      <c r="Y396" s="18">
        <f t="shared" si="81"/>
        <v>0</v>
      </c>
      <c r="Z396" s="18">
        <f t="shared" si="82"/>
        <v>0.22302158273381295</v>
      </c>
      <c r="AA396" s="10">
        <f t="shared" si="83"/>
        <v>0.12620566089999999</v>
      </c>
      <c r="AB396" t="str">
        <f>IF(AA396&gt;=Como_Avaliar!$B$15,"Alta",IF(AA396&gt;=Como_Avaliar!$B$16,"Média","Baixa"))</f>
        <v>Baixa</v>
      </c>
    </row>
    <row r="397" spans="1:28" x14ac:dyDescent="0.25">
      <c r="A397" t="s">
        <v>701</v>
      </c>
      <c r="B397" t="s">
        <v>288</v>
      </c>
      <c r="C397" t="s">
        <v>88</v>
      </c>
      <c r="D397" t="s">
        <v>59</v>
      </c>
      <c r="E397" t="s">
        <v>92</v>
      </c>
      <c r="F397">
        <v>27</v>
      </c>
      <c r="G397">
        <v>39</v>
      </c>
      <c r="H397">
        <v>6</v>
      </c>
      <c r="I397" t="s">
        <v>68</v>
      </c>
      <c r="J397" t="s">
        <v>97</v>
      </c>
      <c r="K397" t="s">
        <v>98</v>
      </c>
      <c r="L397" t="s">
        <v>289</v>
      </c>
      <c r="M397">
        <v>1</v>
      </c>
      <c r="N397" t="str">
        <f t="shared" si="72"/>
        <v>3. 16+ anos</v>
      </c>
      <c r="O397" t="str">
        <f t="shared" si="73"/>
        <v>2. 20 a 49</v>
      </c>
      <c r="P397" t="str">
        <f t="shared" si="74"/>
        <v>3. 6 a 15</v>
      </c>
      <c r="Q397">
        <f t="shared" si="75"/>
        <v>0</v>
      </c>
      <c r="R397">
        <f t="shared" si="76"/>
        <v>0</v>
      </c>
      <c r="S397">
        <f t="shared" si="77"/>
        <v>0</v>
      </c>
      <c r="V397" s="18">
        <f t="shared" si="78"/>
        <v>0.43835616438356162</v>
      </c>
      <c r="W397" s="18">
        <f t="shared" si="79"/>
        <v>0.55319148936170215</v>
      </c>
      <c r="X397" s="18">
        <f t="shared" si="80"/>
        <v>0.25294117647058822</v>
      </c>
      <c r="Y397" s="18">
        <f t="shared" si="81"/>
        <v>0.58333333333333337</v>
      </c>
      <c r="Z397" s="18">
        <f t="shared" si="82"/>
        <v>0.56634304207119746</v>
      </c>
      <c r="AA397" s="10">
        <f t="shared" si="83"/>
        <v>0.47883304110000002</v>
      </c>
      <c r="AB397" t="str">
        <f>IF(AA397&gt;=Como_Avaliar!$B$15,"Alta",IF(AA397&gt;=Como_Avaliar!$B$16,"Média","Baixa"))</f>
        <v>Alta</v>
      </c>
    </row>
    <row r="398" spans="1:28" x14ac:dyDescent="0.25">
      <c r="A398" t="s">
        <v>702</v>
      </c>
      <c r="B398" t="s">
        <v>301</v>
      </c>
      <c r="C398" t="s">
        <v>88</v>
      </c>
      <c r="D398" t="s">
        <v>59</v>
      </c>
      <c r="E398" t="s">
        <v>92</v>
      </c>
      <c r="F398">
        <v>19</v>
      </c>
      <c r="G398">
        <v>21</v>
      </c>
      <c r="H398">
        <v>5</v>
      </c>
      <c r="I398" t="s">
        <v>65</v>
      </c>
      <c r="J398" t="s">
        <v>97</v>
      </c>
      <c r="K398" t="s">
        <v>97</v>
      </c>
      <c r="L398" t="s">
        <v>322</v>
      </c>
      <c r="M398">
        <v>1</v>
      </c>
      <c r="N398" t="str">
        <f t="shared" si="72"/>
        <v>3. 16+ anos</v>
      </c>
      <c r="O398" t="str">
        <f t="shared" si="73"/>
        <v>2. 20 a 49</v>
      </c>
      <c r="P398" t="str">
        <f t="shared" si="74"/>
        <v>2. 3 a 5</v>
      </c>
      <c r="Q398">
        <f t="shared" si="75"/>
        <v>0</v>
      </c>
      <c r="R398">
        <f t="shared" si="76"/>
        <v>0</v>
      </c>
      <c r="S398">
        <f t="shared" si="77"/>
        <v>0</v>
      </c>
      <c r="V398" s="18">
        <f t="shared" si="78"/>
        <v>0.43835616438356162</v>
      </c>
      <c r="W398" s="18">
        <f t="shared" si="79"/>
        <v>0.38095238095238093</v>
      </c>
      <c r="X398" s="18">
        <f t="shared" si="80"/>
        <v>0.25294117647058822</v>
      </c>
      <c r="Y398" s="18">
        <f t="shared" si="81"/>
        <v>0.39751552795031053</v>
      </c>
      <c r="Z398" s="18">
        <f t="shared" si="82"/>
        <v>0.56634304207119746</v>
      </c>
      <c r="AA398" s="10">
        <f t="shared" si="83"/>
        <v>0.40722165840000002</v>
      </c>
      <c r="AB398" t="str">
        <f>IF(AA398&gt;=Como_Avaliar!$B$15,"Alta",IF(AA398&gt;=Como_Avaliar!$B$16,"Média","Baixa"))</f>
        <v>Média</v>
      </c>
    </row>
    <row r="399" spans="1:28" x14ac:dyDescent="0.25">
      <c r="A399" t="s">
        <v>703</v>
      </c>
      <c r="B399" t="s">
        <v>312</v>
      </c>
      <c r="C399" t="s">
        <v>89</v>
      </c>
      <c r="D399" t="s">
        <v>59</v>
      </c>
      <c r="E399" t="s">
        <v>95</v>
      </c>
      <c r="F399">
        <v>22</v>
      </c>
      <c r="G399">
        <v>49</v>
      </c>
      <c r="H399">
        <v>8</v>
      </c>
      <c r="I399" t="s">
        <v>60</v>
      </c>
      <c r="J399" t="s">
        <v>98</v>
      </c>
      <c r="K399" t="s">
        <v>97</v>
      </c>
      <c r="L399" t="s">
        <v>284</v>
      </c>
      <c r="M399">
        <v>1</v>
      </c>
      <c r="N399" t="str">
        <f t="shared" si="72"/>
        <v>3. 16+ anos</v>
      </c>
      <c r="O399" t="str">
        <f t="shared" si="73"/>
        <v>2. 20 a 49</v>
      </c>
      <c r="P399" t="str">
        <f t="shared" si="74"/>
        <v>3. 6 a 15</v>
      </c>
      <c r="Q399">
        <f t="shared" si="75"/>
        <v>0</v>
      </c>
      <c r="R399">
        <f t="shared" si="76"/>
        <v>0</v>
      </c>
      <c r="S399">
        <f t="shared" si="77"/>
        <v>0</v>
      </c>
      <c r="V399" s="18">
        <f t="shared" si="78"/>
        <v>0.43835616438356162</v>
      </c>
      <c r="W399" s="18">
        <f t="shared" si="79"/>
        <v>0.55319148936170215</v>
      </c>
      <c r="X399" s="18">
        <f t="shared" si="80"/>
        <v>0.25294117647058822</v>
      </c>
      <c r="Y399" s="18">
        <f t="shared" si="81"/>
        <v>0.65217391304347827</v>
      </c>
      <c r="Z399" s="18">
        <f t="shared" si="82"/>
        <v>0.56634304207119746</v>
      </c>
      <c r="AA399" s="10">
        <f t="shared" si="83"/>
        <v>0.49260115710000002</v>
      </c>
      <c r="AB399" t="str">
        <f>IF(AA399&gt;=Como_Avaliar!$B$15,"Alta",IF(AA399&gt;=Como_Avaliar!$B$16,"Média","Baixa"))</f>
        <v>Alta</v>
      </c>
    </row>
    <row r="400" spans="1:28" x14ac:dyDescent="0.25">
      <c r="A400" t="s">
        <v>704</v>
      </c>
      <c r="B400" t="s">
        <v>283</v>
      </c>
      <c r="C400" t="s">
        <v>89</v>
      </c>
      <c r="D400" t="s">
        <v>59</v>
      </c>
      <c r="E400" t="s">
        <v>95</v>
      </c>
      <c r="F400">
        <v>23</v>
      </c>
      <c r="G400">
        <v>63</v>
      </c>
      <c r="H400">
        <v>3</v>
      </c>
      <c r="I400" t="s">
        <v>68</v>
      </c>
      <c r="J400" t="s">
        <v>98</v>
      </c>
      <c r="K400" t="s">
        <v>98</v>
      </c>
      <c r="L400" t="s">
        <v>284</v>
      </c>
      <c r="M400">
        <v>1</v>
      </c>
      <c r="N400" t="str">
        <f t="shared" si="72"/>
        <v>3. 16+ anos</v>
      </c>
      <c r="O400" t="str">
        <f t="shared" si="73"/>
        <v>3. 50 a 149</v>
      </c>
      <c r="P400" t="str">
        <f t="shared" si="74"/>
        <v>2. 3 a 5</v>
      </c>
      <c r="Q400">
        <f t="shared" si="75"/>
        <v>0</v>
      </c>
      <c r="R400">
        <f t="shared" si="76"/>
        <v>0</v>
      </c>
      <c r="S400">
        <f t="shared" si="77"/>
        <v>0</v>
      </c>
      <c r="V400" s="18">
        <f t="shared" si="78"/>
        <v>0.43835616438356162</v>
      </c>
      <c r="W400" s="18">
        <f t="shared" si="79"/>
        <v>0.38095238095238093</v>
      </c>
      <c r="X400" s="18">
        <f t="shared" si="80"/>
        <v>0.58992805755395683</v>
      </c>
      <c r="Y400" s="18">
        <f t="shared" si="81"/>
        <v>0.58333333333333337</v>
      </c>
      <c r="Z400" s="18">
        <f t="shared" si="82"/>
        <v>0.56634304207119746</v>
      </c>
      <c r="AA400" s="10">
        <f t="shared" si="83"/>
        <v>0.51178259569999995</v>
      </c>
      <c r="AB400" t="str">
        <f>IF(AA400&gt;=Como_Avaliar!$B$15,"Alta",IF(AA400&gt;=Como_Avaliar!$B$16,"Média","Baixa"))</f>
        <v>Alta</v>
      </c>
    </row>
    <row r="401" spans="1:28" x14ac:dyDescent="0.25">
      <c r="A401" t="s">
        <v>705</v>
      </c>
      <c r="B401" t="s">
        <v>381</v>
      </c>
      <c r="C401" t="s">
        <v>88</v>
      </c>
      <c r="D401" t="s">
        <v>56</v>
      </c>
      <c r="E401" t="s">
        <v>95</v>
      </c>
      <c r="F401">
        <v>22</v>
      </c>
      <c r="G401">
        <v>24</v>
      </c>
      <c r="H401">
        <v>1</v>
      </c>
      <c r="I401" t="s">
        <v>64</v>
      </c>
      <c r="J401" t="s">
        <v>97</v>
      </c>
      <c r="K401" t="s">
        <v>97</v>
      </c>
      <c r="L401" t="s">
        <v>289</v>
      </c>
      <c r="M401">
        <v>0</v>
      </c>
      <c r="N401" t="str">
        <f t="shared" si="72"/>
        <v>3. 16+ anos</v>
      </c>
      <c r="O401" t="str">
        <f t="shared" si="73"/>
        <v>2. 20 a 49</v>
      </c>
      <c r="P401" t="str">
        <f t="shared" si="74"/>
        <v>1. 1 a 2</v>
      </c>
      <c r="Q401">
        <f t="shared" si="75"/>
        <v>1</v>
      </c>
      <c r="R401">
        <f t="shared" si="76"/>
        <v>0</v>
      </c>
      <c r="S401">
        <f t="shared" si="77"/>
        <v>1</v>
      </c>
      <c r="T401">
        <v>2</v>
      </c>
      <c r="U401" t="s">
        <v>139</v>
      </c>
      <c r="V401" s="18">
        <f t="shared" si="78"/>
        <v>6.8273092369477914E-2</v>
      </c>
      <c r="W401" s="18">
        <f t="shared" si="79"/>
        <v>8.6792452830188674E-2</v>
      </c>
      <c r="X401" s="18">
        <f t="shared" si="80"/>
        <v>0.25294117647058822</v>
      </c>
      <c r="Y401" s="18">
        <f t="shared" si="81"/>
        <v>0.15625</v>
      </c>
      <c r="Z401" s="18">
        <f t="shared" si="82"/>
        <v>0.56634304207119746</v>
      </c>
      <c r="AA401" s="10">
        <f t="shared" si="83"/>
        <v>0.22611995269999999</v>
      </c>
      <c r="AB401" t="str">
        <f>IF(AA401&gt;=Como_Avaliar!$B$15,"Alta",IF(AA401&gt;=Como_Avaliar!$B$16,"Média","Baixa"))</f>
        <v>Baixa</v>
      </c>
    </row>
    <row r="402" spans="1:28" x14ac:dyDescent="0.25">
      <c r="A402" t="s">
        <v>706</v>
      </c>
      <c r="B402" t="s">
        <v>381</v>
      </c>
      <c r="C402" t="s">
        <v>88</v>
      </c>
      <c r="D402" t="s">
        <v>56</v>
      </c>
      <c r="E402" t="s">
        <v>95</v>
      </c>
      <c r="F402">
        <v>14</v>
      </c>
      <c r="G402">
        <v>22</v>
      </c>
      <c r="H402">
        <v>1</v>
      </c>
      <c r="I402" t="s">
        <v>62</v>
      </c>
      <c r="J402" t="s">
        <v>97</v>
      </c>
      <c r="K402" t="s">
        <v>98</v>
      </c>
      <c r="L402" t="s">
        <v>289</v>
      </c>
      <c r="M402">
        <v>0</v>
      </c>
      <c r="N402" t="str">
        <f t="shared" si="72"/>
        <v>2. 8 a 15 anos</v>
      </c>
      <c r="O402" t="str">
        <f t="shared" si="73"/>
        <v>2. 20 a 49</v>
      </c>
      <c r="P402" t="str">
        <f t="shared" si="74"/>
        <v>1. 1 a 2</v>
      </c>
      <c r="Q402">
        <f t="shared" si="75"/>
        <v>0</v>
      </c>
      <c r="R402">
        <f t="shared" si="76"/>
        <v>0</v>
      </c>
      <c r="S402">
        <f t="shared" si="77"/>
        <v>1</v>
      </c>
      <c r="T402">
        <v>2</v>
      </c>
      <c r="U402" t="s">
        <v>139</v>
      </c>
      <c r="V402" s="18">
        <f t="shared" si="78"/>
        <v>6.8273092369477914E-2</v>
      </c>
      <c r="W402" s="18">
        <f t="shared" si="79"/>
        <v>8.6792452830188674E-2</v>
      </c>
      <c r="X402" s="18">
        <f t="shared" si="80"/>
        <v>0.25294117647058822</v>
      </c>
      <c r="Y402" s="18">
        <f t="shared" si="81"/>
        <v>0.37662337662337664</v>
      </c>
      <c r="Z402" s="18">
        <f t="shared" si="82"/>
        <v>0.22302158273381295</v>
      </c>
      <c r="AA402" s="10">
        <f t="shared" si="83"/>
        <v>0.20153033619999999</v>
      </c>
      <c r="AB402" t="str">
        <f>IF(AA402&gt;=Como_Avaliar!$B$15,"Alta",IF(AA402&gt;=Como_Avaliar!$B$16,"Média","Baixa"))</f>
        <v>Baixa</v>
      </c>
    </row>
    <row r="403" spans="1:28" x14ac:dyDescent="0.25">
      <c r="A403" t="s">
        <v>707</v>
      </c>
      <c r="B403" t="s">
        <v>286</v>
      </c>
      <c r="C403" t="s">
        <v>88</v>
      </c>
      <c r="D403" t="s">
        <v>58</v>
      </c>
      <c r="E403" t="s">
        <v>90</v>
      </c>
      <c r="F403">
        <v>6</v>
      </c>
      <c r="G403">
        <v>214</v>
      </c>
      <c r="H403">
        <v>14</v>
      </c>
      <c r="I403" t="s">
        <v>62</v>
      </c>
      <c r="J403" t="s">
        <v>97</v>
      </c>
      <c r="K403" t="s">
        <v>98</v>
      </c>
      <c r="L403" t="s">
        <v>284</v>
      </c>
      <c r="M403">
        <v>1</v>
      </c>
      <c r="N403" t="str">
        <f t="shared" si="72"/>
        <v>1. &lt; 8 anos</v>
      </c>
      <c r="O403" t="str">
        <f t="shared" si="73"/>
        <v>4. 150+</v>
      </c>
      <c r="P403" t="str">
        <f t="shared" si="74"/>
        <v>3. 6 a 15</v>
      </c>
      <c r="Q403">
        <f t="shared" si="75"/>
        <v>0</v>
      </c>
      <c r="R403">
        <f t="shared" si="76"/>
        <v>1</v>
      </c>
      <c r="S403">
        <f t="shared" si="77"/>
        <v>0</v>
      </c>
      <c r="V403" s="18">
        <f t="shared" si="78"/>
        <v>0.93975903614457834</v>
      </c>
      <c r="W403" s="18">
        <f t="shared" si="79"/>
        <v>0.55319148936170215</v>
      </c>
      <c r="X403" s="18">
        <f t="shared" si="80"/>
        <v>0.97938144329896903</v>
      </c>
      <c r="Y403" s="18">
        <f t="shared" si="81"/>
        <v>0.37662337662337664</v>
      </c>
      <c r="Z403" s="18">
        <f t="shared" si="82"/>
        <v>0.22368421052631579</v>
      </c>
      <c r="AA403" s="10">
        <f t="shared" si="83"/>
        <v>0.61452791120000005</v>
      </c>
      <c r="AB403" t="str">
        <f>IF(AA403&gt;=Como_Avaliar!$B$15,"Alta",IF(AA403&gt;=Como_Avaliar!$B$16,"Média","Baixa"))</f>
        <v>Alta</v>
      </c>
    </row>
    <row r="404" spans="1:28" x14ac:dyDescent="0.25">
      <c r="A404" t="s">
        <v>708</v>
      </c>
      <c r="B404" t="s">
        <v>381</v>
      </c>
      <c r="C404" t="s">
        <v>88</v>
      </c>
      <c r="D404" t="s">
        <v>59</v>
      </c>
      <c r="E404" t="s">
        <v>93</v>
      </c>
      <c r="F404">
        <v>6</v>
      </c>
      <c r="G404">
        <v>20</v>
      </c>
      <c r="H404">
        <v>9</v>
      </c>
      <c r="I404" t="s">
        <v>68</v>
      </c>
      <c r="J404" t="s">
        <v>98</v>
      </c>
      <c r="K404" t="s">
        <v>97</v>
      </c>
      <c r="L404" t="s">
        <v>284</v>
      </c>
      <c r="M404">
        <v>0</v>
      </c>
      <c r="N404" t="str">
        <f t="shared" si="72"/>
        <v>1. &lt; 8 anos</v>
      </c>
      <c r="O404" t="str">
        <f t="shared" si="73"/>
        <v>2. 20 a 49</v>
      </c>
      <c r="P404" t="str">
        <f t="shared" si="74"/>
        <v>3. 6 a 15</v>
      </c>
      <c r="Q404">
        <f t="shared" si="75"/>
        <v>0</v>
      </c>
      <c r="R404">
        <f t="shared" si="76"/>
        <v>0</v>
      </c>
      <c r="S404">
        <f t="shared" si="77"/>
        <v>1</v>
      </c>
      <c r="T404">
        <v>2</v>
      </c>
      <c r="U404" t="s">
        <v>139</v>
      </c>
      <c r="V404" s="18">
        <f t="shared" si="78"/>
        <v>0.43835616438356162</v>
      </c>
      <c r="W404" s="18">
        <f t="shared" si="79"/>
        <v>0.55319148936170215</v>
      </c>
      <c r="X404" s="18">
        <f t="shared" si="80"/>
        <v>0.25294117647058822</v>
      </c>
      <c r="Y404" s="18">
        <f t="shared" si="81"/>
        <v>0.58333333333333337</v>
      </c>
      <c r="Z404" s="18">
        <f t="shared" si="82"/>
        <v>0.22368421052631579</v>
      </c>
      <c r="AA404" s="10">
        <f t="shared" si="83"/>
        <v>0.4103012748</v>
      </c>
      <c r="AB404" t="str">
        <f>IF(AA404&gt;=Como_Avaliar!$B$15,"Alta",IF(AA404&gt;=Como_Avaliar!$B$16,"Média","Baixa"))</f>
        <v>Média</v>
      </c>
    </row>
    <row r="405" spans="1:28" x14ac:dyDescent="0.25">
      <c r="A405" t="s">
        <v>709</v>
      </c>
      <c r="B405" t="s">
        <v>297</v>
      </c>
      <c r="C405" t="s">
        <v>86</v>
      </c>
      <c r="D405" t="s">
        <v>59</v>
      </c>
      <c r="E405" t="s">
        <v>94</v>
      </c>
      <c r="F405">
        <v>13</v>
      </c>
      <c r="G405">
        <v>24</v>
      </c>
      <c r="H405">
        <v>3</v>
      </c>
      <c r="I405" t="s">
        <v>62</v>
      </c>
      <c r="J405" t="s">
        <v>97</v>
      </c>
      <c r="K405" t="s">
        <v>98</v>
      </c>
      <c r="L405" t="s">
        <v>298</v>
      </c>
      <c r="M405">
        <v>0</v>
      </c>
      <c r="N405" t="str">
        <f t="shared" si="72"/>
        <v>2. 8 a 15 anos</v>
      </c>
      <c r="O405" t="str">
        <f t="shared" si="73"/>
        <v>2. 20 a 49</v>
      </c>
      <c r="P405" t="str">
        <f t="shared" si="74"/>
        <v>2. 3 a 5</v>
      </c>
      <c r="Q405">
        <f t="shared" si="75"/>
        <v>0</v>
      </c>
      <c r="R405">
        <f t="shared" si="76"/>
        <v>0</v>
      </c>
      <c r="S405">
        <f t="shared" si="77"/>
        <v>1</v>
      </c>
      <c r="T405">
        <v>2</v>
      </c>
      <c r="U405" t="s">
        <v>139</v>
      </c>
      <c r="V405" s="18">
        <f t="shared" si="78"/>
        <v>0.43835616438356162</v>
      </c>
      <c r="W405" s="18">
        <f t="shared" si="79"/>
        <v>0.38095238095238093</v>
      </c>
      <c r="X405" s="18">
        <f t="shared" si="80"/>
        <v>0.25294117647058822</v>
      </c>
      <c r="Y405" s="18">
        <f t="shared" si="81"/>
        <v>0.37662337662337664</v>
      </c>
      <c r="Z405" s="18">
        <f t="shared" si="82"/>
        <v>0.22302158273381295</v>
      </c>
      <c r="AA405" s="10">
        <f t="shared" si="83"/>
        <v>0.33437893619999998</v>
      </c>
      <c r="AB405" t="str">
        <f>IF(AA405&gt;=Como_Avaliar!$B$15,"Alta",IF(AA405&gt;=Como_Avaliar!$B$16,"Média","Baixa"))</f>
        <v>Média</v>
      </c>
    </row>
    <row r="406" spans="1:28" x14ac:dyDescent="0.25">
      <c r="A406" t="s">
        <v>710</v>
      </c>
      <c r="B406" t="s">
        <v>314</v>
      </c>
      <c r="C406" t="s">
        <v>84</v>
      </c>
      <c r="D406" t="s">
        <v>56</v>
      </c>
      <c r="E406" t="s">
        <v>92</v>
      </c>
      <c r="F406">
        <v>19</v>
      </c>
      <c r="G406">
        <v>9</v>
      </c>
      <c r="H406">
        <v>1</v>
      </c>
      <c r="I406" t="s">
        <v>62</v>
      </c>
      <c r="J406" t="s">
        <v>97</v>
      </c>
      <c r="K406" t="s">
        <v>97</v>
      </c>
      <c r="L406" t="s">
        <v>298</v>
      </c>
      <c r="M406">
        <v>0</v>
      </c>
      <c r="N406" t="str">
        <f t="shared" si="72"/>
        <v>3. 16+ anos</v>
      </c>
      <c r="O406" t="str">
        <f t="shared" si="73"/>
        <v>1. &lt; 20</v>
      </c>
      <c r="P406" t="str">
        <f t="shared" si="74"/>
        <v>1. 1 a 2</v>
      </c>
      <c r="Q406">
        <f t="shared" si="75"/>
        <v>0</v>
      </c>
      <c r="R406">
        <f t="shared" si="76"/>
        <v>0</v>
      </c>
      <c r="S406">
        <f t="shared" si="77"/>
        <v>1</v>
      </c>
      <c r="T406">
        <v>1</v>
      </c>
      <c r="U406" t="s">
        <v>139</v>
      </c>
      <c r="V406" s="18">
        <f t="shared" si="78"/>
        <v>6.8273092369477914E-2</v>
      </c>
      <c r="W406" s="18">
        <f t="shared" si="79"/>
        <v>8.6792452830188674E-2</v>
      </c>
      <c r="X406" s="18">
        <f t="shared" si="80"/>
        <v>0.10309278350515463</v>
      </c>
      <c r="Y406" s="18">
        <f t="shared" si="81"/>
        <v>0.37662337662337664</v>
      </c>
      <c r="Z406" s="18">
        <f t="shared" si="82"/>
        <v>0.56634304207119746</v>
      </c>
      <c r="AA406" s="10">
        <f t="shared" si="83"/>
        <v>0.24022494950000001</v>
      </c>
      <c r="AB406" t="str">
        <f>IF(AA406&gt;=Como_Avaliar!$B$15,"Alta",IF(AA406&gt;=Como_Avaliar!$B$16,"Média","Baixa"))</f>
        <v>Média</v>
      </c>
    </row>
    <row r="407" spans="1:28" x14ac:dyDescent="0.25">
      <c r="A407" t="s">
        <v>711</v>
      </c>
      <c r="B407" t="s">
        <v>286</v>
      </c>
      <c r="C407" t="s">
        <v>88</v>
      </c>
      <c r="D407" t="s">
        <v>56</v>
      </c>
      <c r="E407" t="s">
        <v>90</v>
      </c>
      <c r="F407">
        <v>22</v>
      </c>
      <c r="G407">
        <v>21</v>
      </c>
      <c r="H407">
        <v>1</v>
      </c>
      <c r="I407" t="s">
        <v>63</v>
      </c>
      <c r="J407" t="s">
        <v>98</v>
      </c>
      <c r="K407" t="s">
        <v>97</v>
      </c>
      <c r="L407" t="s">
        <v>289</v>
      </c>
      <c r="M407">
        <v>0</v>
      </c>
      <c r="N407" t="str">
        <f t="shared" si="72"/>
        <v>3. 16+ anos</v>
      </c>
      <c r="O407" t="str">
        <f t="shared" si="73"/>
        <v>2. 20 a 49</v>
      </c>
      <c r="P407" t="str">
        <f t="shared" si="74"/>
        <v>1. 1 a 2</v>
      </c>
      <c r="Q407">
        <f t="shared" si="75"/>
        <v>1</v>
      </c>
      <c r="R407">
        <f t="shared" si="76"/>
        <v>0</v>
      </c>
      <c r="S407">
        <f t="shared" si="77"/>
        <v>1</v>
      </c>
      <c r="T407">
        <v>2</v>
      </c>
      <c r="U407" t="s">
        <v>139</v>
      </c>
      <c r="V407" s="18">
        <f t="shared" si="78"/>
        <v>6.8273092369477914E-2</v>
      </c>
      <c r="W407" s="18">
        <f t="shared" si="79"/>
        <v>8.6792452830188674E-2</v>
      </c>
      <c r="X407" s="18">
        <f t="shared" si="80"/>
        <v>0.25294117647058822</v>
      </c>
      <c r="Y407" s="18">
        <f t="shared" si="81"/>
        <v>6.5217391304347824E-2</v>
      </c>
      <c r="Z407" s="18">
        <f t="shared" si="82"/>
        <v>0.56634304207119746</v>
      </c>
      <c r="AA407" s="10">
        <f t="shared" si="83"/>
        <v>0.20791343100000001</v>
      </c>
      <c r="AB407" t="str">
        <f>IF(AA407&gt;=Como_Avaliar!$B$15,"Alta",IF(AA407&gt;=Como_Avaliar!$B$16,"Média","Baixa"))</f>
        <v>Baixa</v>
      </c>
    </row>
    <row r="408" spans="1:28" x14ac:dyDescent="0.25">
      <c r="A408" t="s">
        <v>712</v>
      </c>
      <c r="B408" t="s">
        <v>286</v>
      </c>
      <c r="C408" t="s">
        <v>88</v>
      </c>
      <c r="D408" t="s">
        <v>59</v>
      </c>
      <c r="E408" t="s">
        <v>91</v>
      </c>
      <c r="F408">
        <v>8</v>
      </c>
      <c r="G408">
        <v>42</v>
      </c>
      <c r="H408">
        <v>10</v>
      </c>
      <c r="I408" t="s">
        <v>65</v>
      </c>
      <c r="J408" t="s">
        <v>98</v>
      </c>
      <c r="K408" t="s">
        <v>98</v>
      </c>
      <c r="L408" t="s">
        <v>293</v>
      </c>
      <c r="M408">
        <v>0</v>
      </c>
      <c r="N408" t="str">
        <f t="shared" si="72"/>
        <v>2. 8 a 15 anos</v>
      </c>
      <c r="O408" t="str">
        <f t="shared" si="73"/>
        <v>2. 20 a 49</v>
      </c>
      <c r="P408" t="str">
        <f t="shared" si="74"/>
        <v>3. 6 a 15</v>
      </c>
      <c r="Q408">
        <f t="shared" si="75"/>
        <v>0</v>
      </c>
      <c r="R408">
        <f t="shared" si="76"/>
        <v>0</v>
      </c>
      <c r="S408">
        <f t="shared" si="77"/>
        <v>1</v>
      </c>
      <c r="T408">
        <v>3</v>
      </c>
      <c r="U408" t="s">
        <v>138</v>
      </c>
      <c r="V408" s="18">
        <f t="shared" si="78"/>
        <v>0.43835616438356162</v>
      </c>
      <c r="W408" s="18">
        <f t="shared" si="79"/>
        <v>0.55319148936170215</v>
      </c>
      <c r="X408" s="18">
        <f t="shared" si="80"/>
        <v>0.25294117647058822</v>
      </c>
      <c r="Y408" s="18">
        <f t="shared" si="81"/>
        <v>0.39751552795031053</v>
      </c>
      <c r="Z408" s="18">
        <f t="shared" si="82"/>
        <v>0.22302158273381295</v>
      </c>
      <c r="AA408" s="10">
        <f t="shared" si="83"/>
        <v>0.3730051882</v>
      </c>
      <c r="AB408" t="str">
        <f>IF(AA408&gt;=Como_Avaliar!$B$15,"Alta",IF(AA408&gt;=Como_Avaliar!$B$16,"Média","Baixa"))</f>
        <v>Média</v>
      </c>
    </row>
    <row r="409" spans="1:28" x14ac:dyDescent="0.25">
      <c r="A409" t="s">
        <v>713</v>
      </c>
      <c r="B409" t="s">
        <v>305</v>
      </c>
      <c r="C409" t="s">
        <v>89</v>
      </c>
      <c r="D409" t="s">
        <v>56</v>
      </c>
      <c r="E409" t="s">
        <v>90</v>
      </c>
      <c r="F409">
        <v>27</v>
      </c>
      <c r="G409">
        <v>18</v>
      </c>
      <c r="H409">
        <v>2</v>
      </c>
      <c r="I409" t="s">
        <v>65</v>
      </c>
      <c r="J409" t="s">
        <v>97</v>
      </c>
      <c r="K409" t="s">
        <v>97</v>
      </c>
      <c r="L409" t="s">
        <v>284</v>
      </c>
      <c r="M409">
        <v>0</v>
      </c>
      <c r="N409" t="str">
        <f t="shared" si="72"/>
        <v>3. 16+ anos</v>
      </c>
      <c r="O409" t="str">
        <f t="shared" si="73"/>
        <v>1. &lt; 20</v>
      </c>
      <c r="P409" t="str">
        <f t="shared" si="74"/>
        <v>1. 1 a 2</v>
      </c>
      <c r="Q409">
        <f t="shared" si="75"/>
        <v>0</v>
      </c>
      <c r="R409">
        <f t="shared" si="76"/>
        <v>0</v>
      </c>
      <c r="S409">
        <f t="shared" si="77"/>
        <v>1</v>
      </c>
      <c r="T409">
        <v>2</v>
      </c>
      <c r="U409" t="s">
        <v>139</v>
      </c>
      <c r="V409" s="18">
        <f t="shared" si="78"/>
        <v>6.8273092369477914E-2</v>
      </c>
      <c r="W409" s="18">
        <f t="shared" si="79"/>
        <v>8.6792452830188674E-2</v>
      </c>
      <c r="X409" s="18">
        <f t="shared" si="80"/>
        <v>0.10309278350515463</v>
      </c>
      <c r="Y409" s="18">
        <f t="shared" si="81"/>
        <v>0.39751552795031053</v>
      </c>
      <c r="Z409" s="18">
        <f t="shared" si="82"/>
        <v>0.56634304207119746</v>
      </c>
      <c r="AA409" s="10">
        <f t="shared" si="83"/>
        <v>0.24440337970000001</v>
      </c>
      <c r="AB409" t="str">
        <f>IF(AA409&gt;=Como_Avaliar!$B$15,"Alta",IF(AA409&gt;=Como_Avaliar!$B$16,"Média","Baixa"))</f>
        <v>Média</v>
      </c>
    </row>
    <row r="410" spans="1:28" x14ac:dyDescent="0.25">
      <c r="A410" t="s">
        <v>714</v>
      </c>
      <c r="B410" t="s">
        <v>283</v>
      </c>
      <c r="C410" t="s">
        <v>89</v>
      </c>
      <c r="D410" t="s">
        <v>57</v>
      </c>
      <c r="E410" t="s">
        <v>96</v>
      </c>
      <c r="F410">
        <v>27</v>
      </c>
      <c r="G410">
        <v>413</v>
      </c>
      <c r="H410">
        <v>26</v>
      </c>
      <c r="I410" t="s">
        <v>65</v>
      </c>
      <c r="J410" t="s">
        <v>97</v>
      </c>
      <c r="K410" t="s">
        <v>97</v>
      </c>
      <c r="L410" t="s">
        <v>284</v>
      </c>
      <c r="M410">
        <v>1</v>
      </c>
      <c r="N410" t="str">
        <f t="shared" si="72"/>
        <v>3. 16+ anos</v>
      </c>
      <c r="O410" t="str">
        <f t="shared" si="73"/>
        <v>4. 150+</v>
      </c>
      <c r="P410" t="str">
        <f t="shared" si="74"/>
        <v>4. 16+</v>
      </c>
      <c r="Q410">
        <f t="shared" si="75"/>
        <v>0</v>
      </c>
      <c r="R410">
        <f t="shared" si="76"/>
        <v>1</v>
      </c>
      <c r="S410">
        <f t="shared" si="77"/>
        <v>0</v>
      </c>
      <c r="V410" s="18">
        <f t="shared" si="78"/>
        <v>1</v>
      </c>
      <c r="W410" s="18">
        <f t="shared" si="79"/>
        <v>0.97272727272727277</v>
      </c>
      <c r="X410" s="18">
        <f t="shared" si="80"/>
        <v>0.97938144329896903</v>
      </c>
      <c r="Y410" s="18">
        <f t="shared" si="81"/>
        <v>0.39751552795031053</v>
      </c>
      <c r="Z410" s="18">
        <f t="shared" si="82"/>
        <v>0.56634304207119746</v>
      </c>
      <c r="AA410" s="10">
        <f t="shared" si="83"/>
        <v>0.7831934572</v>
      </c>
      <c r="AB410" t="str">
        <f>IF(AA410&gt;=Como_Avaliar!$B$15,"Alta",IF(AA410&gt;=Como_Avaliar!$B$16,"Média","Baixa"))</f>
        <v>Alta</v>
      </c>
    </row>
    <row r="411" spans="1:28" x14ac:dyDescent="0.25">
      <c r="A411" t="s">
        <v>715</v>
      </c>
      <c r="B411" t="s">
        <v>288</v>
      </c>
      <c r="C411" t="s">
        <v>88</v>
      </c>
      <c r="D411" t="s">
        <v>56</v>
      </c>
      <c r="E411" t="s">
        <v>95</v>
      </c>
      <c r="F411">
        <v>2</v>
      </c>
      <c r="G411">
        <v>13</v>
      </c>
      <c r="H411">
        <v>1</v>
      </c>
      <c r="I411" t="s">
        <v>64</v>
      </c>
      <c r="J411" t="s">
        <v>98</v>
      </c>
      <c r="K411" t="s">
        <v>97</v>
      </c>
      <c r="L411" t="s">
        <v>284</v>
      </c>
      <c r="M411">
        <v>0</v>
      </c>
      <c r="N411" t="str">
        <f t="shared" si="72"/>
        <v>1. &lt; 8 anos</v>
      </c>
      <c r="O411" t="str">
        <f t="shared" si="73"/>
        <v>1. &lt; 20</v>
      </c>
      <c r="P411" t="str">
        <f t="shared" si="74"/>
        <v>1. 1 a 2</v>
      </c>
      <c r="Q411">
        <f t="shared" si="75"/>
        <v>1</v>
      </c>
      <c r="R411">
        <f t="shared" si="76"/>
        <v>0</v>
      </c>
      <c r="S411">
        <f t="shared" si="77"/>
        <v>1</v>
      </c>
      <c r="T411">
        <v>1</v>
      </c>
      <c r="U411" t="s">
        <v>139</v>
      </c>
      <c r="V411" s="18">
        <f t="shared" si="78"/>
        <v>6.8273092369477914E-2</v>
      </c>
      <c r="W411" s="18">
        <f t="shared" si="79"/>
        <v>8.6792452830188674E-2</v>
      </c>
      <c r="X411" s="18">
        <f t="shared" si="80"/>
        <v>0.10309278350515463</v>
      </c>
      <c r="Y411" s="18">
        <f t="shared" si="81"/>
        <v>0.15625</v>
      </c>
      <c r="Z411" s="18">
        <f t="shared" si="82"/>
        <v>0.22368421052631579</v>
      </c>
      <c r="AA411" s="10">
        <f t="shared" si="83"/>
        <v>0.1276185078</v>
      </c>
      <c r="AB411" t="str">
        <f>IF(AA411&gt;=Como_Avaliar!$B$15,"Alta",IF(AA411&gt;=Como_Avaliar!$B$16,"Média","Baixa"))</f>
        <v>Baixa</v>
      </c>
    </row>
    <row r="412" spans="1:28" x14ac:dyDescent="0.25">
      <c r="A412" t="s">
        <v>716</v>
      </c>
      <c r="B412" t="s">
        <v>327</v>
      </c>
      <c r="C412" t="s">
        <v>86</v>
      </c>
      <c r="D412" t="s">
        <v>56</v>
      </c>
      <c r="E412" t="s">
        <v>90</v>
      </c>
      <c r="F412">
        <v>21</v>
      </c>
      <c r="G412">
        <v>12</v>
      </c>
      <c r="H412">
        <v>2</v>
      </c>
      <c r="I412" t="s">
        <v>63</v>
      </c>
      <c r="J412" t="s">
        <v>98</v>
      </c>
      <c r="K412" t="s">
        <v>98</v>
      </c>
      <c r="L412" t="s">
        <v>284</v>
      </c>
      <c r="M412">
        <v>0</v>
      </c>
      <c r="N412" t="str">
        <f t="shared" si="72"/>
        <v>3. 16+ anos</v>
      </c>
      <c r="O412" t="str">
        <f t="shared" si="73"/>
        <v>1. &lt; 20</v>
      </c>
      <c r="P412" t="str">
        <f t="shared" si="74"/>
        <v>1. 1 a 2</v>
      </c>
      <c r="Q412">
        <f t="shared" si="75"/>
        <v>1</v>
      </c>
      <c r="R412">
        <f t="shared" si="76"/>
        <v>0</v>
      </c>
      <c r="S412">
        <f t="shared" si="77"/>
        <v>1</v>
      </c>
      <c r="T412">
        <v>1</v>
      </c>
      <c r="U412" t="s">
        <v>139</v>
      </c>
      <c r="V412" s="18">
        <f t="shared" si="78"/>
        <v>6.8273092369477914E-2</v>
      </c>
      <c r="W412" s="18">
        <f t="shared" si="79"/>
        <v>8.6792452830188674E-2</v>
      </c>
      <c r="X412" s="18">
        <f t="shared" si="80"/>
        <v>0.10309278350515463</v>
      </c>
      <c r="Y412" s="18">
        <f t="shared" si="81"/>
        <v>6.5217391304347824E-2</v>
      </c>
      <c r="Z412" s="18">
        <f t="shared" si="82"/>
        <v>0.56634304207119746</v>
      </c>
      <c r="AA412" s="10">
        <f t="shared" si="83"/>
        <v>0.17794375239999999</v>
      </c>
      <c r="AB412" t="str">
        <f>IF(AA412&gt;=Como_Avaliar!$B$15,"Alta",IF(AA412&gt;=Como_Avaliar!$B$16,"Média","Baixa"))</f>
        <v>Baixa</v>
      </c>
    </row>
    <row r="413" spans="1:28" x14ac:dyDescent="0.25">
      <c r="A413" t="s">
        <v>717</v>
      </c>
      <c r="B413" t="s">
        <v>426</v>
      </c>
      <c r="C413" t="s">
        <v>84</v>
      </c>
      <c r="D413" t="s">
        <v>59</v>
      </c>
      <c r="E413" t="s">
        <v>93</v>
      </c>
      <c r="F413">
        <v>1</v>
      </c>
      <c r="G413">
        <v>16</v>
      </c>
      <c r="H413">
        <v>3</v>
      </c>
      <c r="I413" t="s">
        <v>62</v>
      </c>
      <c r="J413" t="s">
        <v>97</v>
      </c>
      <c r="K413" t="s">
        <v>97</v>
      </c>
      <c r="L413" t="s">
        <v>284</v>
      </c>
      <c r="M413">
        <v>0</v>
      </c>
      <c r="N413" t="str">
        <f t="shared" si="72"/>
        <v>1. &lt; 8 anos</v>
      </c>
      <c r="O413" t="str">
        <f t="shared" si="73"/>
        <v>1. &lt; 20</v>
      </c>
      <c r="P413" t="str">
        <f t="shared" si="74"/>
        <v>2. 3 a 5</v>
      </c>
      <c r="Q413">
        <f t="shared" si="75"/>
        <v>0</v>
      </c>
      <c r="R413">
        <f t="shared" si="76"/>
        <v>0</v>
      </c>
      <c r="S413">
        <f t="shared" si="77"/>
        <v>1</v>
      </c>
      <c r="T413">
        <v>2</v>
      </c>
      <c r="U413" t="s">
        <v>139</v>
      </c>
      <c r="V413" s="18">
        <f t="shared" si="78"/>
        <v>0.43835616438356162</v>
      </c>
      <c r="W413" s="18">
        <f t="shared" si="79"/>
        <v>0.38095238095238093</v>
      </c>
      <c r="X413" s="18">
        <f t="shared" si="80"/>
        <v>0.10309278350515463</v>
      </c>
      <c r="Y413" s="18">
        <f t="shared" si="81"/>
        <v>0.37662337662337664</v>
      </c>
      <c r="Z413" s="18">
        <f t="shared" si="82"/>
        <v>0.22368421052631579</v>
      </c>
      <c r="AA413" s="10">
        <f t="shared" si="83"/>
        <v>0.30454178320000003</v>
      </c>
      <c r="AB413" t="str">
        <f>IF(AA413&gt;=Como_Avaliar!$B$15,"Alta",IF(AA413&gt;=Como_Avaliar!$B$16,"Média","Baixa"))</f>
        <v>Média</v>
      </c>
    </row>
    <row r="414" spans="1:28" x14ac:dyDescent="0.25">
      <c r="A414" t="s">
        <v>718</v>
      </c>
      <c r="B414" t="s">
        <v>295</v>
      </c>
      <c r="C414" t="s">
        <v>84</v>
      </c>
      <c r="D414" t="s">
        <v>56</v>
      </c>
      <c r="E414" t="s">
        <v>93</v>
      </c>
      <c r="F414">
        <v>28</v>
      </c>
      <c r="G414">
        <v>9</v>
      </c>
      <c r="H414">
        <v>2</v>
      </c>
      <c r="I414" t="s">
        <v>65</v>
      </c>
      <c r="J414" t="s">
        <v>97</v>
      </c>
      <c r="K414" t="s">
        <v>98</v>
      </c>
      <c r="L414" t="s">
        <v>298</v>
      </c>
      <c r="M414">
        <v>0</v>
      </c>
      <c r="N414" t="str">
        <f t="shared" si="72"/>
        <v>3. 16+ anos</v>
      </c>
      <c r="O414" t="str">
        <f t="shared" si="73"/>
        <v>1. &lt; 20</v>
      </c>
      <c r="P414" t="str">
        <f t="shared" si="74"/>
        <v>1. 1 a 2</v>
      </c>
      <c r="Q414">
        <f t="shared" si="75"/>
        <v>0</v>
      </c>
      <c r="R414">
        <f t="shared" si="76"/>
        <v>0</v>
      </c>
      <c r="S414">
        <f t="shared" si="77"/>
        <v>1</v>
      </c>
      <c r="T414">
        <v>1</v>
      </c>
      <c r="U414" t="s">
        <v>139</v>
      </c>
      <c r="V414" s="18">
        <f t="shared" si="78"/>
        <v>6.8273092369477914E-2</v>
      </c>
      <c r="W414" s="18">
        <f t="shared" si="79"/>
        <v>8.6792452830188674E-2</v>
      </c>
      <c r="X414" s="18">
        <f t="shared" si="80"/>
        <v>0.10309278350515463</v>
      </c>
      <c r="Y414" s="18">
        <f t="shared" si="81"/>
        <v>0.39751552795031053</v>
      </c>
      <c r="Z414" s="18">
        <f t="shared" si="82"/>
        <v>0.56634304207119746</v>
      </c>
      <c r="AA414" s="10">
        <f t="shared" si="83"/>
        <v>0.24440337970000001</v>
      </c>
      <c r="AB414" t="str">
        <f>IF(AA414&gt;=Como_Avaliar!$B$15,"Alta",IF(AA414&gt;=Como_Avaliar!$B$16,"Média","Baixa"))</f>
        <v>Média</v>
      </c>
    </row>
    <row r="415" spans="1:28" x14ac:dyDescent="0.25">
      <c r="A415" t="s">
        <v>719</v>
      </c>
      <c r="B415" t="s">
        <v>288</v>
      </c>
      <c r="C415" t="s">
        <v>88</v>
      </c>
      <c r="D415" t="s">
        <v>59</v>
      </c>
      <c r="E415" t="s">
        <v>95</v>
      </c>
      <c r="F415">
        <v>15</v>
      </c>
      <c r="G415">
        <v>39</v>
      </c>
      <c r="H415">
        <v>4</v>
      </c>
      <c r="I415" t="s">
        <v>64</v>
      </c>
      <c r="J415" t="s">
        <v>98</v>
      </c>
      <c r="K415" t="s">
        <v>98</v>
      </c>
      <c r="L415" t="s">
        <v>298</v>
      </c>
      <c r="M415">
        <v>0</v>
      </c>
      <c r="N415" t="str">
        <f t="shared" si="72"/>
        <v>2. 8 a 15 anos</v>
      </c>
      <c r="O415" t="str">
        <f t="shared" si="73"/>
        <v>2. 20 a 49</v>
      </c>
      <c r="P415" t="str">
        <f t="shared" si="74"/>
        <v>2. 3 a 5</v>
      </c>
      <c r="Q415">
        <f t="shared" si="75"/>
        <v>1</v>
      </c>
      <c r="R415">
        <f t="shared" si="76"/>
        <v>0</v>
      </c>
      <c r="S415">
        <f t="shared" si="77"/>
        <v>1</v>
      </c>
      <c r="T415">
        <v>3</v>
      </c>
      <c r="U415" t="s">
        <v>138</v>
      </c>
      <c r="V415" s="18">
        <f t="shared" si="78"/>
        <v>0.43835616438356162</v>
      </c>
      <c r="W415" s="18">
        <f t="shared" si="79"/>
        <v>0.38095238095238093</v>
      </c>
      <c r="X415" s="18">
        <f t="shared" si="80"/>
        <v>0.25294117647058822</v>
      </c>
      <c r="Y415" s="18">
        <f t="shared" si="81"/>
        <v>0.15625</v>
      </c>
      <c r="Z415" s="18">
        <f t="shared" si="82"/>
        <v>0.22302158273381295</v>
      </c>
      <c r="AA415" s="10">
        <f t="shared" si="83"/>
        <v>0.2903042609</v>
      </c>
      <c r="AB415" t="str">
        <f>IF(AA415&gt;=Como_Avaliar!$B$15,"Alta",IF(AA415&gt;=Como_Avaliar!$B$16,"Média","Baixa"))</f>
        <v>Média</v>
      </c>
    </row>
    <row r="416" spans="1:28" x14ac:dyDescent="0.25">
      <c r="A416" t="s">
        <v>720</v>
      </c>
      <c r="B416" t="s">
        <v>286</v>
      </c>
      <c r="C416" t="s">
        <v>88</v>
      </c>
      <c r="D416" t="s">
        <v>56</v>
      </c>
      <c r="E416" t="s">
        <v>93</v>
      </c>
      <c r="F416">
        <v>1</v>
      </c>
      <c r="G416">
        <v>6</v>
      </c>
      <c r="H416">
        <v>2</v>
      </c>
      <c r="I416" t="s">
        <v>65</v>
      </c>
      <c r="J416" t="s">
        <v>98</v>
      </c>
      <c r="K416" t="s">
        <v>98</v>
      </c>
      <c r="L416" t="s">
        <v>284</v>
      </c>
      <c r="M416">
        <v>0</v>
      </c>
      <c r="N416" t="str">
        <f t="shared" si="72"/>
        <v>1. &lt; 8 anos</v>
      </c>
      <c r="O416" t="str">
        <f t="shared" si="73"/>
        <v>1. &lt; 20</v>
      </c>
      <c r="P416" t="str">
        <f t="shared" si="74"/>
        <v>1. 1 a 2</v>
      </c>
      <c r="Q416">
        <f t="shared" si="75"/>
        <v>0</v>
      </c>
      <c r="R416">
        <f t="shared" si="76"/>
        <v>0</v>
      </c>
      <c r="S416">
        <f t="shared" si="77"/>
        <v>1</v>
      </c>
      <c r="T416">
        <v>1</v>
      </c>
      <c r="U416" t="s">
        <v>139</v>
      </c>
      <c r="V416" s="18">
        <f t="shared" si="78"/>
        <v>6.8273092369477914E-2</v>
      </c>
      <c r="W416" s="18">
        <f t="shared" si="79"/>
        <v>8.6792452830188674E-2</v>
      </c>
      <c r="X416" s="18">
        <f t="shared" si="80"/>
        <v>0.10309278350515463</v>
      </c>
      <c r="Y416" s="18">
        <f t="shared" si="81"/>
        <v>0.39751552795031053</v>
      </c>
      <c r="Z416" s="18">
        <f t="shared" si="82"/>
        <v>0.22368421052631579</v>
      </c>
      <c r="AA416" s="10">
        <f t="shared" si="83"/>
        <v>0.17587161339999999</v>
      </c>
      <c r="AB416" t="str">
        <f>IF(AA416&gt;=Como_Avaliar!$B$15,"Alta",IF(AA416&gt;=Como_Avaliar!$B$16,"Média","Baixa"))</f>
        <v>Baixa</v>
      </c>
    </row>
    <row r="417" spans="1:28" x14ac:dyDescent="0.25">
      <c r="A417" t="s">
        <v>721</v>
      </c>
      <c r="B417" t="s">
        <v>286</v>
      </c>
      <c r="C417" t="s">
        <v>88</v>
      </c>
      <c r="D417" t="s">
        <v>56</v>
      </c>
      <c r="E417" t="s">
        <v>92</v>
      </c>
      <c r="F417">
        <v>5</v>
      </c>
      <c r="G417">
        <v>18</v>
      </c>
      <c r="H417">
        <v>1</v>
      </c>
      <c r="I417" t="s">
        <v>64</v>
      </c>
      <c r="J417" t="s">
        <v>98</v>
      </c>
      <c r="K417" t="s">
        <v>97</v>
      </c>
      <c r="L417" t="s">
        <v>298</v>
      </c>
      <c r="M417">
        <v>0</v>
      </c>
      <c r="N417" t="str">
        <f t="shared" si="72"/>
        <v>1. &lt; 8 anos</v>
      </c>
      <c r="O417" t="str">
        <f t="shared" si="73"/>
        <v>1. &lt; 20</v>
      </c>
      <c r="P417" t="str">
        <f t="shared" si="74"/>
        <v>1. 1 a 2</v>
      </c>
      <c r="Q417">
        <f t="shared" si="75"/>
        <v>1</v>
      </c>
      <c r="R417">
        <f t="shared" si="76"/>
        <v>0</v>
      </c>
      <c r="S417">
        <f t="shared" si="77"/>
        <v>1</v>
      </c>
      <c r="T417">
        <v>2</v>
      </c>
      <c r="U417" t="s">
        <v>139</v>
      </c>
      <c r="V417" s="18">
        <f t="shared" si="78"/>
        <v>6.8273092369477914E-2</v>
      </c>
      <c r="W417" s="18">
        <f t="shared" si="79"/>
        <v>8.6792452830188674E-2</v>
      </c>
      <c r="X417" s="18">
        <f t="shared" si="80"/>
        <v>0.10309278350515463</v>
      </c>
      <c r="Y417" s="18">
        <f t="shared" si="81"/>
        <v>0.15625</v>
      </c>
      <c r="Z417" s="18">
        <f t="shared" si="82"/>
        <v>0.22368421052631579</v>
      </c>
      <c r="AA417" s="10">
        <f t="shared" si="83"/>
        <v>0.1276185078</v>
      </c>
      <c r="AB417" t="str">
        <f>IF(AA417&gt;=Como_Avaliar!$B$15,"Alta",IF(AA417&gt;=Como_Avaliar!$B$16,"Média","Baixa"))</f>
        <v>Baixa</v>
      </c>
    </row>
    <row r="418" spans="1:28" x14ac:dyDescent="0.25">
      <c r="A418" t="s">
        <v>722</v>
      </c>
      <c r="B418" t="s">
        <v>288</v>
      </c>
      <c r="C418" t="s">
        <v>88</v>
      </c>
      <c r="D418" t="s">
        <v>56</v>
      </c>
      <c r="E418" t="s">
        <v>95</v>
      </c>
      <c r="F418">
        <v>28</v>
      </c>
      <c r="G418">
        <v>10</v>
      </c>
      <c r="H418">
        <v>1</v>
      </c>
      <c r="I418" t="s">
        <v>64</v>
      </c>
      <c r="J418" t="s">
        <v>97</v>
      </c>
      <c r="K418" t="s">
        <v>97</v>
      </c>
      <c r="L418" t="s">
        <v>284</v>
      </c>
      <c r="M418">
        <v>0</v>
      </c>
      <c r="N418" t="str">
        <f t="shared" si="72"/>
        <v>3. 16+ anos</v>
      </c>
      <c r="O418" t="str">
        <f t="shared" si="73"/>
        <v>1. &lt; 20</v>
      </c>
      <c r="P418" t="str">
        <f t="shared" si="74"/>
        <v>1. 1 a 2</v>
      </c>
      <c r="Q418">
        <f t="shared" si="75"/>
        <v>1</v>
      </c>
      <c r="R418">
        <f t="shared" si="76"/>
        <v>0</v>
      </c>
      <c r="S418">
        <f t="shared" si="77"/>
        <v>1</v>
      </c>
      <c r="T418">
        <v>1</v>
      </c>
      <c r="U418" t="s">
        <v>139</v>
      </c>
      <c r="V418" s="18">
        <f t="shared" si="78"/>
        <v>6.8273092369477914E-2</v>
      </c>
      <c r="W418" s="18">
        <f t="shared" si="79"/>
        <v>8.6792452830188674E-2</v>
      </c>
      <c r="X418" s="18">
        <f t="shared" si="80"/>
        <v>0.10309278350515463</v>
      </c>
      <c r="Y418" s="18">
        <f t="shared" si="81"/>
        <v>0.15625</v>
      </c>
      <c r="Z418" s="18">
        <f t="shared" si="82"/>
        <v>0.56634304207119746</v>
      </c>
      <c r="AA418" s="10">
        <f t="shared" si="83"/>
        <v>0.1961502742</v>
      </c>
      <c r="AB418" t="str">
        <f>IF(AA418&gt;=Como_Avaliar!$B$15,"Alta",IF(AA418&gt;=Como_Avaliar!$B$16,"Média","Baixa"))</f>
        <v>Baixa</v>
      </c>
    </row>
    <row r="419" spans="1:28" x14ac:dyDescent="0.25">
      <c r="A419" t="s">
        <v>723</v>
      </c>
      <c r="B419" t="s">
        <v>381</v>
      </c>
      <c r="C419" t="s">
        <v>88</v>
      </c>
      <c r="D419" t="s">
        <v>56</v>
      </c>
      <c r="E419" t="s">
        <v>92</v>
      </c>
      <c r="F419">
        <v>29</v>
      </c>
      <c r="G419">
        <v>25</v>
      </c>
      <c r="H419">
        <v>2</v>
      </c>
      <c r="I419" t="s">
        <v>65</v>
      </c>
      <c r="J419" t="s">
        <v>97</v>
      </c>
      <c r="K419" t="s">
        <v>98</v>
      </c>
      <c r="L419" t="s">
        <v>284</v>
      </c>
      <c r="M419">
        <v>0</v>
      </c>
      <c r="N419" t="str">
        <f t="shared" si="72"/>
        <v>3. 16+ anos</v>
      </c>
      <c r="O419" t="str">
        <f t="shared" si="73"/>
        <v>2. 20 a 49</v>
      </c>
      <c r="P419" t="str">
        <f t="shared" si="74"/>
        <v>1. 1 a 2</v>
      </c>
      <c r="Q419">
        <f t="shared" si="75"/>
        <v>0</v>
      </c>
      <c r="R419">
        <f t="shared" si="76"/>
        <v>0</v>
      </c>
      <c r="S419">
        <f t="shared" si="77"/>
        <v>1</v>
      </c>
      <c r="T419">
        <v>3</v>
      </c>
      <c r="U419" t="s">
        <v>138</v>
      </c>
      <c r="V419" s="18">
        <f t="shared" si="78"/>
        <v>6.8273092369477914E-2</v>
      </c>
      <c r="W419" s="18">
        <f t="shared" si="79"/>
        <v>8.6792452830188674E-2</v>
      </c>
      <c r="X419" s="18">
        <f t="shared" si="80"/>
        <v>0.25294117647058822</v>
      </c>
      <c r="Y419" s="18">
        <f t="shared" si="81"/>
        <v>0.39751552795031053</v>
      </c>
      <c r="Z419" s="18">
        <f t="shared" si="82"/>
        <v>0.56634304207119746</v>
      </c>
      <c r="AA419" s="10">
        <f t="shared" si="83"/>
        <v>0.27437305829999997</v>
      </c>
      <c r="AB419" t="str">
        <f>IF(AA419&gt;=Como_Avaliar!$B$15,"Alta",IF(AA419&gt;=Como_Avaliar!$B$16,"Média","Baixa"))</f>
        <v>Média</v>
      </c>
    </row>
    <row r="420" spans="1:28" x14ac:dyDescent="0.25">
      <c r="A420" t="s">
        <v>724</v>
      </c>
      <c r="B420" t="s">
        <v>327</v>
      </c>
      <c r="C420" t="s">
        <v>86</v>
      </c>
      <c r="D420" t="s">
        <v>56</v>
      </c>
      <c r="E420" t="s">
        <v>93</v>
      </c>
      <c r="F420">
        <v>16</v>
      </c>
      <c r="G420">
        <v>22</v>
      </c>
      <c r="H420">
        <v>1</v>
      </c>
      <c r="I420" t="s">
        <v>61</v>
      </c>
      <c r="J420" t="s">
        <v>97</v>
      </c>
      <c r="K420" t="s">
        <v>97</v>
      </c>
      <c r="L420" t="s">
        <v>322</v>
      </c>
      <c r="M420">
        <v>0</v>
      </c>
      <c r="N420" t="str">
        <f t="shared" si="72"/>
        <v>3. 16+ anos</v>
      </c>
      <c r="O420" t="str">
        <f t="shared" si="73"/>
        <v>2. 20 a 49</v>
      </c>
      <c r="P420" t="str">
        <f t="shared" si="74"/>
        <v>1. 1 a 2</v>
      </c>
      <c r="Q420">
        <f t="shared" si="75"/>
        <v>1</v>
      </c>
      <c r="R420">
        <f t="shared" si="76"/>
        <v>0</v>
      </c>
      <c r="S420">
        <f t="shared" si="77"/>
        <v>0</v>
      </c>
      <c r="V420" s="18">
        <f t="shared" si="78"/>
        <v>6.8273092369477914E-2</v>
      </c>
      <c r="W420" s="18">
        <f t="shared" si="79"/>
        <v>8.6792452830188674E-2</v>
      </c>
      <c r="X420" s="18">
        <f t="shared" si="80"/>
        <v>0.25294117647058822</v>
      </c>
      <c r="Y420" s="18">
        <f t="shared" si="81"/>
        <v>0</v>
      </c>
      <c r="Z420" s="18">
        <f t="shared" si="82"/>
        <v>0.56634304207119746</v>
      </c>
      <c r="AA420" s="10">
        <f t="shared" si="83"/>
        <v>0.19486995269999999</v>
      </c>
      <c r="AB420" t="str">
        <f>IF(AA420&gt;=Como_Avaliar!$B$15,"Alta",IF(AA420&gt;=Como_Avaliar!$B$16,"Média","Baixa"))</f>
        <v>Baixa</v>
      </c>
    </row>
    <row r="421" spans="1:28" x14ac:dyDescent="0.25">
      <c r="A421" t="s">
        <v>725</v>
      </c>
      <c r="B421" t="s">
        <v>286</v>
      </c>
      <c r="C421" t="s">
        <v>88</v>
      </c>
      <c r="D421" t="s">
        <v>57</v>
      </c>
      <c r="E421" t="s">
        <v>96</v>
      </c>
      <c r="F421">
        <v>19</v>
      </c>
      <c r="G421">
        <v>409</v>
      </c>
      <c r="H421">
        <v>38</v>
      </c>
      <c r="I421" t="s">
        <v>68</v>
      </c>
      <c r="J421" t="s">
        <v>97</v>
      </c>
      <c r="K421" t="s">
        <v>97</v>
      </c>
      <c r="L421" t="s">
        <v>284</v>
      </c>
      <c r="M421">
        <v>1</v>
      </c>
      <c r="N421" t="str">
        <f t="shared" si="72"/>
        <v>3. 16+ anos</v>
      </c>
      <c r="O421" t="str">
        <f t="shared" si="73"/>
        <v>4. 150+</v>
      </c>
      <c r="P421" t="str">
        <f t="shared" si="74"/>
        <v>4. 16+</v>
      </c>
      <c r="Q421">
        <f t="shared" si="75"/>
        <v>0</v>
      </c>
      <c r="R421">
        <f t="shared" si="76"/>
        <v>1</v>
      </c>
      <c r="S421">
        <f t="shared" si="77"/>
        <v>0</v>
      </c>
      <c r="V421" s="18">
        <f t="shared" si="78"/>
        <v>1</v>
      </c>
      <c r="W421" s="18">
        <f t="shared" si="79"/>
        <v>0.97272727272727277</v>
      </c>
      <c r="X421" s="18">
        <f t="shared" si="80"/>
        <v>0.97938144329896903</v>
      </c>
      <c r="Y421" s="18">
        <f t="shared" si="81"/>
        <v>0.58333333333333337</v>
      </c>
      <c r="Z421" s="18">
        <f t="shared" si="82"/>
        <v>0.56634304207119746</v>
      </c>
      <c r="AA421" s="10">
        <f t="shared" si="83"/>
        <v>0.82035701829999996</v>
      </c>
      <c r="AB421" t="str">
        <f>IF(AA421&gt;=Como_Avaliar!$B$15,"Alta",IF(AA421&gt;=Como_Avaliar!$B$16,"Média","Baixa"))</f>
        <v>Alta</v>
      </c>
    </row>
    <row r="422" spans="1:28" x14ac:dyDescent="0.25">
      <c r="A422" t="s">
        <v>726</v>
      </c>
      <c r="B422" t="s">
        <v>301</v>
      </c>
      <c r="C422" t="s">
        <v>88</v>
      </c>
      <c r="D422" t="s">
        <v>56</v>
      </c>
      <c r="E422" t="s">
        <v>92</v>
      </c>
      <c r="F422">
        <v>4</v>
      </c>
      <c r="G422">
        <v>15</v>
      </c>
      <c r="H422">
        <v>1</v>
      </c>
      <c r="I422" t="s">
        <v>65</v>
      </c>
      <c r="J422" t="s">
        <v>97</v>
      </c>
      <c r="K422" t="s">
        <v>98</v>
      </c>
      <c r="L422" t="s">
        <v>298</v>
      </c>
      <c r="M422">
        <v>0</v>
      </c>
      <c r="N422" t="str">
        <f t="shared" si="72"/>
        <v>1. &lt; 8 anos</v>
      </c>
      <c r="O422" t="str">
        <f t="shared" si="73"/>
        <v>1. &lt; 20</v>
      </c>
      <c r="P422" t="str">
        <f t="shared" si="74"/>
        <v>1. 1 a 2</v>
      </c>
      <c r="Q422">
        <f t="shared" si="75"/>
        <v>0</v>
      </c>
      <c r="R422">
        <f t="shared" si="76"/>
        <v>0</v>
      </c>
      <c r="S422">
        <f t="shared" si="77"/>
        <v>1</v>
      </c>
      <c r="T422">
        <v>3</v>
      </c>
      <c r="U422" t="s">
        <v>138</v>
      </c>
      <c r="V422" s="18">
        <f t="shared" si="78"/>
        <v>6.8273092369477914E-2</v>
      </c>
      <c r="W422" s="18">
        <f t="shared" si="79"/>
        <v>8.6792452830188674E-2</v>
      </c>
      <c r="X422" s="18">
        <f t="shared" si="80"/>
        <v>0.10309278350515463</v>
      </c>
      <c r="Y422" s="18">
        <f t="shared" si="81"/>
        <v>0.39751552795031053</v>
      </c>
      <c r="Z422" s="18">
        <f t="shared" si="82"/>
        <v>0.22368421052631579</v>
      </c>
      <c r="AA422" s="10">
        <f t="shared" si="83"/>
        <v>0.17587161339999999</v>
      </c>
      <c r="AB422" t="str">
        <f>IF(AA422&gt;=Como_Avaliar!$B$15,"Alta",IF(AA422&gt;=Como_Avaliar!$B$16,"Média","Baixa"))</f>
        <v>Baixa</v>
      </c>
    </row>
    <row r="423" spans="1:28" x14ac:dyDescent="0.25">
      <c r="A423" t="s">
        <v>727</v>
      </c>
      <c r="B423" t="s">
        <v>283</v>
      </c>
      <c r="C423" t="s">
        <v>89</v>
      </c>
      <c r="D423" t="s">
        <v>56</v>
      </c>
      <c r="E423" t="s">
        <v>92</v>
      </c>
      <c r="F423">
        <v>3</v>
      </c>
      <c r="G423">
        <v>10</v>
      </c>
      <c r="H423">
        <v>2</v>
      </c>
      <c r="I423" t="s">
        <v>62</v>
      </c>
      <c r="J423" t="s">
        <v>98</v>
      </c>
      <c r="K423" t="s">
        <v>98</v>
      </c>
      <c r="L423" t="s">
        <v>289</v>
      </c>
      <c r="M423">
        <v>0</v>
      </c>
      <c r="N423" t="str">
        <f t="shared" si="72"/>
        <v>1. &lt; 8 anos</v>
      </c>
      <c r="O423" t="str">
        <f t="shared" si="73"/>
        <v>1. &lt; 20</v>
      </c>
      <c r="P423" t="str">
        <f t="shared" si="74"/>
        <v>1. 1 a 2</v>
      </c>
      <c r="Q423">
        <f t="shared" si="75"/>
        <v>0</v>
      </c>
      <c r="R423">
        <f t="shared" si="76"/>
        <v>0</v>
      </c>
      <c r="S423">
        <f t="shared" si="77"/>
        <v>1</v>
      </c>
      <c r="T423">
        <v>1</v>
      </c>
      <c r="U423" t="s">
        <v>139</v>
      </c>
      <c r="V423" s="18">
        <f t="shared" si="78"/>
        <v>6.8273092369477914E-2</v>
      </c>
      <c r="W423" s="18">
        <f t="shared" si="79"/>
        <v>8.6792452830188674E-2</v>
      </c>
      <c r="X423" s="18">
        <f t="shared" si="80"/>
        <v>0.10309278350515463</v>
      </c>
      <c r="Y423" s="18">
        <f t="shared" si="81"/>
        <v>0.37662337662337664</v>
      </c>
      <c r="Z423" s="18">
        <f t="shared" si="82"/>
        <v>0.22368421052631579</v>
      </c>
      <c r="AA423" s="10">
        <f t="shared" si="83"/>
        <v>0.17169318319999999</v>
      </c>
      <c r="AB423" t="str">
        <f>IF(AA423&gt;=Como_Avaliar!$B$15,"Alta",IF(AA423&gt;=Como_Avaliar!$B$16,"Média","Baixa"))</f>
        <v>Baixa</v>
      </c>
    </row>
    <row r="424" spans="1:28" x14ac:dyDescent="0.25">
      <c r="A424" t="s">
        <v>728</v>
      </c>
      <c r="B424" t="s">
        <v>286</v>
      </c>
      <c r="C424" t="s">
        <v>88</v>
      </c>
      <c r="D424" t="s">
        <v>59</v>
      </c>
      <c r="E424" t="s">
        <v>95</v>
      </c>
      <c r="F424">
        <v>17</v>
      </c>
      <c r="G424">
        <v>56</v>
      </c>
      <c r="H424">
        <v>7</v>
      </c>
      <c r="I424" t="s">
        <v>64</v>
      </c>
      <c r="J424" t="s">
        <v>97</v>
      </c>
      <c r="K424" t="s">
        <v>97</v>
      </c>
      <c r="L424" t="s">
        <v>322</v>
      </c>
      <c r="M424">
        <v>1</v>
      </c>
      <c r="N424" t="str">
        <f t="shared" si="72"/>
        <v>3. 16+ anos</v>
      </c>
      <c r="O424" t="str">
        <f t="shared" si="73"/>
        <v>3. 50 a 149</v>
      </c>
      <c r="P424" t="str">
        <f t="shared" si="74"/>
        <v>3. 6 a 15</v>
      </c>
      <c r="Q424">
        <f t="shared" si="75"/>
        <v>1</v>
      </c>
      <c r="R424">
        <f t="shared" si="76"/>
        <v>0</v>
      </c>
      <c r="S424">
        <f t="shared" si="77"/>
        <v>0</v>
      </c>
      <c r="V424" s="18">
        <f t="shared" si="78"/>
        <v>0.43835616438356162</v>
      </c>
      <c r="W424" s="18">
        <f t="shared" si="79"/>
        <v>0.55319148936170215</v>
      </c>
      <c r="X424" s="18">
        <f t="shared" si="80"/>
        <v>0.58992805755395683</v>
      </c>
      <c r="Y424" s="18">
        <f t="shared" si="81"/>
        <v>0.15625</v>
      </c>
      <c r="Z424" s="18">
        <f t="shared" si="82"/>
        <v>0.56634304207119746</v>
      </c>
      <c r="AA424" s="10">
        <f t="shared" si="83"/>
        <v>0.46081375070000002</v>
      </c>
      <c r="AB424" t="str">
        <f>IF(AA424&gt;=Como_Avaliar!$B$15,"Alta",IF(AA424&gt;=Como_Avaliar!$B$16,"Média","Baixa"))</f>
        <v>Média</v>
      </c>
    </row>
    <row r="425" spans="1:28" x14ac:dyDescent="0.25">
      <c r="A425" t="s">
        <v>729</v>
      </c>
      <c r="B425" t="s">
        <v>295</v>
      </c>
      <c r="C425" t="s">
        <v>84</v>
      </c>
      <c r="D425" t="s">
        <v>58</v>
      </c>
      <c r="E425" t="s">
        <v>95</v>
      </c>
      <c r="F425">
        <v>17</v>
      </c>
      <c r="G425">
        <v>132</v>
      </c>
      <c r="H425">
        <v>17</v>
      </c>
      <c r="I425" t="s">
        <v>65</v>
      </c>
      <c r="J425" t="s">
        <v>98</v>
      </c>
      <c r="K425" t="s">
        <v>98</v>
      </c>
      <c r="L425" t="s">
        <v>322</v>
      </c>
      <c r="M425">
        <v>1</v>
      </c>
      <c r="N425" t="str">
        <f t="shared" si="72"/>
        <v>3. 16+ anos</v>
      </c>
      <c r="O425" t="str">
        <f t="shared" si="73"/>
        <v>3. 50 a 149</v>
      </c>
      <c r="P425" t="str">
        <f t="shared" si="74"/>
        <v>4. 16+</v>
      </c>
      <c r="Q425">
        <f t="shared" si="75"/>
        <v>0</v>
      </c>
      <c r="R425">
        <f t="shared" si="76"/>
        <v>1</v>
      </c>
      <c r="S425">
        <f t="shared" si="77"/>
        <v>0</v>
      </c>
      <c r="V425" s="18">
        <f t="shared" si="78"/>
        <v>0.93975903614457834</v>
      </c>
      <c r="W425" s="18">
        <f t="shared" si="79"/>
        <v>0.97272727272727277</v>
      </c>
      <c r="X425" s="18">
        <f t="shared" si="80"/>
        <v>0.58992805755395683</v>
      </c>
      <c r="Y425" s="18">
        <f t="shared" si="81"/>
        <v>0.39751552795031053</v>
      </c>
      <c r="Z425" s="18">
        <f t="shared" si="82"/>
        <v>0.56634304207119746</v>
      </c>
      <c r="AA425" s="10">
        <f t="shared" si="83"/>
        <v>0.6932545873</v>
      </c>
      <c r="AB425" t="str">
        <f>IF(AA425&gt;=Como_Avaliar!$B$15,"Alta",IF(AA425&gt;=Como_Avaliar!$B$16,"Média","Baixa"))</f>
        <v>Alta</v>
      </c>
    </row>
    <row r="426" spans="1:28" x14ac:dyDescent="0.25">
      <c r="A426" t="s">
        <v>730</v>
      </c>
      <c r="B426" t="s">
        <v>305</v>
      </c>
      <c r="C426" t="s">
        <v>89</v>
      </c>
      <c r="D426" t="s">
        <v>56</v>
      </c>
      <c r="E426" t="s">
        <v>95</v>
      </c>
      <c r="F426">
        <v>12</v>
      </c>
      <c r="G426">
        <v>15</v>
      </c>
      <c r="H426">
        <v>1</v>
      </c>
      <c r="I426" t="s">
        <v>62</v>
      </c>
      <c r="J426" t="s">
        <v>97</v>
      </c>
      <c r="K426" t="s">
        <v>98</v>
      </c>
      <c r="L426" t="s">
        <v>298</v>
      </c>
      <c r="M426">
        <v>0</v>
      </c>
      <c r="N426" t="str">
        <f t="shared" si="72"/>
        <v>2. 8 a 15 anos</v>
      </c>
      <c r="O426" t="str">
        <f t="shared" si="73"/>
        <v>1. &lt; 20</v>
      </c>
      <c r="P426" t="str">
        <f t="shared" si="74"/>
        <v>1. 1 a 2</v>
      </c>
      <c r="Q426">
        <f t="shared" si="75"/>
        <v>0</v>
      </c>
      <c r="R426">
        <f t="shared" si="76"/>
        <v>0</v>
      </c>
      <c r="S426">
        <f t="shared" si="77"/>
        <v>1</v>
      </c>
      <c r="T426">
        <v>2</v>
      </c>
      <c r="U426" t="s">
        <v>139</v>
      </c>
      <c r="V426" s="18">
        <f t="shared" si="78"/>
        <v>6.8273092369477914E-2</v>
      </c>
      <c r="W426" s="18">
        <f t="shared" si="79"/>
        <v>8.6792452830188674E-2</v>
      </c>
      <c r="X426" s="18">
        <f t="shared" si="80"/>
        <v>0.10309278350515463</v>
      </c>
      <c r="Y426" s="18">
        <f t="shared" si="81"/>
        <v>0.37662337662337664</v>
      </c>
      <c r="Z426" s="18">
        <f t="shared" si="82"/>
        <v>0.22302158273381295</v>
      </c>
      <c r="AA426" s="10">
        <f t="shared" si="83"/>
        <v>0.1715606576</v>
      </c>
      <c r="AB426" t="str">
        <f>IF(AA426&gt;=Como_Avaliar!$B$15,"Alta",IF(AA426&gt;=Como_Avaliar!$B$16,"Média","Baixa"))</f>
        <v>Baixa</v>
      </c>
    </row>
    <row r="427" spans="1:28" x14ac:dyDescent="0.25">
      <c r="A427" t="s">
        <v>731</v>
      </c>
      <c r="B427" t="s">
        <v>288</v>
      </c>
      <c r="C427" t="s">
        <v>88</v>
      </c>
      <c r="D427" t="s">
        <v>58</v>
      </c>
      <c r="E427" t="s">
        <v>92</v>
      </c>
      <c r="F427">
        <v>28</v>
      </c>
      <c r="G427">
        <v>179</v>
      </c>
      <c r="H427">
        <v>20</v>
      </c>
      <c r="I427" t="s">
        <v>65</v>
      </c>
      <c r="J427" t="s">
        <v>97</v>
      </c>
      <c r="K427" t="s">
        <v>97</v>
      </c>
      <c r="L427" t="s">
        <v>289</v>
      </c>
      <c r="M427">
        <v>1</v>
      </c>
      <c r="N427" t="str">
        <f t="shared" si="72"/>
        <v>3. 16+ anos</v>
      </c>
      <c r="O427" t="str">
        <f t="shared" si="73"/>
        <v>4. 150+</v>
      </c>
      <c r="P427" t="str">
        <f t="shared" si="74"/>
        <v>4. 16+</v>
      </c>
      <c r="Q427">
        <f t="shared" si="75"/>
        <v>0</v>
      </c>
      <c r="R427">
        <f t="shared" si="76"/>
        <v>1</v>
      </c>
      <c r="S427">
        <f t="shared" si="77"/>
        <v>0</v>
      </c>
      <c r="V427" s="18">
        <f t="shared" si="78"/>
        <v>0.93975903614457834</v>
      </c>
      <c r="W427" s="18">
        <f t="shared" si="79"/>
        <v>0.97272727272727277</v>
      </c>
      <c r="X427" s="18">
        <f t="shared" si="80"/>
        <v>0.97938144329896903</v>
      </c>
      <c r="Y427" s="18">
        <f t="shared" si="81"/>
        <v>0.39751552795031053</v>
      </c>
      <c r="Z427" s="18">
        <f t="shared" si="82"/>
        <v>0.56634304207119746</v>
      </c>
      <c r="AA427" s="10">
        <f t="shared" si="83"/>
        <v>0.77114526439999997</v>
      </c>
      <c r="AB427" t="str">
        <f>IF(AA427&gt;=Como_Avaliar!$B$15,"Alta",IF(AA427&gt;=Como_Avaliar!$B$16,"Média","Baixa"))</f>
        <v>Alta</v>
      </c>
    </row>
    <row r="428" spans="1:28" x14ac:dyDescent="0.25">
      <c r="A428" t="s">
        <v>732</v>
      </c>
      <c r="B428" t="s">
        <v>283</v>
      </c>
      <c r="C428" t="s">
        <v>89</v>
      </c>
      <c r="D428" t="s">
        <v>59</v>
      </c>
      <c r="E428" t="s">
        <v>93</v>
      </c>
      <c r="F428">
        <v>29</v>
      </c>
      <c r="G428">
        <v>60</v>
      </c>
      <c r="H428">
        <v>4</v>
      </c>
      <c r="I428" t="s">
        <v>64</v>
      </c>
      <c r="J428" t="s">
        <v>97</v>
      </c>
      <c r="K428" t="s">
        <v>98</v>
      </c>
      <c r="L428" t="s">
        <v>284</v>
      </c>
      <c r="M428">
        <v>1</v>
      </c>
      <c r="N428" t="str">
        <f t="shared" si="72"/>
        <v>3. 16+ anos</v>
      </c>
      <c r="O428" t="str">
        <f t="shared" si="73"/>
        <v>3. 50 a 149</v>
      </c>
      <c r="P428" t="str">
        <f t="shared" si="74"/>
        <v>2. 3 a 5</v>
      </c>
      <c r="Q428">
        <f t="shared" si="75"/>
        <v>1</v>
      </c>
      <c r="R428">
        <f t="shared" si="76"/>
        <v>0</v>
      </c>
      <c r="S428">
        <f t="shared" si="77"/>
        <v>0</v>
      </c>
      <c r="V428" s="18">
        <f t="shared" si="78"/>
        <v>0.43835616438356162</v>
      </c>
      <c r="W428" s="18">
        <f t="shared" si="79"/>
        <v>0.38095238095238093</v>
      </c>
      <c r="X428" s="18">
        <f t="shared" si="80"/>
        <v>0.58992805755395683</v>
      </c>
      <c r="Y428" s="18">
        <f t="shared" si="81"/>
        <v>0.15625</v>
      </c>
      <c r="Z428" s="18">
        <f t="shared" si="82"/>
        <v>0.56634304207119746</v>
      </c>
      <c r="AA428" s="10">
        <f t="shared" si="83"/>
        <v>0.42636592899999998</v>
      </c>
      <c r="AB428" t="str">
        <f>IF(AA428&gt;=Como_Avaliar!$B$15,"Alta",IF(AA428&gt;=Como_Avaliar!$B$16,"Média","Baixa"))</f>
        <v>Média</v>
      </c>
    </row>
    <row r="429" spans="1:28" x14ac:dyDescent="0.25">
      <c r="A429" t="s">
        <v>733</v>
      </c>
      <c r="B429" t="s">
        <v>286</v>
      </c>
      <c r="C429" t="s">
        <v>88</v>
      </c>
      <c r="D429" t="s">
        <v>56</v>
      </c>
      <c r="E429" t="s">
        <v>91</v>
      </c>
      <c r="F429">
        <v>14</v>
      </c>
      <c r="G429">
        <v>12</v>
      </c>
      <c r="H429">
        <v>1</v>
      </c>
      <c r="I429" t="s">
        <v>65</v>
      </c>
      <c r="J429" t="s">
        <v>98</v>
      </c>
      <c r="K429" t="s">
        <v>97</v>
      </c>
      <c r="L429" t="s">
        <v>322</v>
      </c>
      <c r="M429">
        <v>0</v>
      </c>
      <c r="N429" t="str">
        <f t="shared" si="72"/>
        <v>2. 8 a 15 anos</v>
      </c>
      <c r="O429" t="str">
        <f t="shared" si="73"/>
        <v>1. &lt; 20</v>
      </c>
      <c r="P429" t="str">
        <f t="shared" si="74"/>
        <v>1. 1 a 2</v>
      </c>
      <c r="Q429">
        <f t="shared" si="75"/>
        <v>0</v>
      </c>
      <c r="R429">
        <f t="shared" si="76"/>
        <v>0</v>
      </c>
      <c r="S429">
        <f t="shared" si="77"/>
        <v>0</v>
      </c>
      <c r="V429" s="18">
        <f t="shared" si="78"/>
        <v>6.8273092369477914E-2</v>
      </c>
      <c r="W429" s="18">
        <f t="shared" si="79"/>
        <v>8.6792452830188674E-2</v>
      </c>
      <c r="X429" s="18">
        <f t="shared" si="80"/>
        <v>0.10309278350515463</v>
      </c>
      <c r="Y429" s="18">
        <f t="shared" si="81"/>
        <v>0.39751552795031053</v>
      </c>
      <c r="Z429" s="18">
        <f t="shared" si="82"/>
        <v>0.22302158273381295</v>
      </c>
      <c r="AA429" s="10">
        <f t="shared" si="83"/>
        <v>0.17573908790000001</v>
      </c>
      <c r="AB429" t="str">
        <f>IF(AA429&gt;=Como_Avaliar!$B$15,"Alta",IF(AA429&gt;=Como_Avaliar!$B$16,"Média","Baixa"))</f>
        <v>Baixa</v>
      </c>
    </row>
    <row r="430" spans="1:28" x14ac:dyDescent="0.25">
      <c r="A430" t="s">
        <v>734</v>
      </c>
      <c r="B430" t="s">
        <v>426</v>
      </c>
      <c r="C430" t="s">
        <v>84</v>
      </c>
      <c r="D430" t="s">
        <v>59</v>
      </c>
      <c r="E430" t="s">
        <v>93</v>
      </c>
      <c r="F430">
        <v>21</v>
      </c>
      <c r="G430">
        <v>48</v>
      </c>
      <c r="H430">
        <v>3</v>
      </c>
      <c r="I430" t="s">
        <v>62</v>
      </c>
      <c r="J430" t="s">
        <v>98</v>
      </c>
      <c r="K430" t="s">
        <v>97</v>
      </c>
      <c r="L430" t="s">
        <v>322</v>
      </c>
      <c r="M430">
        <v>0</v>
      </c>
      <c r="N430" t="str">
        <f t="shared" si="72"/>
        <v>3. 16+ anos</v>
      </c>
      <c r="O430" t="str">
        <f t="shared" si="73"/>
        <v>2. 20 a 49</v>
      </c>
      <c r="P430" t="str">
        <f t="shared" si="74"/>
        <v>2. 3 a 5</v>
      </c>
      <c r="Q430">
        <f t="shared" si="75"/>
        <v>0</v>
      </c>
      <c r="R430">
        <f t="shared" si="76"/>
        <v>0</v>
      </c>
      <c r="S430">
        <f t="shared" si="77"/>
        <v>0</v>
      </c>
      <c r="V430" s="18">
        <f t="shared" si="78"/>
        <v>0.43835616438356162</v>
      </c>
      <c r="W430" s="18">
        <f t="shared" si="79"/>
        <v>0.38095238095238093</v>
      </c>
      <c r="X430" s="18">
        <f t="shared" si="80"/>
        <v>0.25294117647058822</v>
      </c>
      <c r="Y430" s="18">
        <f t="shared" si="81"/>
        <v>0.37662337662337664</v>
      </c>
      <c r="Z430" s="18">
        <f t="shared" si="82"/>
        <v>0.56634304207119746</v>
      </c>
      <c r="AA430" s="10">
        <f t="shared" si="83"/>
        <v>0.40304322809999998</v>
      </c>
      <c r="AB430" t="str">
        <f>IF(AA430&gt;=Como_Avaliar!$B$15,"Alta",IF(AA430&gt;=Como_Avaliar!$B$16,"Média","Baixa"))</f>
        <v>Média</v>
      </c>
    </row>
    <row r="431" spans="1:28" x14ac:dyDescent="0.25">
      <c r="A431" t="s">
        <v>735</v>
      </c>
      <c r="B431" t="s">
        <v>314</v>
      </c>
      <c r="C431" t="s">
        <v>84</v>
      </c>
      <c r="D431" t="s">
        <v>59</v>
      </c>
      <c r="E431" t="s">
        <v>91</v>
      </c>
      <c r="F431">
        <v>6</v>
      </c>
      <c r="G431">
        <v>61</v>
      </c>
      <c r="H431">
        <v>10</v>
      </c>
      <c r="I431" t="s">
        <v>68</v>
      </c>
      <c r="J431" t="s">
        <v>98</v>
      </c>
      <c r="K431" t="s">
        <v>97</v>
      </c>
      <c r="L431" t="s">
        <v>289</v>
      </c>
      <c r="M431">
        <v>0</v>
      </c>
      <c r="N431" t="str">
        <f t="shared" si="72"/>
        <v>1. &lt; 8 anos</v>
      </c>
      <c r="O431" t="str">
        <f t="shared" si="73"/>
        <v>3. 50 a 149</v>
      </c>
      <c r="P431" t="str">
        <f t="shared" si="74"/>
        <v>3. 6 a 15</v>
      </c>
      <c r="Q431">
        <f t="shared" si="75"/>
        <v>0</v>
      </c>
      <c r="R431">
        <f t="shared" si="76"/>
        <v>1</v>
      </c>
      <c r="S431">
        <f t="shared" si="77"/>
        <v>1</v>
      </c>
      <c r="T431">
        <v>3</v>
      </c>
      <c r="U431" t="s">
        <v>138</v>
      </c>
      <c r="V431" s="18">
        <f t="shared" si="78"/>
        <v>0.43835616438356162</v>
      </c>
      <c r="W431" s="18">
        <f t="shared" si="79"/>
        <v>0.55319148936170215</v>
      </c>
      <c r="X431" s="18">
        <f t="shared" si="80"/>
        <v>0.58992805755395683</v>
      </c>
      <c r="Y431" s="18">
        <f t="shared" si="81"/>
        <v>0.58333333333333337</v>
      </c>
      <c r="Z431" s="18">
        <f t="shared" si="82"/>
        <v>0.22368421052631579</v>
      </c>
      <c r="AA431" s="10">
        <f t="shared" si="83"/>
        <v>0.47769865099999997</v>
      </c>
      <c r="AB431" t="str">
        <f>IF(AA431&gt;=Como_Avaliar!$B$15,"Alta",IF(AA431&gt;=Como_Avaliar!$B$16,"Média","Baixa"))</f>
        <v>Média</v>
      </c>
    </row>
    <row r="432" spans="1:28" x14ac:dyDescent="0.25">
      <c r="A432" t="s">
        <v>736</v>
      </c>
      <c r="B432" t="s">
        <v>286</v>
      </c>
      <c r="C432" t="s">
        <v>88</v>
      </c>
      <c r="D432" t="s">
        <v>57</v>
      </c>
      <c r="E432" t="s">
        <v>90</v>
      </c>
      <c r="F432">
        <v>3</v>
      </c>
      <c r="G432">
        <v>725</v>
      </c>
      <c r="H432">
        <v>97</v>
      </c>
      <c r="I432" t="s">
        <v>65</v>
      </c>
      <c r="J432" t="s">
        <v>97</v>
      </c>
      <c r="K432" t="s">
        <v>97</v>
      </c>
      <c r="L432" t="s">
        <v>322</v>
      </c>
      <c r="M432">
        <v>1</v>
      </c>
      <c r="N432" t="str">
        <f t="shared" si="72"/>
        <v>1. &lt; 8 anos</v>
      </c>
      <c r="O432" t="str">
        <f t="shared" si="73"/>
        <v>4. 150+</v>
      </c>
      <c r="P432" t="str">
        <f t="shared" si="74"/>
        <v>4. 16+</v>
      </c>
      <c r="Q432">
        <f t="shared" si="75"/>
        <v>0</v>
      </c>
      <c r="R432">
        <f t="shared" si="76"/>
        <v>1</v>
      </c>
      <c r="S432">
        <f t="shared" si="77"/>
        <v>0</v>
      </c>
      <c r="V432" s="18">
        <f t="shared" si="78"/>
        <v>1</v>
      </c>
      <c r="W432" s="18">
        <f t="shared" si="79"/>
        <v>0.97272727272727277</v>
      </c>
      <c r="X432" s="18">
        <f t="shared" si="80"/>
        <v>0.97938144329896903</v>
      </c>
      <c r="Y432" s="18">
        <f t="shared" si="81"/>
        <v>0.39751552795031053</v>
      </c>
      <c r="Z432" s="18">
        <f t="shared" si="82"/>
        <v>0.22368421052631579</v>
      </c>
      <c r="AA432" s="10">
        <f t="shared" si="83"/>
        <v>0.71466169089999998</v>
      </c>
      <c r="AB432" t="str">
        <f>IF(AA432&gt;=Como_Avaliar!$B$15,"Alta",IF(AA432&gt;=Como_Avaliar!$B$16,"Média","Baixa"))</f>
        <v>Alta</v>
      </c>
    </row>
    <row r="433" spans="1:28" x14ac:dyDescent="0.25">
      <c r="A433" t="s">
        <v>737</v>
      </c>
      <c r="B433" t="s">
        <v>301</v>
      </c>
      <c r="C433" t="s">
        <v>88</v>
      </c>
      <c r="D433" t="s">
        <v>56</v>
      </c>
      <c r="E433" t="s">
        <v>90</v>
      </c>
      <c r="F433">
        <v>28</v>
      </c>
      <c r="G433">
        <v>18</v>
      </c>
      <c r="H433">
        <v>1</v>
      </c>
      <c r="I433" t="s">
        <v>65</v>
      </c>
      <c r="J433" t="s">
        <v>97</v>
      </c>
      <c r="K433" t="s">
        <v>97</v>
      </c>
      <c r="L433" t="s">
        <v>329</v>
      </c>
      <c r="M433">
        <v>0</v>
      </c>
      <c r="N433" t="str">
        <f t="shared" si="72"/>
        <v>3. 16+ anos</v>
      </c>
      <c r="O433" t="str">
        <f t="shared" si="73"/>
        <v>1. &lt; 20</v>
      </c>
      <c r="P433" t="str">
        <f t="shared" si="74"/>
        <v>1. 1 a 2</v>
      </c>
      <c r="Q433">
        <f t="shared" si="75"/>
        <v>0</v>
      </c>
      <c r="R433">
        <f t="shared" si="76"/>
        <v>0</v>
      </c>
      <c r="S433">
        <f t="shared" si="77"/>
        <v>1</v>
      </c>
      <c r="T433">
        <v>2</v>
      </c>
      <c r="U433" t="s">
        <v>139</v>
      </c>
      <c r="V433" s="18">
        <f t="shared" si="78"/>
        <v>6.8273092369477914E-2</v>
      </c>
      <c r="W433" s="18">
        <f t="shared" si="79"/>
        <v>8.6792452830188674E-2</v>
      </c>
      <c r="X433" s="18">
        <f t="shared" si="80"/>
        <v>0.10309278350515463</v>
      </c>
      <c r="Y433" s="18">
        <f t="shared" si="81"/>
        <v>0.39751552795031053</v>
      </c>
      <c r="Z433" s="18">
        <f t="shared" si="82"/>
        <v>0.56634304207119746</v>
      </c>
      <c r="AA433" s="10">
        <f t="shared" si="83"/>
        <v>0.24440337970000001</v>
      </c>
      <c r="AB433" t="str">
        <f>IF(AA433&gt;=Como_Avaliar!$B$15,"Alta",IF(AA433&gt;=Como_Avaliar!$B$16,"Média","Baixa"))</f>
        <v>Média</v>
      </c>
    </row>
    <row r="434" spans="1:28" x14ac:dyDescent="0.25">
      <c r="A434" t="s">
        <v>738</v>
      </c>
      <c r="B434" t="s">
        <v>286</v>
      </c>
      <c r="C434" t="s">
        <v>88</v>
      </c>
      <c r="D434" t="s">
        <v>56</v>
      </c>
      <c r="E434" t="s">
        <v>94</v>
      </c>
      <c r="F434">
        <v>9</v>
      </c>
      <c r="G434">
        <v>17</v>
      </c>
      <c r="H434">
        <v>1</v>
      </c>
      <c r="I434" t="s">
        <v>65</v>
      </c>
      <c r="J434" t="s">
        <v>97</v>
      </c>
      <c r="K434" t="s">
        <v>97</v>
      </c>
      <c r="L434" t="s">
        <v>284</v>
      </c>
      <c r="M434">
        <v>0</v>
      </c>
      <c r="N434" t="str">
        <f t="shared" si="72"/>
        <v>2. 8 a 15 anos</v>
      </c>
      <c r="O434" t="str">
        <f t="shared" si="73"/>
        <v>1. &lt; 20</v>
      </c>
      <c r="P434" t="str">
        <f t="shared" si="74"/>
        <v>1. 1 a 2</v>
      </c>
      <c r="Q434">
        <f t="shared" si="75"/>
        <v>0</v>
      </c>
      <c r="R434">
        <f t="shared" si="76"/>
        <v>0</v>
      </c>
      <c r="S434">
        <f t="shared" si="77"/>
        <v>1</v>
      </c>
      <c r="T434">
        <v>2</v>
      </c>
      <c r="U434" t="s">
        <v>139</v>
      </c>
      <c r="V434" s="18">
        <f t="shared" si="78"/>
        <v>6.8273092369477914E-2</v>
      </c>
      <c r="W434" s="18">
        <f t="shared" si="79"/>
        <v>8.6792452830188674E-2</v>
      </c>
      <c r="X434" s="18">
        <f t="shared" si="80"/>
        <v>0.10309278350515463</v>
      </c>
      <c r="Y434" s="18">
        <f t="shared" si="81"/>
        <v>0.39751552795031053</v>
      </c>
      <c r="Z434" s="18">
        <f t="shared" si="82"/>
        <v>0.22302158273381295</v>
      </c>
      <c r="AA434" s="10">
        <f t="shared" si="83"/>
        <v>0.17573908790000001</v>
      </c>
      <c r="AB434" t="str">
        <f>IF(AA434&gt;=Como_Avaliar!$B$15,"Alta",IF(AA434&gt;=Como_Avaliar!$B$16,"Média","Baixa"))</f>
        <v>Baixa</v>
      </c>
    </row>
    <row r="435" spans="1:28" x14ac:dyDescent="0.25">
      <c r="A435" t="s">
        <v>739</v>
      </c>
      <c r="B435" t="s">
        <v>321</v>
      </c>
      <c r="C435" t="s">
        <v>86</v>
      </c>
      <c r="D435" t="s">
        <v>56</v>
      </c>
      <c r="E435" t="s">
        <v>91</v>
      </c>
      <c r="F435">
        <v>5</v>
      </c>
      <c r="G435">
        <v>6</v>
      </c>
      <c r="H435">
        <v>2</v>
      </c>
      <c r="I435" t="s">
        <v>64</v>
      </c>
      <c r="J435" t="s">
        <v>97</v>
      </c>
      <c r="K435" t="s">
        <v>98</v>
      </c>
      <c r="L435" t="s">
        <v>322</v>
      </c>
      <c r="M435">
        <v>0</v>
      </c>
      <c r="N435" t="str">
        <f t="shared" si="72"/>
        <v>1. &lt; 8 anos</v>
      </c>
      <c r="O435" t="str">
        <f t="shared" si="73"/>
        <v>1. &lt; 20</v>
      </c>
      <c r="P435" t="str">
        <f t="shared" si="74"/>
        <v>1. 1 a 2</v>
      </c>
      <c r="Q435">
        <f t="shared" si="75"/>
        <v>1</v>
      </c>
      <c r="R435">
        <f t="shared" si="76"/>
        <v>0</v>
      </c>
      <c r="S435">
        <f t="shared" si="77"/>
        <v>0</v>
      </c>
      <c r="V435" s="18">
        <f t="shared" si="78"/>
        <v>6.8273092369477914E-2</v>
      </c>
      <c r="W435" s="18">
        <f t="shared" si="79"/>
        <v>8.6792452830188674E-2</v>
      </c>
      <c r="X435" s="18">
        <f t="shared" si="80"/>
        <v>0.10309278350515463</v>
      </c>
      <c r="Y435" s="18">
        <f t="shared" si="81"/>
        <v>0.15625</v>
      </c>
      <c r="Z435" s="18">
        <f t="shared" si="82"/>
        <v>0.22368421052631579</v>
      </c>
      <c r="AA435" s="10">
        <f t="shared" si="83"/>
        <v>0.1276185078</v>
      </c>
      <c r="AB435" t="str">
        <f>IF(AA435&gt;=Como_Avaliar!$B$15,"Alta",IF(AA435&gt;=Como_Avaliar!$B$16,"Média","Baixa"))</f>
        <v>Baixa</v>
      </c>
    </row>
    <row r="436" spans="1:28" x14ac:dyDescent="0.25">
      <c r="A436" t="s">
        <v>740</v>
      </c>
      <c r="B436" t="s">
        <v>305</v>
      </c>
      <c r="C436" t="s">
        <v>89</v>
      </c>
      <c r="D436" t="s">
        <v>56</v>
      </c>
      <c r="E436" t="s">
        <v>96</v>
      </c>
      <c r="F436">
        <v>24</v>
      </c>
      <c r="G436">
        <v>18</v>
      </c>
      <c r="H436">
        <v>2</v>
      </c>
      <c r="I436" t="s">
        <v>63</v>
      </c>
      <c r="J436" t="s">
        <v>98</v>
      </c>
      <c r="K436" t="s">
        <v>98</v>
      </c>
      <c r="L436" t="s">
        <v>284</v>
      </c>
      <c r="M436">
        <v>0</v>
      </c>
      <c r="N436" t="str">
        <f t="shared" si="72"/>
        <v>3. 16+ anos</v>
      </c>
      <c r="O436" t="str">
        <f t="shared" si="73"/>
        <v>1. &lt; 20</v>
      </c>
      <c r="P436" t="str">
        <f t="shared" si="74"/>
        <v>1. 1 a 2</v>
      </c>
      <c r="Q436">
        <f t="shared" si="75"/>
        <v>1</v>
      </c>
      <c r="R436">
        <f t="shared" si="76"/>
        <v>0</v>
      </c>
      <c r="S436">
        <f t="shared" si="77"/>
        <v>1</v>
      </c>
      <c r="T436">
        <v>2</v>
      </c>
      <c r="U436" t="s">
        <v>139</v>
      </c>
      <c r="V436" s="18">
        <f t="shared" si="78"/>
        <v>6.8273092369477914E-2</v>
      </c>
      <c r="W436" s="18">
        <f t="shared" si="79"/>
        <v>8.6792452830188674E-2</v>
      </c>
      <c r="X436" s="18">
        <f t="shared" si="80"/>
        <v>0.10309278350515463</v>
      </c>
      <c r="Y436" s="18">
        <f t="shared" si="81"/>
        <v>6.5217391304347824E-2</v>
      </c>
      <c r="Z436" s="18">
        <f t="shared" si="82"/>
        <v>0.56634304207119746</v>
      </c>
      <c r="AA436" s="10">
        <f t="shared" si="83"/>
        <v>0.17794375239999999</v>
      </c>
      <c r="AB436" t="str">
        <f>IF(AA436&gt;=Como_Avaliar!$B$15,"Alta",IF(AA436&gt;=Como_Avaliar!$B$16,"Média","Baixa"))</f>
        <v>Baixa</v>
      </c>
    </row>
    <row r="437" spans="1:28" x14ac:dyDescent="0.25">
      <c r="A437" t="s">
        <v>741</v>
      </c>
      <c r="B437" t="s">
        <v>286</v>
      </c>
      <c r="C437" t="s">
        <v>88</v>
      </c>
      <c r="D437" t="s">
        <v>59</v>
      </c>
      <c r="E437" t="s">
        <v>94</v>
      </c>
      <c r="F437">
        <v>29</v>
      </c>
      <c r="G437">
        <v>55</v>
      </c>
      <c r="H437">
        <v>5</v>
      </c>
      <c r="I437" t="s">
        <v>68</v>
      </c>
      <c r="J437" t="s">
        <v>98</v>
      </c>
      <c r="K437" t="s">
        <v>97</v>
      </c>
      <c r="L437" t="s">
        <v>322</v>
      </c>
      <c r="M437">
        <v>1</v>
      </c>
      <c r="N437" t="str">
        <f t="shared" si="72"/>
        <v>3. 16+ anos</v>
      </c>
      <c r="O437" t="str">
        <f t="shared" si="73"/>
        <v>3. 50 a 149</v>
      </c>
      <c r="P437" t="str">
        <f t="shared" si="74"/>
        <v>2. 3 a 5</v>
      </c>
      <c r="Q437">
        <f t="shared" si="75"/>
        <v>0</v>
      </c>
      <c r="R437">
        <f t="shared" si="76"/>
        <v>0</v>
      </c>
      <c r="S437">
        <f t="shared" si="77"/>
        <v>0</v>
      </c>
      <c r="V437" s="18">
        <f t="shared" si="78"/>
        <v>0.43835616438356162</v>
      </c>
      <c r="W437" s="18">
        <f t="shared" si="79"/>
        <v>0.38095238095238093</v>
      </c>
      <c r="X437" s="18">
        <f t="shared" si="80"/>
        <v>0.58992805755395683</v>
      </c>
      <c r="Y437" s="18">
        <f t="shared" si="81"/>
        <v>0.58333333333333337</v>
      </c>
      <c r="Z437" s="18">
        <f t="shared" si="82"/>
        <v>0.56634304207119746</v>
      </c>
      <c r="AA437" s="10">
        <f t="shared" si="83"/>
        <v>0.51178259569999995</v>
      </c>
      <c r="AB437" t="str">
        <f>IF(AA437&gt;=Como_Avaliar!$B$15,"Alta",IF(AA437&gt;=Como_Avaliar!$B$16,"Média","Baixa"))</f>
        <v>Alta</v>
      </c>
    </row>
    <row r="438" spans="1:28" x14ac:dyDescent="0.25">
      <c r="A438" t="s">
        <v>742</v>
      </c>
      <c r="B438" t="s">
        <v>288</v>
      </c>
      <c r="C438" t="s">
        <v>88</v>
      </c>
      <c r="D438" t="s">
        <v>57</v>
      </c>
      <c r="E438" t="s">
        <v>94</v>
      </c>
      <c r="F438">
        <v>17</v>
      </c>
      <c r="G438">
        <v>408</v>
      </c>
      <c r="H438">
        <v>44</v>
      </c>
      <c r="I438" t="s">
        <v>62</v>
      </c>
      <c r="J438" t="s">
        <v>97</v>
      </c>
      <c r="K438" t="s">
        <v>97</v>
      </c>
      <c r="L438" t="s">
        <v>293</v>
      </c>
      <c r="M438">
        <v>1</v>
      </c>
      <c r="N438" t="str">
        <f t="shared" si="72"/>
        <v>3. 16+ anos</v>
      </c>
      <c r="O438" t="str">
        <f t="shared" si="73"/>
        <v>4. 150+</v>
      </c>
      <c r="P438" t="str">
        <f t="shared" si="74"/>
        <v>4. 16+</v>
      </c>
      <c r="Q438">
        <f t="shared" si="75"/>
        <v>0</v>
      </c>
      <c r="R438">
        <f t="shared" si="76"/>
        <v>1</v>
      </c>
      <c r="S438">
        <f t="shared" si="77"/>
        <v>0</v>
      </c>
      <c r="V438" s="18">
        <f t="shared" si="78"/>
        <v>1</v>
      </c>
      <c r="W438" s="18">
        <f t="shared" si="79"/>
        <v>0.97272727272727277</v>
      </c>
      <c r="X438" s="18">
        <f t="shared" si="80"/>
        <v>0.97938144329896903</v>
      </c>
      <c r="Y438" s="18">
        <f t="shared" si="81"/>
        <v>0.37662337662337664</v>
      </c>
      <c r="Z438" s="18">
        <f t="shared" si="82"/>
        <v>0.56634304207119746</v>
      </c>
      <c r="AA438" s="10">
        <f t="shared" si="83"/>
        <v>0.77901502690000002</v>
      </c>
      <c r="AB438" t="str">
        <f>IF(AA438&gt;=Como_Avaliar!$B$15,"Alta",IF(AA438&gt;=Como_Avaliar!$B$16,"Média","Baixa"))</f>
        <v>Alta</v>
      </c>
    </row>
    <row r="439" spans="1:28" x14ac:dyDescent="0.25">
      <c r="A439" t="s">
        <v>743</v>
      </c>
      <c r="B439" t="s">
        <v>327</v>
      </c>
      <c r="C439" t="s">
        <v>86</v>
      </c>
      <c r="D439" t="s">
        <v>58</v>
      </c>
      <c r="E439" t="s">
        <v>91</v>
      </c>
      <c r="F439">
        <v>14</v>
      </c>
      <c r="G439">
        <v>154</v>
      </c>
      <c r="H439">
        <v>21</v>
      </c>
      <c r="I439" t="s">
        <v>60</v>
      </c>
      <c r="J439" t="s">
        <v>97</v>
      </c>
      <c r="K439" t="s">
        <v>97</v>
      </c>
      <c r="L439" t="s">
        <v>293</v>
      </c>
      <c r="M439">
        <v>1</v>
      </c>
      <c r="N439" t="str">
        <f t="shared" si="72"/>
        <v>2. 8 a 15 anos</v>
      </c>
      <c r="O439" t="str">
        <f t="shared" si="73"/>
        <v>4. 150+</v>
      </c>
      <c r="P439" t="str">
        <f t="shared" si="74"/>
        <v>4. 16+</v>
      </c>
      <c r="Q439">
        <f t="shared" si="75"/>
        <v>0</v>
      </c>
      <c r="R439">
        <f t="shared" si="76"/>
        <v>1</v>
      </c>
      <c r="S439">
        <f t="shared" si="77"/>
        <v>0</v>
      </c>
      <c r="V439" s="18">
        <f t="shared" si="78"/>
        <v>0.93975903614457834</v>
      </c>
      <c r="W439" s="18">
        <f t="shared" si="79"/>
        <v>0.97272727272727277</v>
      </c>
      <c r="X439" s="18">
        <f t="shared" si="80"/>
        <v>0.97938144329896903</v>
      </c>
      <c r="Y439" s="18">
        <f t="shared" si="81"/>
        <v>0.65217391304347827</v>
      </c>
      <c r="Z439" s="18">
        <f t="shared" si="82"/>
        <v>0.22302158273381295</v>
      </c>
      <c r="AA439" s="10">
        <f t="shared" si="83"/>
        <v>0.75341264959999998</v>
      </c>
      <c r="AB439" t="str">
        <f>IF(AA439&gt;=Como_Avaliar!$B$15,"Alta",IF(AA439&gt;=Como_Avaliar!$B$16,"Média","Baixa"))</f>
        <v>Alta</v>
      </c>
    </row>
    <row r="440" spans="1:28" x14ac:dyDescent="0.25">
      <c r="A440" t="s">
        <v>744</v>
      </c>
      <c r="B440" t="s">
        <v>381</v>
      </c>
      <c r="C440" t="s">
        <v>88</v>
      </c>
      <c r="D440" t="s">
        <v>57</v>
      </c>
      <c r="E440" t="s">
        <v>91</v>
      </c>
      <c r="F440">
        <v>21</v>
      </c>
      <c r="G440">
        <v>520</v>
      </c>
      <c r="H440">
        <v>81</v>
      </c>
      <c r="I440" t="s">
        <v>68</v>
      </c>
      <c r="J440" t="s">
        <v>98</v>
      </c>
      <c r="K440" t="s">
        <v>98</v>
      </c>
      <c r="L440" t="s">
        <v>322</v>
      </c>
      <c r="M440">
        <v>1</v>
      </c>
      <c r="N440" t="str">
        <f t="shared" si="72"/>
        <v>3. 16+ anos</v>
      </c>
      <c r="O440" t="str">
        <f t="shared" si="73"/>
        <v>4. 150+</v>
      </c>
      <c r="P440" t="str">
        <f t="shared" si="74"/>
        <v>4. 16+</v>
      </c>
      <c r="Q440">
        <f t="shared" si="75"/>
        <v>0</v>
      </c>
      <c r="R440">
        <f t="shared" si="76"/>
        <v>1</v>
      </c>
      <c r="S440">
        <f t="shared" si="77"/>
        <v>0</v>
      </c>
      <c r="V440" s="18">
        <f t="shared" si="78"/>
        <v>1</v>
      </c>
      <c r="W440" s="18">
        <f t="shared" si="79"/>
        <v>0.97272727272727277</v>
      </c>
      <c r="X440" s="18">
        <f t="shared" si="80"/>
        <v>0.97938144329896903</v>
      </c>
      <c r="Y440" s="18">
        <f t="shared" si="81"/>
        <v>0.58333333333333337</v>
      </c>
      <c r="Z440" s="18">
        <f t="shared" si="82"/>
        <v>0.56634304207119746</v>
      </c>
      <c r="AA440" s="10">
        <f t="shared" si="83"/>
        <v>0.82035701829999996</v>
      </c>
      <c r="AB440" t="str">
        <f>IF(AA440&gt;=Como_Avaliar!$B$15,"Alta",IF(AA440&gt;=Como_Avaliar!$B$16,"Média","Baixa"))</f>
        <v>Alta</v>
      </c>
    </row>
    <row r="441" spans="1:28" x14ac:dyDescent="0.25">
      <c r="A441" t="s">
        <v>745</v>
      </c>
      <c r="B441" t="s">
        <v>314</v>
      </c>
      <c r="C441" t="s">
        <v>84</v>
      </c>
      <c r="D441" t="s">
        <v>57</v>
      </c>
      <c r="E441" t="s">
        <v>94</v>
      </c>
      <c r="F441">
        <v>3</v>
      </c>
      <c r="G441">
        <v>623</v>
      </c>
      <c r="H441">
        <v>52</v>
      </c>
      <c r="I441" t="s">
        <v>62</v>
      </c>
      <c r="J441" t="s">
        <v>97</v>
      </c>
      <c r="K441" t="s">
        <v>97</v>
      </c>
      <c r="L441" t="s">
        <v>289</v>
      </c>
      <c r="M441">
        <v>1</v>
      </c>
      <c r="N441" t="str">
        <f t="shared" si="72"/>
        <v>1. &lt; 8 anos</v>
      </c>
      <c r="O441" t="str">
        <f t="shared" si="73"/>
        <v>4. 150+</v>
      </c>
      <c r="P441" t="str">
        <f t="shared" si="74"/>
        <v>4. 16+</v>
      </c>
      <c r="Q441">
        <f t="shared" si="75"/>
        <v>0</v>
      </c>
      <c r="R441">
        <f t="shared" si="76"/>
        <v>1</v>
      </c>
      <c r="S441">
        <f t="shared" si="77"/>
        <v>0</v>
      </c>
      <c r="V441" s="18">
        <f t="shared" si="78"/>
        <v>1</v>
      </c>
      <c r="W441" s="18">
        <f t="shared" si="79"/>
        <v>0.97272727272727277</v>
      </c>
      <c r="X441" s="18">
        <f t="shared" si="80"/>
        <v>0.97938144329896903</v>
      </c>
      <c r="Y441" s="18">
        <f t="shared" si="81"/>
        <v>0.37662337662337664</v>
      </c>
      <c r="Z441" s="18">
        <f t="shared" si="82"/>
        <v>0.22368421052631579</v>
      </c>
      <c r="AA441" s="10">
        <f t="shared" si="83"/>
        <v>0.7104832606</v>
      </c>
      <c r="AB441" t="str">
        <f>IF(AA441&gt;=Como_Avaliar!$B$15,"Alta",IF(AA441&gt;=Como_Avaliar!$B$16,"Média","Baixa"))</f>
        <v>Alta</v>
      </c>
    </row>
    <row r="442" spans="1:28" x14ac:dyDescent="0.25">
      <c r="A442" t="s">
        <v>746</v>
      </c>
      <c r="B442" t="s">
        <v>295</v>
      </c>
      <c r="C442" t="s">
        <v>84</v>
      </c>
      <c r="D442" t="s">
        <v>59</v>
      </c>
      <c r="E442" t="s">
        <v>92</v>
      </c>
      <c r="F442">
        <v>28</v>
      </c>
      <c r="G442">
        <v>20</v>
      </c>
      <c r="H442">
        <v>3</v>
      </c>
      <c r="I442" t="s">
        <v>62</v>
      </c>
      <c r="J442" t="s">
        <v>98</v>
      </c>
      <c r="K442" t="s">
        <v>97</v>
      </c>
      <c r="L442" t="s">
        <v>298</v>
      </c>
      <c r="M442">
        <v>1</v>
      </c>
      <c r="N442" t="str">
        <f t="shared" si="72"/>
        <v>3. 16+ anos</v>
      </c>
      <c r="O442" t="str">
        <f t="shared" si="73"/>
        <v>2. 20 a 49</v>
      </c>
      <c r="P442" t="str">
        <f t="shared" si="74"/>
        <v>2. 3 a 5</v>
      </c>
      <c r="Q442">
        <f t="shared" si="75"/>
        <v>0</v>
      </c>
      <c r="R442">
        <f t="shared" si="76"/>
        <v>0</v>
      </c>
      <c r="S442">
        <f t="shared" si="77"/>
        <v>0</v>
      </c>
      <c r="V442" s="18">
        <f t="shared" si="78"/>
        <v>0.43835616438356162</v>
      </c>
      <c r="W442" s="18">
        <f t="shared" si="79"/>
        <v>0.38095238095238093</v>
      </c>
      <c r="X442" s="18">
        <f t="shared" si="80"/>
        <v>0.25294117647058822</v>
      </c>
      <c r="Y442" s="18">
        <f t="shared" si="81"/>
        <v>0.37662337662337664</v>
      </c>
      <c r="Z442" s="18">
        <f t="shared" si="82"/>
        <v>0.56634304207119746</v>
      </c>
      <c r="AA442" s="10">
        <f t="shared" si="83"/>
        <v>0.40304322809999998</v>
      </c>
      <c r="AB442" t="str">
        <f>IF(AA442&gt;=Como_Avaliar!$B$15,"Alta",IF(AA442&gt;=Como_Avaliar!$B$16,"Média","Baixa"))</f>
        <v>Média</v>
      </c>
    </row>
    <row r="443" spans="1:28" x14ac:dyDescent="0.25">
      <c r="A443" t="s">
        <v>747</v>
      </c>
      <c r="B443" t="s">
        <v>363</v>
      </c>
      <c r="C443" t="s">
        <v>87</v>
      </c>
      <c r="D443" t="s">
        <v>59</v>
      </c>
      <c r="E443" t="s">
        <v>96</v>
      </c>
      <c r="F443">
        <v>1</v>
      </c>
      <c r="G443">
        <v>43</v>
      </c>
      <c r="H443">
        <v>3</v>
      </c>
      <c r="I443" t="s">
        <v>62</v>
      </c>
      <c r="J443" t="s">
        <v>97</v>
      </c>
      <c r="K443" t="s">
        <v>98</v>
      </c>
      <c r="L443" t="s">
        <v>284</v>
      </c>
      <c r="M443">
        <v>0</v>
      </c>
      <c r="N443" t="str">
        <f t="shared" si="72"/>
        <v>1. &lt; 8 anos</v>
      </c>
      <c r="O443" t="str">
        <f t="shared" si="73"/>
        <v>2. 20 a 49</v>
      </c>
      <c r="P443" t="str">
        <f t="shared" si="74"/>
        <v>2. 3 a 5</v>
      </c>
      <c r="Q443">
        <f t="shared" si="75"/>
        <v>0</v>
      </c>
      <c r="R443">
        <f t="shared" si="76"/>
        <v>0</v>
      </c>
      <c r="S443">
        <f t="shared" si="77"/>
        <v>1</v>
      </c>
      <c r="T443">
        <v>3</v>
      </c>
      <c r="U443" t="s">
        <v>138</v>
      </c>
      <c r="V443" s="18">
        <f t="shared" si="78"/>
        <v>0.43835616438356162</v>
      </c>
      <c r="W443" s="18">
        <f t="shared" si="79"/>
        <v>0.38095238095238093</v>
      </c>
      <c r="X443" s="18">
        <f t="shared" si="80"/>
        <v>0.25294117647058822</v>
      </c>
      <c r="Y443" s="18">
        <f t="shared" si="81"/>
        <v>0.37662337662337664</v>
      </c>
      <c r="Z443" s="18">
        <f t="shared" si="82"/>
        <v>0.22368421052631579</v>
      </c>
      <c r="AA443" s="10">
        <f t="shared" si="83"/>
        <v>0.33451146180000002</v>
      </c>
      <c r="AB443" t="str">
        <f>IF(AA443&gt;=Como_Avaliar!$B$15,"Alta",IF(AA443&gt;=Como_Avaliar!$B$16,"Média","Baixa"))</f>
        <v>Média</v>
      </c>
    </row>
    <row r="444" spans="1:28" x14ac:dyDescent="0.25">
      <c r="A444" t="s">
        <v>748</v>
      </c>
      <c r="B444" t="s">
        <v>312</v>
      </c>
      <c r="C444" t="s">
        <v>89</v>
      </c>
      <c r="D444" t="s">
        <v>59</v>
      </c>
      <c r="E444" t="s">
        <v>93</v>
      </c>
      <c r="F444">
        <v>20</v>
      </c>
      <c r="G444">
        <v>33</v>
      </c>
      <c r="H444">
        <v>4</v>
      </c>
      <c r="I444" t="s">
        <v>62</v>
      </c>
      <c r="J444" t="s">
        <v>97</v>
      </c>
      <c r="K444" t="s">
        <v>98</v>
      </c>
      <c r="L444" t="s">
        <v>298</v>
      </c>
      <c r="M444">
        <v>1</v>
      </c>
      <c r="N444" t="str">
        <f t="shared" si="72"/>
        <v>3. 16+ anos</v>
      </c>
      <c r="O444" t="str">
        <f t="shared" si="73"/>
        <v>2. 20 a 49</v>
      </c>
      <c r="P444" t="str">
        <f t="shared" si="74"/>
        <v>2. 3 a 5</v>
      </c>
      <c r="Q444">
        <f t="shared" si="75"/>
        <v>0</v>
      </c>
      <c r="R444">
        <f t="shared" si="76"/>
        <v>0</v>
      </c>
      <c r="S444">
        <f t="shared" si="77"/>
        <v>0</v>
      </c>
      <c r="V444" s="18">
        <f t="shared" si="78"/>
        <v>0.43835616438356162</v>
      </c>
      <c r="W444" s="18">
        <f t="shared" si="79"/>
        <v>0.38095238095238093</v>
      </c>
      <c r="X444" s="18">
        <f t="shared" si="80"/>
        <v>0.25294117647058822</v>
      </c>
      <c r="Y444" s="18">
        <f t="shared" si="81"/>
        <v>0.37662337662337664</v>
      </c>
      <c r="Z444" s="18">
        <f t="shared" si="82"/>
        <v>0.56634304207119746</v>
      </c>
      <c r="AA444" s="10">
        <f t="shared" si="83"/>
        <v>0.40304322809999998</v>
      </c>
      <c r="AB444" t="str">
        <f>IF(AA444&gt;=Como_Avaliar!$B$15,"Alta",IF(AA444&gt;=Como_Avaliar!$B$16,"Média","Baixa"))</f>
        <v>Média</v>
      </c>
    </row>
    <row r="445" spans="1:28" x14ac:dyDescent="0.25">
      <c r="A445" t="s">
        <v>749</v>
      </c>
      <c r="B445" t="s">
        <v>321</v>
      </c>
      <c r="C445" t="s">
        <v>86</v>
      </c>
      <c r="D445" t="s">
        <v>56</v>
      </c>
      <c r="E445" t="s">
        <v>90</v>
      </c>
      <c r="F445">
        <v>29</v>
      </c>
      <c r="G445">
        <v>3</v>
      </c>
      <c r="H445">
        <v>1</v>
      </c>
      <c r="I445" t="s">
        <v>64</v>
      </c>
      <c r="J445" t="s">
        <v>98</v>
      </c>
      <c r="K445" t="s">
        <v>98</v>
      </c>
      <c r="L445" t="s">
        <v>284</v>
      </c>
      <c r="M445">
        <v>0</v>
      </c>
      <c r="N445" t="str">
        <f t="shared" si="72"/>
        <v>3. 16+ anos</v>
      </c>
      <c r="O445" t="str">
        <f t="shared" si="73"/>
        <v>1. &lt; 20</v>
      </c>
      <c r="P445" t="str">
        <f t="shared" si="74"/>
        <v>1. 1 a 2</v>
      </c>
      <c r="Q445">
        <f t="shared" si="75"/>
        <v>1</v>
      </c>
      <c r="R445">
        <f t="shared" si="76"/>
        <v>0</v>
      </c>
      <c r="S445">
        <f t="shared" si="77"/>
        <v>1</v>
      </c>
      <c r="T445">
        <v>1</v>
      </c>
      <c r="U445" t="s">
        <v>139</v>
      </c>
      <c r="V445" s="18">
        <f t="shared" si="78"/>
        <v>6.8273092369477914E-2</v>
      </c>
      <c r="W445" s="18">
        <f t="shared" si="79"/>
        <v>8.6792452830188674E-2</v>
      </c>
      <c r="X445" s="18">
        <f t="shared" si="80"/>
        <v>0.10309278350515463</v>
      </c>
      <c r="Y445" s="18">
        <f t="shared" si="81"/>
        <v>0.15625</v>
      </c>
      <c r="Z445" s="18">
        <f t="shared" si="82"/>
        <v>0.56634304207119746</v>
      </c>
      <c r="AA445" s="10">
        <f t="shared" si="83"/>
        <v>0.1961502742</v>
      </c>
      <c r="AB445" t="str">
        <f>IF(AA445&gt;=Como_Avaliar!$B$15,"Alta",IF(AA445&gt;=Como_Avaliar!$B$16,"Média","Baixa"))</f>
        <v>Baixa</v>
      </c>
    </row>
    <row r="446" spans="1:28" x14ac:dyDescent="0.25">
      <c r="A446" t="s">
        <v>750</v>
      </c>
      <c r="B446" t="s">
        <v>297</v>
      </c>
      <c r="C446" t="s">
        <v>86</v>
      </c>
      <c r="D446" t="s">
        <v>56</v>
      </c>
      <c r="E446" t="s">
        <v>96</v>
      </c>
      <c r="F446">
        <v>21</v>
      </c>
      <c r="G446">
        <v>11</v>
      </c>
      <c r="H446">
        <v>2</v>
      </c>
      <c r="I446" t="s">
        <v>63</v>
      </c>
      <c r="J446" t="s">
        <v>97</v>
      </c>
      <c r="K446" t="s">
        <v>97</v>
      </c>
      <c r="L446" t="s">
        <v>322</v>
      </c>
      <c r="M446">
        <v>0</v>
      </c>
      <c r="N446" t="str">
        <f t="shared" si="72"/>
        <v>3. 16+ anos</v>
      </c>
      <c r="O446" t="str">
        <f t="shared" si="73"/>
        <v>1. &lt; 20</v>
      </c>
      <c r="P446" t="str">
        <f t="shared" si="74"/>
        <v>1. 1 a 2</v>
      </c>
      <c r="Q446">
        <f t="shared" si="75"/>
        <v>1</v>
      </c>
      <c r="R446">
        <f t="shared" si="76"/>
        <v>0</v>
      </c>
      <c r="S446">
        <f t="shared" si="77"/>
        <v>0</v>
      </c>
      <c r="V446" s="18">
        <f t="shared" si="78"/>
        <v>6.8273092369477914E-2</v>
      </c>
      <c r="W446" s="18">
        <f t="shared" si="79"/>
        <v>8.6792452830188674E-2</v>
      </c>
      <c r="X446" s="18">
        <f t="shared" si="80"/>
        <v>0.10309278350515463</v>
      </c>
      <c r="Y446" s="18">
        <f t="shared" si="81"/>
        <v>6.5217391304347824E-2</v>
      </c>
      <c r="Z446" s="18">
        <f t="shared" si="82"/>
        <v>0.56634304207119746</v>
      </c>
      <c r="AA446" s="10">
        <f t="shared" si="83"/>
        <v>0.17794375239999999</v>
      </c>
      <c r="AB446" t="str">
        <f>IF(AA446&gt;=Como_Avaliar!$B$15,"Alta",IF(AA446&gt;=Como_Avaliar!$B$16,"Média","Baixa"))</f>
        <v>Baixa</v>
      </c>
    </row>
    <row r="447" spans="1:28" x14ac:dyDescent="0.25">
      <c r="A447" t="s">
        <v>751</v>
      </c>
      <c r="B447" t="s">
        <v>283</v>
      </c>
      <c r="C447" t="s">
        <v>89</v>
      </c>
      <c r="D447" t="s">
        <v>56</v>
      </c>
      <c r="E447" t="s">
        <v>91</v>
      </c>
      <c r="F447">
        <v>23</v>
      </c>
      <c r="G447">
        <v>20</v>
      </c>
      <c r="H447">
        <v>2</v>
      </c>
      <c r="I447" t="s">
        <v>62</v>
      </c>
      <c r="J447" t="s">
        <v>97</v>
      </c>
      <c r="K447" t="s">
        <v>97</v>
      </c>
      <c r="L447" t="s">
        <v>329</v>
      </c>
      <c r="M447">
        <v>0</v>
      </c>
      <c r="N447" t="str">
        <f t="shared" si="72"/>
        <v>3. 16+ anos</v>
      </c>
      <c r="O447" t="str">
        <f t="shared" si="73"/>
        <v>2. 20 a 49</v>
      </c>
      <c r="P447" t="str">
        <f t="shared" si="74"/>
        <v>1. 1 a 2</v>
      </c>
      <c r="Q447">
        <f t="shared" si="75"/>
        <v>0</v>
      </c>
      <c r="R447">
        <f t="shared" si="76"/>
        <v>0</v>
      </c>
      <c r="S447">
        <f t="shared" si="77"/>
        <v>1</v>
      </c>
      <c r="T447">
        <v>2</v>
      </c>
      <c r="U447" t="s">
        <v>139</v>
      </c>
      <c r="V447" s="18">
        <f t="shared" si="78"/>
        <v>6.8273092369477914E-2</v>
      </c>
      <c r="W447" s="18">
        <f t="shared" si="79"/>
        <v>8.6792452830188674E-2</v>
      </c>
      <c r="X447" s="18">
        <f t="shared" si="80"/>
        <v>0.25294117647058822</v>
      </c>
      <c r="Y447" s="18">
        <f t="shared" si="81"/>
        <v>0.37662337662337664</v>
      </c>
      <c r="Z447" s="18">
        <f t="shared" si="82"/>
        <v>0.56634304207119746</v>
      </c>
      <c r="AA447" s="10">
        <f t="shared" si="83"/>
        <v>0.2701946281</v>
      </c>
      <c r="AB447" t="str">
        <f>IF(AA447&gt;=Como_Avaliar!$B$15,"Alta",IF(AA447&gt;=Como_Avaliar!$B$16,"Média","Baixa"))</f>
        <v>Média</v>
      </c>
    </row>
    <row r="448" spans="1:28" x14ac:dyDescent="0.25">
      <c r="A448" t="s">
        <v>752</v>
      </c>
      <c r="B448" t="s">
        <v>292</v>
      </c>
      <c r="C448" t="s">
        <v>84</v>
      </c>
      <c r="D448" t="s">
        <v>59</v>
      </c>
      <c r="E448" t="s">
        <v>90</v>
      </c>
      <c r="F448">
        <v>1</v>
      </c>
      <c r="G448">
        <v>68</v>
      </c>
      <c r="H448">
        <v>8</v>
      </c>
      <c r="I448" t="s">
        <v>62</v>
      </c>
      <c r="J448" t="s">
        <v>97</v>
      </c>
      <c r="K448" t="s">
        <v>97</v>
      </c>
      <c r="L448" t="s">
        <v>289</v>
      </c>
      <c r="M448">
        <v>0</v>
      </c>
      <c r="N448" t="str">
        <f t="shared" si="72"/>
        <v>1. &lt; 8 anos</v>
      </c>
      <c r="O448" t="str">
        <f t="shared" si="73"/>
        <v>3. 50 a 149</v>
      </c>
      <c r="P448" t="str">
        <f t="shared" si="74"/>
        <v>3. 6 a 15</v>
      </c>
      <c r="Q448">
        <f t="shared" si="75"/>
        <v>0</v>
      </c>
      <c r="R448">
        <f t="shared" si="76"/>
        <v>1</v>
      </c>
      <c r="S448">
        <f t="shared" si="77"/>
        <v>1</v>
      </c>
      <c r="T448">
        <v>4</v>
      </c>
      <c r="U448" t="s">
        <v>137</v>
      </c>
      <c r="V448" s="18">
        <f t="shared" si="78"/>
        <v>0.43835616438356162</v>
      </c>
      <c r="W448" s="18">
        <f t="shared" si="79"/>
        <v>0.55319148936170215</v>
      </c>
      <c r="X448" s="18">
        <f t="shared" si="80"/>
        <v>0.58992805755395683</v>
      </c>
      <c r="Y448" s="18">
        <f t="shared" si="81"/>
        <v>0.37662337662337664</v>
      </c>
      <c r="Z448" s="18">
        <f t="shared" si="82"/>
        <v>0.22368421052631579</v>
      </c>
      <c r="AA448" s="10">
        <f t="shared" si="83"/>
        <v>0.43635665969999998</v>
      </c>
      <c r="AB448" t="str">
        <f>IF(AA448&gt;=Como_Avaliar!$B$15,"Alta",IF(AA448&gt;=Como_Avaliar!$B$16,"Média","Baixa"))</f>
        <v>Média</v>
      </c>
    </row>
    <row r="449" spans="1:28" x14ac:dyDescent="0.25">
      <c r="A449" t="s">
        <v>753</v>
      </c>
      <c r="B449" t="s">
        <v>305</v>
      </c>
      <c r="C449" t="s">
        <v>89</v>
      </c>
      <c r="D449" t="s">
        <v>59</v>
      </c>
      <c r="E449" t="s">
        <v>93</v>
      </c>
      <c r="F449">
        <v>3</v>
      </c>
      <c r="G449">
        <v>52</v>
      </c>
      <c r="H449">
        <v>7</v>
      </c>
      <c r="I449" t="s">
        <v>62</v>
      </c>
      <c r="J449" t="s">
        <v>97</v>
      </c>
      <c r="K449" t="s">
        <v>97</v>
      </c>
      <c r="L449" t="s">
        <v>289</v>
      </c>
      <c r="M449">
        <v>0</v>
      </c>
      <c r="N449" t="str">
        <f t="shared" si="72"/>
        <v>1. &lt; 8 anos</v>
      </c>
      <c r="O449" t="str">
        <f t="shared" si="73"/>
        <v>3. 50 a 149</v>
      </c>
      <c r="P449" t="str">
        <f t="shared" si="74"/>
        <v>3. 6 a 15</v>
      </c>
      <c r="Q449">
        <f t="shared" si="75"/>
        <v>0</v>
      </c>
      <c r="R449">
        <f t="shared" si="76"/>
        <v>1</v>
      </c>
      <c r="S449">
        <f t="shared" si="77"/>
        <v>1</v>
      </c>
      <c r="T449">
        <v>4</v>
      </c>
      <c r="U449" t="s">
        <v>137</v>
      </c>
      <c r="V449" s="18">
        <f t="shared" si="78"/>
        <v>0.43835616438356162</v>
      </c>
      <c r="W449" s="18">
        <f t="shared" si="79"/>
        <v>0.55319148936170215</v>
      </c>
      <c r="X449" s="18">
        <f t="shared" si="80"/>
        <v>0.58992805755395683</v>
      </c>
      <c r="Y449" s="18">
        <f t="shared" si="81"/>
        <v>0.37662337662337664</v>
      </c>
      <c r="Z449" s="18">
        <f t="shared" si="82"/>
        <v>0.22368421052631579</v>
      </c>
      <c r="AA449" s="10">
        <f t="shared" si="83"/>
        <v>0.43635665969999998</v>
      </c>
      <c r="AB449" t="str">
        <f>IF(AA449&gt;=Como_Avaliar!$B$15,"Alta",IF(AA449&gt;=Como_Avaliar!$B$16,"Média","Baixa"))</f>
        <v>Média</v>
      </c>
    </row>
    <row r="450" spans="1:28" x14ac:dyDescent="0.25">
      <c r="A450" t="s">
        <v>754</v>
      </c>
      <c r="B450" t="s">
        <v>327</v>
      </c>
      <c r="C450" t="s">
        <v>86</v>
      </c>
      <c r="D450" t="s">
        <v>56</v>
      </c>
      <c r="E450" t="s">
        <v>96</v>
      </c>
      <c r="F450">
        <v>18</v>
      </c>
      <c r="G450">
        <v>7</v>
      </c>
      <c r="H450">
        <v>1</v>
      </c>
      <c r="I450" t="s">
        <v>63</v>
      </c>
      <c r="J450" t="s">
        <v>98</v>
      </c>
      <c r="K450" t="s">
        <v>98</v>
      </c>
      <c r="L450" t="s">
        <v>289</v>
      </c>
      <c r="M450">
        <v>0</v>
      </c>
      <c r="N450" t="str">
        <f t="shared" ref="N450:N513" si="84">IF(F450&lt;8,"1. &lt; 8 anos",IF(F450&lt;16,"2. 8 a 15 anos","3. 16+ anos"))</f>
        <v>3. 16+ anos</v>
      </c>
      <c r="O450" t="str">
        <f t="shared" ref="O450:O513" si="85">IF(G450&lt;20,"1. &lt; 20",IF(G450&lt;50,"2. 20 a 49",IF(G450&lt;150,"3. 50 a 149","4. 150+")))</f>
        <v>1. &lt; 20</v>
      </c>
      <c r="P450" t="str">
        <f t="shared" ref="P450:P513" si="86">IF(H450&lt;=2,"1. 1 a 2",IF(H450&lt;=5,"2. 3 a 5",IF(H450&lt;=15,"3. 6 a 15","4. 16+")))</f>
        <v>1. 1 a 2</v>
      </c>
      <c r="Q450">
        <f t="shared" ref="Q450:Q513" si="87">IF(OR(I450="Nenhum",I450="Planilha",I450="ContaAzul"),1,0)</f>
        <v>1</v>
      </c>
      <c r="R450">
        <f t="shared" ref="R450:R513" si="88">IF(AND(G450&gt;=50,H450&gt;=6,Q450=0),1,0)</f>
        <v>0</v>
      </c>
      <c r="S450">
        <f t="shared" ref="S450:S513" si="89">IF(AND(L450&lt;&gt;"Cliente Ativo",M450=0),1,0)</f>
        <v>1</v>
      </c>
      <c r="T450">
        <v>1</v>
      </c>
      <c r="U450" t="s">
        <v>139</v>
      </c>
      <c r="V450" s="18">
        <f t="shared" ref="V450:V513" si="90">AVERAGEIF($D$2:$D$601,D450,$M$2:$M$601)</f>
        <v>6.8273092369477914E-2</v>
      </c>
      <c r="W450" s="18">
        <f t="shared" ref="W450:W513" si="91">AVERAGEIF($P$2:$P$601,P450,$M$2:$M$601)</f>
        <v>8.6792452830188674E-2</v>
      </c>
      <c r="X450" s="18">
        <f t="shared" ref="X450:X513" si="92">AVERAGEIF($O$2:$O$601,O450,$M$2:$M$601)</f>
        <v>0.10309278350515463</v>
      </c>
      <c r="Y450" s="18">
        <f t="shared" ref="Y450:Y513" si="93">AVERAGEIF($I$2:$I$601,I450,$M$2:$M$601)</f>
        <v>6.5217391304347824E-2</v>
      </c>
      <c r="Z450" s="18">
        <f t="shared" ref="Z450:Z513" si="94">AVERAGEIF($N$2:$N$601,N450,$M$2:$M$601)</f>
        <v>0.56634304207119746</v>
      </c>
      <c r="AA450" s="10">
        <f t="shared" ref="AA450:AA513" si="95">ROUND(AVERAGE(V450:Z450),10)</f>
        <v>0.17794375239999999</v>
      </c>
      <c r="AB450" t="str">
        <f>IF(AA450&gt;=Como_Avaliar!$B$15,"Alta",IF(AA450&gt;=Como_Avaliar!$B$16,"Média","Baixa"))</f>
        <v>Baixa</v>
      </c>
    </row>
    <row r="451" spans="1:28" x14ac:dyDescent="0.25">
      <c r="A451" t="s">
        <v>755</v>
      </c>
      <c r="B451" t="s">
        <v>305</v>
      </c>
      <c r="C451" t="s">
        <v>89</v>
      </c>
      <c r="D451" t="s">
        <v>56</v>
      </c>
      <c r="E451" t="s">
        <v>95</v>
      </c>
      <c r="F451">
        <v>25</v>
      </c>
      <c r="G451">
        <v>9</v>
      </c>
      <c r="H451">
        <v>1</v>
      </c>
      <c r="I451" t="s">
        <v>63</v>
      </c>
      <c r="J451" t="s">
        <v>97</v>
      </c>
      <c r="K451" t="s">
        <v>97</v>
      </c>
      <c r="L451" t="s">
        <v>322</v>
      </c>
      <c r="M451">
        <v>1</v>
      </c>
      <c r="N451" t="str">
        <f t="shared" si="84"/>
        <v>3. 16+ anos</v>
      </c>
      <c r="O451" t="str">
        <f t="shared" si="85"/>
        <v>1. &lt; 20</v>
      </c>
      <c r="P451" t="str">
        <f t="shared" si="86"/>
        <v>1. 1 a 2</v>
      </c>
      <c r="Q451">
        <f t="shared" si="87"/>
        <v>1</v>
      </c>
      <c r="R451">
        <f t="shared" si="88"/>
        <v>0</v>
      </c>
      <c r="S451">
        <f t="shared" si="89"/>
        <v>0</v>
      </c>
      <c r="V451" s="18">
        <f t="shared" si="90"/>
        <v>6.8273092369477914E-2</v>
      </c>
      <c r="W451" s="18">
        <f t="shared" si="91"/>
        <v>8.6792452830188674E-2</v>
      </c>
      <c r="X451" s="18">
        <f t="shared" si="92"/>
        <v>0.10309278350515463</v>
      </c>
      <c r="Y451" s="18">
        <f t="shared" si="93"/>
        <v>6.5217391304347824E-2</v>
      </c>
      <c r="Z451" s="18">
        <f t="shared" si="94"/>
        <v>0.56634304207119746</v>
      </c>
      <c r="AA451" s="10">
        <f t="shared" si="95"/>
        <v>0.17794375239999999</v>
      </c>
      <c r="AB451" t="str">
        <f>IF(AA451&gt;=Como_Avaliar!$B$15,"Alta",IF(AA451&gt;=Como_Avaliar!$B$16,"Média","Baixa"))</f>
        <v>Baixa</v>
      </c>
    </row>
    <row r="452" spans="1:28" x14ac:dyDescent="0.25">
      <c r="A452" t="s">
        <v>756</v>
      </c>
      <c r="B452" t="s">
        <v>297</v>
      </c>
      <c r="C452" t="s">
        <v>86</v>
      </c>
      <c r="D452" t="s">
        <v>56</v>
      </c>
      <c r="E452" t="s">
        <v>96</v>
      </c>
      <c r="F452">
        <v>10</v>
      </c>
      <c r="G452">
        <v>13</v>
      </c>
      <c r="H452">
        <v>2</v>
      </c>
      <c r="I452" t="s">
        <v>62</v>
      </c>
      <c r="J452" t="s">
        <v>98</v>
      </c>
      <c r="K452" t="s">
        <v>97</v>
      </c>
      <c r="L452" t="s">
        <v>284</v>
      </c>
      <c r="M452">
        <v>0</v>
      </c>
      <c r="N452" t="str">
        <f t="shared" si="84"/>
        <v>2. 8 a 15 anos</v>
      </c>
      <c r="O452" t="str">
        <f t="shared" si="85"/>
        <v>1. &lt; 20</v>
      </c>
      <c r="P452" t="str">
        <f t="shared" si="86"/>
        <v>1. 1 a 2</v>
      </c>
      <c r="Q452">
        <f t="shared" si="87"/>
        <v>0</v>
      </c>
      <c r="R452">
        <f t="shared" si="88"/>
        <v>0</v>
      </c>
      <c r="S452">
        <f t="shared" si="89"/>
        <v>1</v>
      </c>
      <c r="T452">
        <v>1</v>
      </c>
      <c r="U452" t="s">
        <v>139</v>
      </c>
      <c r="V452" s="18">
        <f t="shared" si="90"/>
        <v>6.8273092369477914E-2</v>
      </c>
      <c r="W452" s="18">
        <f t="shared" si="91"/>
        <v>8.6792452830188674E-2</v>
      </c>
      <c r="X452" s="18">
        <f t="shared" si="92"/>
        <v>0.10309278350515463</v>
      </c>
      <c r="Y452" s="18">
        <f t="shared" si="93"/>
        <v>0.37662337662337664</v>
      </c>
      <c r="Z452" s="18">
        <f t="shared" si="94"/>
        <v>0.22302158273381295</v>
      </c>
      <c r="AA452" s="10">
        <f t="shared" si="95"/>
        <v>0.1715606576</v>
      </c>
      <c r="AB452" t="str">
        <f>IF(AA452&gt;=Como_Avaliar!$B$15,"Alta",IF(AA452&gt;=Como_Avaliar!$B$16,"Média","Baixa"))</f>
        <v>Baixa</v>
      </c>
    </row>
    <row r="453" spans="1:28" x14ac:dyDescent="0.25">
      <c r="A453" t="s">
        <v>757</v>
      </c>
      <c r="B453" t="s">
        <v>426</v>
      </c>
      <c r="C453" t="s">
        <v>84</v>
      </c>
      <c r="D453" t="s">
        <v>57</v>
      </c>
      <c r="E453" t="s">
        <v>93</v>
      </c>
      <c r="F453">
        <v>22</v>
      </c>
      <c r="G453">
        <v>435</v>
      </c>
      <c r="H453">
        <v>35</v>
      </c>
      <c r="I453" t="s">
        <v>66</v>
      </c>
      <c r="J453" t="s">
        <v>98</v>
      </c>
      <c r="K453" t="s">
        <v>98</v>
      </c>
      <c r="L453" t="s">
        <v>289</v>
      </c>
      <c r="M453">
        <v>1</v>
      </c>
      <c r="N453" t="str">
        <f t="shared" si="84"/>
        <v>3. 16+ anos</v>
      </c>
      <c r="O453" t="str">
        <f t="shared" si="85"/>
        <v>4. 150+</v>
      </c>
      <c r="P453" t="str">
        <f t="shared" si="86"/>
        <v>4. 16+</v>
      </c>
      <c r="Q453">
        <f t="shared" si="87"/>
        <v>0</v>
      </c>
      <c r="R453">
        <f t="shared" si="88"/>
        <v>1</v>
      </c>
      <c r="S453">
        <f t="shared" si="89"/>
        <v>0</v>
      </c>
      <c r="V453" s="18">
        <f t="shared" si="90"/>
        <v>1</v>
      </c>
      <c r="W453" s="18">
        <f t="shared" si="91"/>
        <v>0.97272727272727277</v>
      </c>
      <c r="X453" s="18">
        <f t="shared" si="92"/>
        <v>0.97938144329896903</v>
      </c>
      <c r="Y453" s="18">
        <f t="shared" si="93"/>
        <v>1</v>
      </c>
      <c r="Z453" s="18">
        <f t="shared" si="94"/>
        <v>0.56634304207119746</v>
      </c>
      <c r="AA453" s="10">
        <f t="shared" si="95"/>
        <v>0.9036903516</v>
      </c>
      <c r="AB453" t="str">
        <f>IF(AA453&gt;=Como_Avaliar!$B$15,"Alta",IF(AA453&gt;=Como_Avaliar!$B$16,"Média","Baixa"))</f>
        <v>Alta</v>
      </c>
    </row>
    <row r="454" spans="1:28" x14ac:dyDescent="0.25">
      <c r="A454" t="s">
        <v>758</v>
      </c>
      <c r="B454" t="s">
        <v>381</v>
      </c>
      <c r="C454" t="s">
        <v>88</v>
      </c>
      <c r="D454" t="s">
        <v>58</v>
      </c>
      <c r="E454" t="s">
        <v>92</v>
      </c>
      <c r="F454">
        <v>26</v>
      </c>
      <c r="G454">
        <v>157</v>
      </c>
      <c r="H454">
        <v>15</v>
      </c>
      <c r="I454" t="s">
        <v>66</v>
      </c>
      <c r="J454" t="s">
        <v>98</v>
      </c>
      <c r="K454" t="s">
        <v>98</v>
      </c>
      <c r="L454" t="s">
        <v>289</v>
      </c>
      <c r="M454">
        <v>1</v>
      </c>
      <c r="N454" t="str">
        <f t="shared" si="84"/>
        <v>3. 16+ anos</v>
      </c>
      <c r="O454" t="str">
        <f t="shared" si="85"/>
        <v>4. 150+</v>
      </c>
      <c r="P454" t="str">
        <f t="shared" si="86"/>
        <v>3. 6 a 15</v>
      </c>
      <c r="Q454">
        <f t="shared" si="87"/>
        <v>0</v>
      </c>
      <c r="R454">
        <f t="shared" si="88"/>
        <v>1</v>
      </c>
      <c r="S454">
        <f t="shared" si="89"/>
        <v>0</v>
      </c>
      <c r="V454" s="18">
        <f t="shared" si="90"/>
        <v>0.93975903614457834</v>
      </c>
      <c r="W454" s="18">
        <f t="shared" si="91"/>
        <v>0.55319148936170215</v>
      </c>
      <c r="X454" s="18">
        <f t="shared" si="92"/>
        <v>0.97938144329896903</v>
      </c>
      <c r="Y454" s="18">
        <f t="shared" si="93"/>
        <v>1</v>
      </c>
      <c r="Z454" s="18">
        <f t="shared" si="94"/>
        <v>0.56634304207119746</v>
      </c>
      <c r="AA454" s="10">
        <f t="shared" si="95"/>
        <v>0.80773500220000005</v>
      </c>
      <c r="AB454" t="str">
        <f>IF(AA454&gt;=Como_Avaliar!$B$15,"Alta",IF(AA454&gt;=Como_Avaliar!$B$16,"Média","Baixa"))</f>
        <v>Alta</v>
      </c>
    </row>
    <row r="455" spans="1:28" x14ac:dyDescent="0.25">
      <c r="A455" t="s">
        <v>759</v>
      </c>
      <c r="B455" t="s">
        <v>288</v>
      </c>
      <c r="C455" t="s">
        <v>88</v>
      </c>
      <c r="D455" t="s">
        <v>56</v>
      </c>
      <c r="E455" t="s">
        <v>94</v>
      </c>
      <c r="F455">
        <v>3</v>
      </c>
      <c r="G455">
        <v>21</v>
      </c>
      <c r="H455">
        <v>2</v>
      </c>
      <c r="I455" t="s">
        <v>61</v>
      </c>
      <c r="J455" t="s">
        <v>97</v>
      </c>
      <c r="K455" t="s">
        <v>97</v>
      </c>
      <c r="L455" t="s">
        <v>289</v>
      </c>
      <c r="M455">
        <v>0</v>
      </c>
      <c r="N455" t="str">
        <f t="shared" si="84"/>
        <v>1. &lt; 8 anos</v>
      </c>
      <c r="O455" t="str">
        <f t="shared" si="85"/>
        <v>2. 20 a 49</v>
      </c>
      <c r="P455" t="str">
        <f t="shared" si="86"/>
        <v>1. 1 a 2</v>
      </c>
      <c r="Q455">
        <f t="shared" si="87"/>
        <v>1</v>
      </c>
      <c r="R455">
        <f t="shared" si="88"/>
        <v>0</v>
      </c>
      <c r="S455">
        <f t="shared" si="89"/>
        <v>1</v>
      </c>
      <c r="T455">
        <v>2</v>
      </c>
      <c r="U455" t="s">
        <v>139</v>
      </c>
      <c r="V455" s="18">
        <f t="shared" si="90"/>
        <v>6.8273092369477914E-2</v>
      </c>
      <c r="W455" s="18">
        <f t="shared" si="91"/>
        <v>8.6792452830188674E-2</v>
      </c>
      <c r="X455" s="18">
        <f t="shared" si="92"/>
        <v>0.25294117647058822</v>
      </c>
      <c r="Y455" s="18">
        <f t="shared" si="93"/>
        <v>0</v>
      </c>
      <c r="Z455" s="18">
        <f t="shared" si="94"/>
        <v>0.22368421052631579</v>
      </c>
      <c r="AA455" s="10">
        <f t="shared" si="95"/>
        <v>0.1263381864</v>
      </c>
      <c r="AB455" t="str">
        <f>IF(AA455&gt;=Como_Avaliar!$B$15,"Alta",IF(AA455&gt;=Como_Avaliar!$B$16,"Média","Baixa"))</f>
        <v>Baixa</v>
      </c>
    </row>
    <row r="456" spans="1:28" x14ac:dyDescent="0.25">
      <c r="A456" t="s">
        <v>760</v>
      </c>
      <c r="B456" t="s">
        <v>288</v>
      </c>
      <c r="C456" t="s">
        <v>88</v>
      </c>
      <c r="D456" t="s">
        <v>59</v>
      </c>
      <c r="E456" t="s">
        <v>91</v>
      </c>
      <c r="F456">
        <v>8</v>
      </c>
      <c r="G456">
        <v>46</v>
      </c>
      <c r="H456">
        <v>2</v>
      </c>
      <c r="I456" t="s">
        <v>60</v>
      </c>
      <c r="J456" t="s">
        <v>97</v>
      </c>
      <c r="K456" t="s">
        <v>97</v>
      </c>
      <c r="L456" t="s">
        <v>289</v>
      </c>
      <c r="M456">
        <v>0</v>
      </c>
      <c r="N456" t="str">
        <f t="shared" si="84"/>
        <v>2. 8 a 15 anos</v>
      </c>
      <c r="O456" t="str">
        <f t="shared" si="85"/>
        <v>2. 20 a 49</v>
      </c>
      <c r="P456" t="str">
        <f t="shared" si="86"/>
        <v>1. 1 a 2</v>
      </c>
      <c r="Q456">
        <f t="shared" si="87"/>
        <v>0</v>
      </c>
      <c r="R456">
        <f t="shared" si="88"/>
        <v>0</v>
      </c>
      <c r="S456">
        <f t="shared" si="89"/>
        <v>1</v>
      </c>
      <c r="T456">
        <v>3</v>
      </c>
      <c r="U456" t="s">
        <v>138</v>
      </c>
      <c r="V456" s="18">
        <f t="shared" si="90"/>
        <v>0.43835616438356162</v>
      </c>
      <c r="W456" s="18">
        <f t="shared" si="91"/>
        <v>8.6792452830188674E-2</v>
      </c>
      <c r="X456" s="18">
        <f t="shared" si="92"/>
        <v>0.25294117647058822</v>
      </c>
      <c r="Y456" s="18">
        <f t="shared" si="93"/>
        <v>0.65217391304347827</v>
      </c>
      <c r="Z456" s="18">
        <f t="shared" si="94"/>
        <v>0.22302158273381295</v>
      </c>
      <c r="AA456" s="10">
        <f t="shared" si="95"/>
        <v>0.3306570579</v>
      </c>
      <c r="AB456" t="str">
        <f>IF(AA456&gt;=Como_Avaliar!$B$15,"Alta",IF(AA456&gt;=Como_Avaliar!$B$16,"Média","Baixa"))</f>
        <v>Média</v>
      </c>
    </row>
    <row r="457" spans="1:28" x14ac:dyDescent="0.25">
      <c r="A457" t="s">
        <v>761</v>
      </c>
      <c r="B457" t="s">
        <v>283</v>
      </c>
      <c r="C457" t="s">
        <v>89</v>
      </c>
      <c r="D457" t="s">
        <v>56</v>
      </c>
      <c r="E457" t="s">
        <v>90</v>
      </c>
      <c r="F457">
        <v>14</v>
      </c>
      <c r="G457">
        <v>18</v>
      </c>
      <c r="H457">
        <v>2</v>
      </c>
      <c r="I457" t="s">
        <v>63</v>
      </c>
      <c r="J457" t="s">
        <v>98</v>
      </c>
      <c r="K457" t="s">
        <v>97</v>
      </c>
      <c r="L457" t="s">
        <v>284</v>
      </c>
      <c r="M457">
        <v>0</v>
      </c>
      <c r="N457" t="str">
        <f t="shared" si="84"/>
        <v>2. 8 a 15 anos</v>
      </c>
      <c r="O457" t="str">
        <f t="shared" si="85"/>
        <v>1. &lt; 20</v>
      </c>
      <c r="P457" t="str">
        <f t="shared" si="86"/>
        <v>1. 1 a 2</v>
      </c>
      <c r="Q457">
        <f t="shared" si="87"/>
        <v>1</v>
      </c>
      <c r="R457">
        <f t="shared" si="88"/>
        <v>0</v>
      </c>
      <c r="S457">
        <f t="shared" si="89"/>
        <v>1</v>
      </c>
      <c r="T457">
        <v>2</v>
      </c>
      <c r="U457" t="s">
        <v>139</v>
      </c>
      <c r="V457" s="18">
        <f t="shared" si="90"/>
        <v>6.8273092369477914E-2</v>
      </c>
      <c r="W457" s="18">
        <f t="shared" si="91"/>
        <v>8.6792452830188674E-2</v>
      </c>
      <c r="X457" s="18">
        <f t="shared" si="92"/>
        <v>0.10309278350515463</v>
      </c>
      <c r="Y457" s="18">
        <f t="shared" si="93"/>
        <v>6.5217391304347824E-2</v>
      </c>
      <c r="Z457" s="18">
        <f t="shared" si="94"/>
        <v>0.22302158273381295</v>
      </c>
      <c r="AA457" s="10">
        <f t="shared" si="95"/>
        <v>0.10927946049999999</v>
      </c>
      <c r="AB457" t="str">
        <f>IF(AA457&gt;=Como_Avaliar!$B$15,"Alta",IF(AA457&gt;=Como_Avaliar!$B$16,"Média","Baixa"))</f>
        <v>Baixa</v>
      </c>
    </row>
    <row r="458" spans="1:28" x14ac:dyDescent="0.25">
      <c r="A458" t="s">
        <v>762</v>
      </c>
      <c r="B458" t="s">
        <v>426</v>
      </c>
      <c r="C458" t="s">
        <v>84</v>
      </c>
      <c r="D458" t="s">
        <v>59</v>
      </c>
      <c r="E458" t="s">
        <v>96</v>
      </c>
      <c r="F458">
        <v>24</v>
      </c>
      <c r="G458">
        <v>58</v>
      </c>
      <c r="H458">
        <v>5</v>
      </c>
      <c r="I458" t="s">
        <v>68</v>
      </c>
      <c r="J458" t="s">
        <v>98</v>
      </c>
      <c r="K458" t="s">
        <v>98</v>
      </c>
      <c r="L458" t="s">
        <v>322</v>
      </c>
      <c r="M458">
        <v>0</v>
      </c>
      <c r="N458" t="str">
        <f t="shared" si="84"/>
        <v>3. 16+ anos</v>
      </c>
      <c r="O458" t="str">
        <f t="shared" si="85"/>
        <v>3. 50 a 149</v>
      </c>
      <c r="P458" t="str">
        <f t="shared" si="86"/>
        <v>2. 3 a 5</v>
      </c>
      <c r="Q458">
        <f t="shared" si="87"/>
        <v>0</v>
      </c>
      <c r="R458">
        <f t="shared" si="88"/>
        <v>0</v>
      </c>
      <c r="S458">
        <f t="shared" si="89"/>
        <v>0</v>
      </c>
      <c r="V458" s="18">
        <f t="shared" si="90"/>
        <v>0.43835616438356162</v>
      </c>
      <c r="W458" s="18">
        <f t="shared" si="91"/>
        <v>0.38095238095238093</v>
      </c>
      <c r="X458" s="18">
        <f t="shared" si="92"/>
        <v>0.58992805755395683</v>
      </c>
      <c r="Y458" s="18">
        <f t="shared" si="93"/>
        <v>0.58333333333333337</v>
      </c>
      <c r="Z458" s="18">
        <f t="shared" si="94"/>
        <v>0.56634304207119746</v>
      </c>
      <c r="AA458" s="10">
        <f t="shared" si="95"/>
        <v>0.51178259569999995</v>
      </c>
      <c r="AB458" t="str">
        <f>IF(AA458&gt;=Como_Avaliar!$B$15,"Alta",IF(AA458&gt;=Como_Avaliar!$B$16,"Média","Baixa"))</f>
        <v>Alta</v>
      </c>
    </row>
    <row r="459" spans="1:28" x14ac:dyDescent="0.25">
      <c r="A459" t="s">
        <v>763</v>
      </c>
      <c r="B459" t="s">
        <v>305</v>
      </c>
      <c r="C459" t="s">
        <v>89</v>
      </c>
      <c r="D459" t="s">
        <v>59</v>
      </c>
      <c r="E459" t="s">
        <v>90</v>
      </c>
      <c r="F459">
        <v>18</v>
      </c>
      <c r="G459">
        <v>47</v>
      </c>
      <c r="H459">
        <v>10</v>
      </c>
      <c r="I459" t="s">
        <v>65</v>
      </c>
      <c r="J459" t="s">
        <v>97</v>
      </c>
      <c r="K459" t="s">
        <v>97</v>
      </c>
      <c r="L459" t="s">
        <v>284</v>
      </c>
      <c r="M459">
        <v>1</v>
      </c>
      <c r="N459" t="str">
        <f t="shared" si="84"/>
        <v>3. 16+ anos</v>
      </c>
      <c r="O459" t="str">
        <f t="shared" si="85"/>
        <v>2. 20 a 49</v>
      </c>
      <c r="P459" t="str">
        <f t="shared" si="86"/>
        <v>3. 6 a 15</v>
      </c>
      <c r="Q459">
        <f t="shared" si="87"/>
        <v>0</v>
      </c>
      <c r="R459">
        <f t="shared" si="88"/>
        <v>0</v>
      </c>
      <c r="S459">
        <f t="shared" si="89"/>
        <v>0</v>
      </c>
      <c r="V459" s="18">
        <f t="shared" si="90"/>
        <v>0.43835616438356162</v>
      </c>
      <c r="W459" s="18">
        <f t="shared" si="91"/>
        <v>0.55319148936170215</v>
      </c>
      <c r="X459" s="18">
        <f t="shared" si="92"/>
        <v>0.25294117647058822</v>
      </c>
      <c r="Y459" s="18">
        <f t="shared" si="93"/>
        <v>0.39751552795031053</v>
      </c>
      <c r="Z459" s="18">
        <f t="shared" si="94"/>
        <v>0.56634304207119746</v>
      </c>
      <c r="AA459" s="10">
        <f t="shared" si="95"/>
        <v>0.44166948</v>
      </c>
      <c r="AB459" t="str">
        <f>IF(AA459&gt;=Como_Avaliar!$B$15,"Alta",IF(AA459&gt;=Como_Avaliar!$B$16,"Média","Baixa"))</f>
        <v>Média</v>
      </c>
    </row>
    <row r="460" spans="1:28" x14ac:dyDescent="0.25">
      <c r="A460" t="s">
        <v>764</v>
      </c>
      <c r="B460" t="s">
        <v>283</v>
      </c>
      <c r="C460" t="s">
        <v>89</v>
      </c>
      <c r="D460" t="s">
        <v>57</v>
      </c>
      <c r="E460" t="s">
        <v>94</v>
      </c>
      <c r="F460">
        <v>15</v>
      </c>
      <c r="G460">
        <v>700</v>
      </c>
      <c r="H460">
        <v>90</v>
      </c>
      <c r="I460" t="s">
        <v>65</v>
      </c>
      <c r="J460" t="s">
        <v>98</v>
      </c>
      <c r="K460" t="s">
        <v>98</v>
      </c>
      <c r="L460" t="s">
        <v>289</v>
      </c>
      <c r="M460">
        <v>1</v>
      </c>
      <c r="N460" t="str">
        <f t="shared" si="84"/>
        <v>2. 8 a 15 anos</v>
      </c>
      <c r="O460" t="str">
        <f t="shared" si="85"/>
        <v>4. 150+</v>
      </c>
      <c r="P460" t="str">
        <f t="shared" si="86"/>
        <v>4. 16+</v>
      </c>
      <c r="Q460">
        <f t="shared" si="87"/>
        <v>0</v>
      </c>
      <c r="R460">
        <f t="shared" si="88"/>
        <v>1</v>
      </c>
      <c r="S460">
        <f t="shared" si="89"/>
        <v>0</v>
      </c>
      <c r="V460" s="18">
        <f t="shared" si="90"/>
        <v>1</v>
      </c>
      <c r="W460" s="18">
        <f t="shared" si="91"/>
        <v>0.97272727272727277</v>
      </c>
      <c r="X460" s="18">
        <f t="shared" si="92"/>
        <v>0.97938144329896903</v>
      </c>
      <c r="Y460" s="18">
        <f t="shared" si="93"/>
        <v>0.39751552795031053</v>
      </c>
      <c r="Z460" s="18">
        <f t="shared" si="94"/>
        <v>0.22302158273381295</v>
      </c>
      <c r="AA460" s="10">
        <f t="shared" si="95"/>
        <v>0.71452916529999999</v>
      </c>
      <c r="AB460" t="str">
        <f>IF(AA460&gt;=Como_Avaliar!$B$15,"Alta",IF(AA460&gt;=Como_Avaliar!$B$16,"Média","Baixa"))</f>
        <v>Alta</v>
      </c>
    </row>
    <row r="461" spans="1:28" x14ac:dyDescent="0.25">
      <c r="A461" t="s">
        <v>765</v>
      </c>
      <c r="B461" t="s">
        <v>288</v>
      </c>
      <c r="C461" t="s">
        <v>88</v>
      </c>
      <c r="D461" t="s">
        <v>56</v>
      </c>
      <c r="E461" t="s">
        <v>96</v>
      </c>
      <c r="F461">
        <v>22</v>
      </c>
      <c r="G461">
        <v>23</v>
      </c>
      <c r="H461">
        <v>1</v>
      </c>
      <c r="I461" t="s">
        <v>63</v>
      </c>
      <c r="J461" t="s">
        <v>98</v>
      </c>
      <c r="K461" t="s">
        <v>97</v>
      </c>
      <c r="L461" t="s">
        <v>289</v>
      </c>
      <c r="M461">
        <v>0</v>
      </c>
      <c r="N461" t="str">
        <f t="shared" si="84"/>
        <v>3. 16+ anos</v>
      </c>
      <c r="O461" t="str">
        <f t="shared" si="85"/>
        <v>2. 20 a 49</v>
      </c>
      <c r="P461" t="str">
        <f t="shared" si="86"/>
        <v>1. 1 a 2</v>
      </c>
      <c r="Q461">
        <f t="shared" si="87"/>
        <v>1</v>
      </c>
      <c r="R461">
        <f t="shared" si="88"/>
        <v>0</v>
      </c>
      <c r="S461">
        <f t="shared" si="89"/>
        <v>1</v>
      </c>
      <c r="T461">
        <v>2</v>
      </c>
      <c r="U461" t="s">
        <v>139</v>
      </c>
      <c r="V461" s="18">
        <f t="shared" si="90"/>
        <v>6.8273092369477914E-2</v>
      </c>
      <c r="W461" s="18">
        <f t="shared" si="91"/>
        <v>8.6792452830188674E-2</v>
      </c>
      <c r="X461" s="18">
        <f t="shared" si="92"/>
        <v>0.25294117647058822</v>
      </c>
      <c r="Y461" s="18">
        <f t="shared" si="93"/>
        <v>6.5217391304347824E-2</v>
      </c>
      <c r="Z461" s="18">
        <f t="shared" si="94"/>
        <v>0.56634304207119746</v>
      </c>
      <c r="AA461" s="10">
        <f t="shared" si="95"/>
        <v>0.20791343100000001</v>
      </c>
      <c r="AB461" t="str">
        <f>IF(AA461&gt;=Como_Avaliar!$B$15,"Alta",IF(AA461&gt;=Como_Avaliar!$B$16,"Média","Baixa"))</f>
        <v>Baixa</v>
      </c>
    </row>
    <row r="462" spans="1:28" x14ac:dyDescent="0.25">
      <c r="A462" t="s">
        <v>766</v>
      </c>
      <c r="B462" t="s">
        <v>286</v>
      </c>
      <c r="C462" t="s">
        <v>88</v>
      </c>
      <c r="D462" t="s">
        <v>58</v>
      </c>
      <c r="E462" t="s">
        <v>92</v>
      </c>
      <c r="F462">
        <v>23</v>
      </c>
      <c r="G462">
        <v>249</v>
      </c>
      <c r="H462">
        <v>20</v>
      </c>
      <c r="I462" t="s">
        <v>66</v>
      </c>
      <c r="J462" t="s">
        <v>97</v>
      </c>
      <c r="K462" t="s">
        <v>97</v>
      </c>
      <c r="L462" t="s">
        <v>289</v>
      </c>
      <c r="M462">
        <v>1</v>
      </c>
      <c r="N462" t="str">
        <f t="shared" si="84"/>
        <v>3. 16+ anos</v>
      </c>
      <c r="O462" t="str">
        <f t="shared" si="85"/>
        <v>4. 150+</v>
      </c>
      <c r="P462" t="str">
        <f t="shared" si="86"/>
        <v>4. 16+</v>
      </c>
      <c r="Q462">
        <f t="shared" si="87"/>
        <v>0</v>
      </c>
      <c r="R462">
        <f t="shared" si="88"/>
        <v>1</v>
      </c>
      <c r="S462">
        <f t="shared" si="89"/>
        <v>0</v>
      </c>
      <c r="V462" s="18">
        <f t="shared" si="90"/>
        <v>0.93975903614457834</v>
      </c>
      <c r="W462" s="18">
        <f t="shared" si="91"/>
        <v>0.97272727272727277</v>
      </c>
      <c r="X462" s="18">
        <f t="shared" si="92"/>
        <v>0.97938144329896903</v>
      </c>
      <c r="Y462" s="18">
        <f t="shared" si="93"/>
        <v>1</v>
      </c>
      <c r="Z462" s="18">
        <f t="shared" si="94"/>
        <v>0.56634304207119746</v>
      </c>
      <c r="AA462" s="10">
        <f t="shared" si="95"/>
        <v>0.89164215879999997</v>
      </c>
      <c r="AB462" t="str">
        <f>IF(AA462&gt;=Como_Avaliar!$B$15,"Alta",IF(AA462&gt;=Como_Avaliar!$B$16,"Média","Baixa"))</f>
        <v>Alta</v>
      </c>
    </row>
    <row r="463" spans="1:28" x14ac:dyDescent="0.25">
      <c r="A463" t="s">
        <v>767</v>
      </c>
      <c r="B463" t="s">
        <v>288</v>
      </c>
      <c r="C463" t="s">
        <v>88</v>
      </c>
      <c r="D463" t="s">
        <v>56</v>
      </c>
      <c r="E463" t="s">
        <v>93</v>
      </c>
      <c r="F463">
        <v>2</v>
      </c>
      <c r="G463">
        <v>18</v>
      </c>
      <c r="H463">
        <v>2</v>
      </c>
      <c r="I463" t="s">
        <v>65</v>
      </c>
      <c r="J463" t="s">
        <v>97</v>
      </c>
      <c r="K463" t="s">
        <v>97</v>
      </c>
      <c r="L463" t="s">
        <v>322</v>
      </c>
      <c r="M463">
        <v>0</v>
      </c>
      <c r="N463" t="str">
        <f t="shared" si="84"/>
        <v>1. &lt; 8 anos</v>
      </c>
      <c r="O463" t="str">
        <f t="shared" si="85"/>
        <v>1. &lt; 20</v>
      </c>
      <c r="P463" t="str">
        <f t="shared" si="86"/>
        <v>1. 1 a 2</v>
      </c>
      <c r="Q463">
        <f t="shared" si="87"/>
        <v>0</v>
      </c>
      <c r="R463">
        <f t="shared" si="88"/>
        <v>0</v>
      </c>
      <c r="S463">
        <f t="shared" si="89"/>
        <v>0</v>
      </c>
      <c r="V463" s="18">
        <f t="shared" si="90"/>
        <v>6.8273092369477914E-2</v>
      </c>
      <c r="W463" s="18">
        <f t="shared" si="91"/>
        <v>8.6792452830188674E-2</v>
      </c>
      <c r="X463" s="18">
        <f t="shared" si="92"/>
        <v>0.10309278350515463</v>
      </c>
      <c r="Y463" s="18">
        <f t="shared" si="93"/>
        <v>0.39751552795031053</v>
      </c>
      <c r="Z463" s="18">
        <f t="shared" si="94"/>
        <v>0.22368421052631579</v>
      </c>
      <c r="AA463" s="10">
        <f t="shared" si="95"/>
        <v>0.17587161339999999</v>
      </c>
      <c r="AB463" t="str">
        <f>IF(AA463&gt;=Como_Avaliar!$B$15,"Alta",IF(AA463&gt;=Como_Avaliar!$B$16,"Média","Baixa"))</f>
        <v>Baixa</v>
      </c>
    </row>
    <row r="464" spans="1:28" x14ac:dyDescent="0.25">
      <c r="A464" t="s">
        <v>768</v>
      </c>
      <c r="B464" t="s">
        <v>288</v>
      </c>
      <c r="C464" t="s">
        <v>88</v>
      </c>
      <c r="D464" t="s">
        <v>56</v>
      </c>
      <c r="E464" t="s">
        <v>93</v>
      </c>
      <c r="F464">
        <v>27</v>
      </c>
      <c r="G464">
        <v>17</v>
      </c>
      <c r="H464">
        <v>1</v>
      </c>
      <c r="I464" t="s">
        <v>65</v>
      </c>
      <c r="J464" t="s">
        <v>98</v>
      </c>
      <c r="K464" t="s">
        <v>97</v>
      </c>
      <c r="L464" t="s">
        <v>298</v>
      </c>
      <c r="M464">
        <v>0</v>
      </c>
      <c r="N464" t="str">
        <f t="shared" si="84"/>
        <v>3. 16+ anos</v>
      </c>
      <c r="O464" t="str">
        <f t="shared" si="85"/>
        <v>1. &lt; 20</v>
      </c>
      <c r="P464" t="str">
        <f t="shared" si="86"/>
        <v>1. 1 a 2</v>
      </c>
      <c r="Q464">
        <f t="shared" si="87"/>
        <v>0</v>
      </c>
      <c r="R464">
        <f t="shared" si="88"/>
        <v>0</v>
      </c>
      <c r="S464">
        <f t="shared" si="89"/>
        <v>1</v>
      </c>
      <c r="T464">
        <v>2</v>
      </c>
      <c r="U464" t="s">
        <v>139</v>
      </c>
      <c r="V464" s="18">
        <f t="shared" si="90"/>
        <v>6.8273092369477914E-2</v>
      </c>
      <c r="W464" s="18">
        <f t="shared" si="91"/>
        <v>8.6792452830188674E-2</v>
      </c>
      <c r="X464" s="18">
        <f t="shared" si="92"/>
        <v>0.10309278350515463</v>
      </c>
      <c r="Y464" s="18">
        <f t="shared" si="93"/>
        <v>0.39751552795031053</v>
      </c>
      <c r="Z464" s="18">
        <f t="shared" si="94"/>
        <v>0.56634304207119746</v>
      </c>
      <c r="AA464" s="10">
        <f t="shared" si="95"/>
        <v>0.24440337970000001</v>
      </c>
      <c r="AB464" t="str">
        <f>IF(AA464&gt;=Como_Avaliar!$B$15,"Alta",IF(AA464&gt;=Como_Avaliar!$B$16,"Média","Baixa"))</f>
        <v>Média</v>
      </c>
    </row>
    <row r="465" spans="1:28" x14ac:dyDescent="0.25">
      <c r="A465" t="s">
        <v>769</v>
      </c>
      <c r="B465" t="s">
        <v>288</v>
      </c>
      <c r="C465" t="s">
        <v>88</v>
      </c>
      <c r="D465" t="s">
        <v>59</v>
      </c>
      <c r="E465" t="s">
        <v>90</v>
      </c>
      <c r="F465">
        <v>10</v>
      </c>
      <c r="G465">
        <v>36</v>
      </c>
      <c r="H465">
        <v>5</v>
      </c>
      <c r="I465" t="s">
        <v>65</v>
      </c>
      <c r="J465" t="s">
        <v>98</v>
      </c>
      <c r="K465" t="s">
        <v>98</v>
      </c>
      <c r="L465" t="s">
        <v>322</v>
      </c>
      <c r="M465">
        <v>0</v>
      </c>
      <c r="N465" t="str">
        <f t="shared" si="84"/>
        <v>2. 8 a 15 anos</v>
      </c>
      <c r="O465" t="str">
        <f t="shared" si="85"/>
        <v>2. 20 a 49</v>
      </c>
      <c r="P465" t="str">
        <f t="shared" si="86"/>
        <v>2. 3 a 5</v>
      </c>
      <c r="Q465">
        <f t="shared" si="87"/>
        <v>0</v>
      </c>
      <c r="R465">
        <f t="shared" si="88"/>
        <v>0</v>
      </c>
      <c r="S465">
        <f t="shared" si="89"/>
        <v>0</v>
      </c>
      <c r="V465" s="18">
        <f t="shared" si="90"/>
        <v>0.43835616438356162</v>
      </c>
      <c r="W465" s="18">
        <f t="shared" si="91"/>
        <v>0.38095238095238093</v>
      </c>
      <c r="X465" s="18">
        <f t="shared" si="92"/>
        <v>0.25294117647058822</v>
      </c>
      <c r="Y465" s="18">
        <f t="shared" si="93"/>
        <v>0.39751552795031053</v>
      </c>
      <c r="Z465" s="18">
        <f t="shared" si="94"/>
        <v>0.22302158273381295</v>
      </c>
      <c r="AA465" s="10">
        <f t="shared" si="95"/>
        <v>0.33855736650000001</v>
      </c>
      <c r="AB465" t="str">
        <f>IF(AA465&gt;=Como_Avaliar!$B$15,"Alta",IF(AA465&gt;=Como_Avaliar!$B$16,"Média","Baixa"))</f>
        <v>Média</v>
      </c>
    </row>
    <row r="466" spans="1:28" x14ac:dyDescent="0.25">
      <c r="A466" t="s">
        <v>770</v>
      </c>
      <c r="B466" t="s">
        <v>305</v>
      </c>
      <c r="C466" t="s">
        <v>89</v>
      </c>
      <c r="D466" t="s">
        <v>59</v>
      </c>
      <c r="E466" t="s">
        <v>93</v>
      </c>
      <c r="F466">
        <v>2</v>
      </c>
      <c r="G466">
        <v>60</v>
      </c>
      <c r="H466">
        <v>9</v>
      </c>
      <c r="I466" t="s">
        <v>68</v>
      </c>
      <c r="J466" t="s">
        <v>97</v>
      </c>
      <c r="K466" t="s">
        <v>98</v>
      </c>
      <c r="L466" t="s">
        <v>284</v>
      </c>
      <c r="M466">
        <v>0</v>
      </c>
      <c r="N466" t="str">
        <f t="shared" si="84"/>
        <v>1. &lt; 8 anos</v>
      </c>
      <c r="O466" t="str">
        <f t="shared" si="85"/>
        <v>3. 50 a 149</v>
      </c>
      <c r="P466" t="str">
        <f t="shared" si="86"/>
        <v>3. 6 a 15</v>
      </c>
      <c r="Q466">
        <f t="shared" si="87"/>
        <v>0</v>
      </c>
      <c r="R466">
        <f t="shared" si="88"/>
        <v>1</v>
      </c>
      <c r="S466">
        <f t="shared" si="89"/>
        <v>1</v>
      </c>
      <c r="T466">
        <v>3</v>
      </c>
      <c r="U466" t="s">
        <v>138</v>
      </c>
      <c r="V466" s="18">
        <f t="shared" si="90"/>
        <v>0.43835616438356162</v>
      </c>
      <c r="W466" s="18">
        <f t="shared" si="91"/>
        <v>0.55319148936170215</v>
      </c>
      <c r="X466" s="18">
        <f t="shared" si="92"/>
        <v>0.58992805755395683</v>
      </c>
      <c r="Y466" s="18">
        <f t="shared" si="93"/>
        <v>0.58333333333333337</v>
      </c>
      <c r="Z466" s="18">
        <f t="shared" si="94"/>
        <v>0.22368421052631579</v>
      </c>
      <c r="AA466" s="10">
        <f t="shared" si="95"/>
        <v>0.47769865099999997</v>
      </c>
      <c r="AB466" t="str">
        <f>IF(AA466&gt;=Como_Avaliar!$B$15,"Alta",IF(AA466&gt;=Como_Avaliar!$B$16,"Média","Baixa"))</f>
        <v>Média</v>
      </c>
    </row>
    <row r="467" spans="1:28" x14ac:dyDescent="0.25">
      <c r="A467" t="s">
        <v>771</v>
      </c>
      <c r="B467" t="s">
        <v>286</v>
      </c>
      <c r="C467" t="s">
        <v>88</v>
      </c>
      <c r="D467" t="s">
        <v>59</v>
      </c>
      <c r="E467" t="s">
        <v>93</v>
      </c>
      <c r="F467">
        <v>26</v>
      </c>
      <c r="G467">
        <v>36</v>
      </c>
      <c r="H467">
        <v>8</v>
      </c>
      <c r="I467" t="s">
        <v>60</v>
      </c>
      <c r="J467" t="s">
        <v>97</v>
      </c>
      <c r="K467" t="s">
        <v>98</v>
      </c>
      <c r="L467" t="s">
        <v>289</v>
      </c>
      <c r="M467">
        <v>1</v>
      </c>
      <c r="N467" t="str">
        <f t="shared" si="84"/>
        <v>3. 16+ anos</v>
      </c>
      <c r="O467" t="str">
        <f t="shared" si="85"/>
        <v>2. 20 a 49</v>
      </c>
      <c r="P467" t="str">
        <f t="shared" si="86"/>
        <v>3. 6 a 15</v>
      </c>
      <c r="Q467">
        <f t="shared" si="87"/>
        <v>0</v>
      </c>
      <c r="R467">
        <f t="shared" si="88"/>
        <v>0</v>
      </c>
      <c r="S467">
        <f t="shared" si="89"/>
        <v>0</v>
      </c>
      <c r="V467" s="18">
        <f t="shared" si="90"/>
        <v>0.43835616438356162</v>
      </c>
      <c r="W467" s="18">
        <f t="shared" si="91"/>
        <v>0.55319148936170215</v>
      </c>
      <c r="X467" s="18">
        <f t="shared" si="92"/>
        <v>0.25294117647058822</v>
      </c>
      <c r="Y467" s="18">
        <f t="shared" si="93"/>
        <v>0.65217391304347827</v>
      </c>
      <c r="Z467" s="18">
        <f t="shared" si="94"/>
        <v>0.56634304207119746</v>
      </c>
      <c r="AA467" s="10">
        <f t="shared" si="95"/>
        <v>0.49260115710000002</v>
      </c>
      <c r="AB467" t="str">
        <f>IF(AA467&gt;=Como_Avaliar!$B$15,"Alta",IF(AA467&gt;=Como_Avaliar!$B$16,"Média","Baixa"))</f>
        <v>Alta</v>
      </c>
    </row>
    <row r="468" spans="1:28" x14ac:dyDescent="0.25">
      <c r="A468" t="s">
        <v>772</v>
      </c>
      <c r="B468" t="s">
        <v>288</v>
      </c>
      <c r="C468" t="s">
        <v>88</v>
      </c>
      <c r="D468" t="s">
        <v>59</v>
      </c>
      <c r="E468" t="s">
        <v>90</v>
      </c>
      <c r="F468">
        <v>17</v>
      </c>
      <c r="G468">
        <v>32</v>
      </c>
      <c r="H468">
        <v>3</v>
      </c>
      <c r="I468" t="s">
        <v>65</v>
      </c>
      <c r="J468" t="s">
        <v>98</v>
      </c>
      <c r="K468" t="s">
        <v>97</v>
      </c>
      <c r="L468" t="s">
        <v>329</v>
      </c>
      <c r="M468">
        <v>1</v>
      </c>
      <c r="N468" t="str">
        <f t="shared" si="84"/>
        <v>3. 16+ anos</v>
      </c>
      <c r="O468" t="str">
        <f t="shared" si="85"/>
        <v>2. 20 a 49</v>
      </c>
      <c r="P468" t="str">
        <f t="shared" si="86"/>
        <v>2. 3 a 5</v>
      </c>
      <c r="Q468">
        <f t="shared" si="87"/>
        <v>0</v>
      </c>
      <c r="R468">
        <f t="shared" si="88"/>
        <v>0</v>
      </c>
      <c r="S468">
        <f t="shared" si="89"/>
        <v>0</v>
      </c>
      <c r="V468" s="18">
        <f t="shared" si="90"/>
        <v>0.43835616438356162</v>
      </c>
      <c r="W468" s="18">
        <f t="shared" si="91"/>
        <v>0.38095238095238093</v>
      </c>
      <c r="X468" s="18">
        <f t="shared" si="92"/>
        <v>0.25294117647058822</v>
      </c>
      <c r="Y468" s="18">
        <f t="shared" si="93"/>
        <v>0.39751552795031053</v>
      </c>
      <c r="Z468" s="18">
        <f t="shared" si="94"/>
        <v>0.56634304207119746</v>
      </c>
      <c r="AA468" s="10">
        <f t="shared" si="95"/>
        <v>0.40722165840000002</v>
      </c>
      <c r="AB468" t="str">
        <f>IF(AA468&gt;=Como_Avaliar!$B$15,"Alta",IF(AA468&gt;=Como_Avaliar!$B$16,"Média","Baixa"))</f>
        <v>Média</v>
      </c>
    </row>
    <row r="469" spans="1:28" x14ac:dyDescent="0.25">
      <c r="A469" t="s">
        <v>773</v>
      </c>
      <c r="B469" t="s">
        <v>295</v>
      </c>
      <c r="C469" t="s">
        <v>84</v>
      </c>
      <c r="D469" t="s">
        <v>59</v>
      </c>
      <c r="E469" t="s">
        <v>96</v>
      </c>
      <c r="F469">
        <v>8</v>
      </c>
      <c r="G469">
        <v>77</v>
      </c>
      <c r="H469">
        <v>5</v>
      </c>
      <c r="I469" t="s">
        <v>65</v>
      </c>
      <c r="J469" t="s">
        <v>97</v>
      </c>
      <c r="K469" t="s">
        <v>98</v>
      </c>
      <c r="L469" t="s">
        <v>289</v>
      </c>
      <c r="M469">
        <v>0</v>
      </c>
      <c r="N469" t="str">
        <f t="shared" si="84"/>
        <v>2. 8 a 15 anos</v>
      </c>
      <c r="O469" t="str">
        <f t="shared" si="85"/>
        <v>3. 50 a 149</v>
      </c>
      <c r="P469" t="str">
        <f t="shared" si="86"/>
        <v>2. 3 a 5</v>
      </c>
      <c r="Q469">
        <f t="shared" si="87"/>
        <v>0</v>
      </c>
      <c r="R469">
        <f t="shared" si="88"/>
        <v>0</v>
      </c>
      <c r="S469">
        <f t="shared" si="89"/>
        <v>1</v>
      </c>
      <c r="T469">
        <v>3</v>
      </c>
      <c r="U469" t="s">
        <v>138</v>
      </c>
      <c r="V469" s="18">
        <f t="shared" si="90"/>
        <v>0.43835616438356162</v>
      </c>
      <c r="W469" s="18">
        <f t="shared" si="91"/>
        <v>0.38095238095238093</v>
      </c>
      <c r="X469" s="18">
        <f t="shared" si="92"/>
        <v>0.58992805755395683</v>
      </c>
      <c r="Y469" s="18">
        <f t="shared" si="93"/>
        <v>0.39751552795031053</v>
      </c>
      <c r="Z469" s="18">
        <f t="shared" si="94"/>
        <v>0.22302158273381295</v>
      </c>
      <c r="AA469" s="10">
        <f t="shared" si="95"/>
        <v>0.40595474269999998</v>
      </c>
      <c r="AB469" t="str">
        <f>IF(AA469&gt;=Como_Avaliar!$B$15,"Alta",IF(AA469&gt;=Como_Avaliar!$B$16,"Média","Baixa"))</f>
        <v>Média</v>
      </c>
    </row>
    <row r="470" spans="1:28" x14ac:dyDescent="0.25">
      <c r="A470" t="s">
        <v>774</v>
      </c>
      <c r="B470" t="s">
        <v>295</v>
      </c>
      <c r="C470" t="s">
        <v>84</v>
      </c>
      <c r="D470" t="s">
        <v>56</v>
      </c>
      <c r="E470" t="s">
        <v>93</v>
      </c>
      <c r="F470">
        <v>1</v>
      </c>
      <c r="G470">
        <v>8</v>
      </c>
      <c r="H470">
        <v>2</v>
      </c>
      <c r="I470" t="s">
        <v>65</v>
      </c>
      <c r="J470" t="s">
        <v>98</v>
      </c>
      <c r="K470" t="s">
        <v>97</v>
      </c>
      <c r="L470" t="s">
        <v>322</v>
      </c>
      <c r="M470">
        <v>0</v>
      </c>
      <c r="N470" t="str">
        <f t="shared" si="84"/>
        <v>1. &lt; 8 anos</v>
      </c>
      <c r="O470" t="str">
        <f t="shared" si="85"/>
        <v>1. &lt; 20</v>
      </c>
      <c r="P470" t="str">
        <f t="shared" si="86"/>
        <v>1. 1 a 2</v>
      </c>
      <c r="Q470">
        <f t="shared" si="87"/>
        <v>0</v>
      </c>
      <c r="R470">
        <f t="shared" si="88"/>
        <v>0</v>
      </c>
      <c r="S470">
        <f t="shared" si="89"/>
        <v>0</v>
      </c>
      <c r="V470" s="18">
        <f t="shared" si="90"/>
        <v>6.8273092369477914E-2</v>
      </c>
      <c r="W470" s="18">
        <f t="shared" si="91"/>
        <v>8.6792452830188674E-2</v>
      </c>
      <c r="X470" s="18">
        <f t="shared" si="92"/>
        <v>0.10309278350515463</v>
      </c>
      <c r="Y470" s="18">
        <f t="shared" si="93"/>
        <v>0.39751552795031053</v>
      </c>
      <c r="Z470" s="18">
        <f t="shared" si="94"/>
        <v>0.22368421052631579</v>
      </c>
      <c r="AA470" s="10">
        <f t="shared" si="95"/>
        <v>0.17587161339999999</v>
      </c>
      <c r="AB470" t="str">
        <f>IF(AA470&gt;=Como_Avaliar!$B$15,"Alta",IF(AA470&gt;=Como_Avaliar!$B$16,"Média","Baixa"))</f>
        <v>Baixa</v>
      </c>
    </row>
    <row r="471" spans="1:28" x14ac:dyDescent="0.25">
      <c r="A471" t="s">
        <v>775</v>
      </c>
      <c r="B471" t="s">
        <v>286</v>
      </c>
      <c r="C471" t="s">
        <v>88</v>
      </c>
      <c r="D471" t="s">
        <v>56</v>
      </c>
      <c r="E471" t="s">
        <v>90</v>
      </c>
      <c r="F471">
        <v>9</v>
      </c>
      <c r="G471">
        <v>20</v>
      </c>
      <c r="H471">
        <v>1</v>
      </c>
      <c r="I471" t="s">
        <v>65</v>
      </c>
      <c r="J471" t="s">
        <v>97</v>
      </c>
      <c r="K471" t="s">
        <v>97</v>
      </c>
      <c r="L471" t="s">
        <v>293</v>
      </c>
      <c r="M471">
        <v>0</v>
      </c>
      <c r="N471" t="str">
        <f t="shared" si="84"/>
        <v>2. 8 a 15 anos</v>
      </c>
      <c r="O471" t="str">
        <f t="shared" si="85"/>
        <v>2. 20 a 49</v>
      </c>
      <c r="P471" t="str">
        <f t="shared" si="86"/>
        <v>1. 1 a 2</v>
      </c>
      <c r="Q471">
        <f t="shared" si="87"/>
        <v>0</v>
      </c>
      <c r="R471">
        <f t="shared" si="88"/>
        <v>0</v>
      </c>
      <c r="S471">
        <f t="shared" si="89"/>
        <v>1</v>
      </c>
      <c r="T471">
        <v>2</v>
      </c>
      <c r="U471" t="s">
        <v>139</v>
      </c>
      <c r="V471" s="18">
        <f t="shared" si="90"/>
        <v>6.8273092369477914E-2</v>
      </c>
      <c r="W471" s="18">
        <f t="shared" si="91"/>
        <v>8.6792452830188674E-2</v>
      </c>
      <c r="X471" s="18">
        <f t="shared" si="92"/>
        <v>0.25294117647058822</v>
      </c>
      <c r="Y471" s="18">
        <f t="shared" si="93"/>
        <v>0.39751552795031053</v>
      </c>
      <c r="Z471" s="18">
        <f t="shared" si="94"/>
        <v>0.22302158273381295</v>
      </c>
      <c r="AA471" s="10">
        <f t="shared" si="95"/>
        <v>0.2057087665</v>
      </c>
      <c r="AB471" t="str">
        <f>IF(AA471&gt;=Como_Avaliar!$B$15,"Alta",IF(AA471&gt;=Como_Avaliar!$B$16,"Média","Baixa"))</f>
        <v>Baixa</v>
      </c>
    </row>
    <row r="472" spans="1:28" x14ac:dyDescent="0.25">
      <c r="A472" t="s">
        <v>776</v>
      </c>
      <c r="B472" t="s">
        <v>301</v>
      </c>
      <c r="C472" t="s">
        <v>88</v>
      </c>
      <c r="D472" t="s">
        <v>56</v>
      </c>
      <c r="E472" t="s">
        <v>95</v>
      </c>
      <c r="F472">
        <v>11</v>
      </c>
      <c r="G472">
        <v>23</v>
      </c>
      <c r="H472">
        <v>1</v>
      </c>
      <c r="I472" t="s">
        <v>63</v>
      </c>
      <c r="J472" t="s">
        <v>97</v>
      </c>
      <c r="K472" t="s">
        <v>97</v>
      </c>
      <c r="L472" t="s">
        <v>322</v>
      </c>
      <c r="M472">
        <v>0</v>
      </c>
      <c r="N472" t="str">
        <f t="shared" si="84"/>
        <v>2. 8 a 15 anos</v>
      </c>
      <c r="O472" t="str">
        <f t="shared" si="85"/>
        <v>2. 20 a 49</v>
      </c>
      <c r="P472" t="str">
        <f t="shared" si="86"/>
        <v>1. 1 a 2</v>
      </c>
      <c r="Q472">
        <f t="shared" si="87"/>
        <v>1</v>
      </c>
      <c r="R472">
        <f t="shared" si="88"/>
        <v>0</v>
      </c>
      <c r="S472">
        <f t="shared" si="89"/>
        <v>0</v>
      </c>
      <c r="V472" s="18">
        <f t="shared" si="90"/>
        <v>6.8273092369477914E-2</v>
      </c>
      <c r="W472" s="18">
        <f t="shared" si="91"/>
        <v>8.6792452830188674E-2</v>
      </c>
      <c r="X472" s="18">
        <f t="shared" si="92"/>
        <v>0.25294117647058822</v>
      </c>
      <c r="Y472" s="18">
        <f t="shared" si="93"/>
        <v>6.5217391304347824E-2</v>
      </c>
      <c r="Z472" s="18">
        <f t="shared" si="94"/>
        <v>0.22302158273381295</v>
      </c>
      <c r="AA472" s="10">
        <f t="shared" si="95"/>
        <v>0.1392491391</v>
      </c>
      <c r="AB472" t="str">
        <f>IF(AA472&gt;=Como_Avaliar!$B$15,"Alta",IF(AA472&gt;=Como_Avaliar!$B$16,"Média","Baixa"))</f>
        <v>Baixa</v>
      </c>
    </row>
    <row r="473" spans="1:28" x14ac:dyDescent="0.25">
      <c r="A473" t="s">
        <v>777</v>
      </c>
      <c r="B473" t="s">
        <v>305</v>
      </c>
      <c r="C473" t="s">
        <v>89</v>
      </c>
      <c r="D473" t="s">
        <v>59</v>
      </c>
      <c r="E473" t="s">
        <v>90</v>
      </c>
      <c r="F473">
        <v>22</v>
      </c>
      <c r="G473">
        <v>22</v>
      </c>
      <c r="H473">
        <v>7</v>
      </c>
      <c r="I473" t="s">
        <v>60</v>
      </c>
      <c r="J473" t="s">
        <v>97</v>
      </c>
      <c r="K473" t="s">
        <v>97</v>
      </c>
      <c r="L473" t="s">
        <v>329</v>
      </c>
      <c r="M473">
        <v>1</v>
      </c>
      <c r="N473" t="str">
        <f t="shared" si="84"/>
        <v>3. 16+ anos</v>
      </c>
      <c r="O473" t="str">
        <f t="shared" si="85"/>
        <v>2. 20 a 49</v>
      </c>
      <c r="P473" t="str">
        <f t="shared" si="86"/>
        <v>3. 6 a 15</v>
      </c>
      <c r="Q473">
        <f t="shared" si="87"/>
        <v>0</v>
      </c>
      <c r="R473">
        <f t="shared" si="88"/>
        <v>0</v>
      </c>
      <c r="S473">
        <f t="shared" si="89"/>
        <v>0</v>
      </c>
      <c r="V473" s="18">
        <f t="shared" si="90"/>
        <v>0.43835616438356162</v>
      </c>
      <c r="W473" s="18">
        <f t="shared" si="91"/>
        <v>0.55319148936170215</v>
      </c>
      <c r="X473" s="18">
        <f t="shared" si="92"/>
        <v>0.25294117647058822</v>
      </c>
      <c r="Y473" s="18">
        <f t="shared" si="93"/>
        <v>0.65217391304347827</v>
      </c>
      <c r="Z473" s="18">
        <f t="shared" si="94"/>
        <v>0.56634304207119746</v>
      </c>
      <c r="AA473" s="10">
        <f t="shared" si="95"/>
        <v>0.49260115710000002</v>
      </c>
      <c r="AB473" t="str">
        <f>IF(AA473&gt;=Como_Avaliar!$B$15,"Alta",IF(AA473&gt;=Como_Avaliar!$B$16,"Média","Baixa"))</f>
        <v>Alta</v>
      </c>
    </row>
    <row r="474" spans="1:28" x14ac:dyDescent="0.25">
      <c r="A474" t="s">
        <v>778</v>
      </c>
      <c r="B474" t="s">
        <v>301</v>
      </c>
      <c r="C474" t="s">
        <v>88</v>
      </c>
      <c r="D474" t="s">
        <v>59</v>
      </c>
      <c r="E474" t="s">
        <v>91</v>
      </c>
      <c r="F474">
        <v>16</v>
      </c>
      <c r="G474">
        <v>19</v>
      </c>
      <c r="H474">
        <v>7</v>
      </c>
      <c r="I474" t="s">
        <v>64</v>
      </c>
      <c r="J474" t="s">
        <v>97</v>
      </c>
      <c r="K474" t="s">
        <v>97</v>
      </c>
      <c r="L474" t="s">
        <v>289</v>
      </c>
      <c r="M474">
        <v>1</v>
      </c>
      <c r="N474" t="str">
        <f t="shared" si="84"/>
        <v>3. 16+ anos</v>
      </c>
      <c r="O474" t="str">
        <f t="shared" si="85"/>
        <v>1. &lt; 20</v>
      </c>
      <c r="P474" t="str">
        <f t="shared" si="86"/>
        <v>3. 6 a 15</v>
      </c>
      <c r="Q474">
        <f t="shared" si="87"/>
        <v>1</v>
      </c>
      <c r="R474">
        <f t="shared" si="88"/>
        <v>0</v>
      </c>
      <c r="S474">
        <f t="shared" si="89"/>
        <v>0</v>
      </c>
      <c r="V474" s="18">
        <f t="shared" si="90"/>
        <v>0.43835616438356162</v>
      </c>
      <c r="W474" s="18">
        <f t="shared" si="91"/>
        <v>0.55319148936170215</v>
      </c>
      <c r="X474" s="18">
        <f t="shared" si="92"/>
        <v>0.10309278350515463</v>
      </c>
      <c r="Y474" s="18">
        <f t="shared" si="93"/>
        <v>0.15625</v>
      </c>
      <c r="Z474" s="18">
        <f t="shared" si="94"/>
        <v>0.56634304207119746</v>
      </c>
      <c r="AA474" s="10">
        <f t="shared" si="95"/>
        <v>0.36344669590000001</v>
      </c>
      <c r="AB474" t="str">
        <f>IF(AA474&gt;=Como_Avaliar!$B$15,"Alta",IF(AA474&gt;=Como_Avaliar!$B$16,"Média","Baixa"))</f>
        <v>Média</v>
      </c>
    </row>
    <row r="475" spans="1:28" x14ac:dyDescent="0.25">
      <c r="A475" t="s">
        <v>779</v>
      </c>
      <c r="B475" t="s">
        <v>286</v>
      </c>
      <c r="C475" t="s">
        <v>88</v>
      </c>
      <c r="D475" t="s">
        <v>56</v>
      </c>
      <c r="E475" t="s">
        <v>93</v>
      </c>
      <c r="F475">
        <v>7</v>
      </c>
      <c r="G475">
        <v>5</v>
      </c>
      <c r="H475">
        <v>1</v>
      </c>
      <c r="I475" t="s">
        <v>64</v>
      </c>
      <c r="J475" t="s">
        <v>97</v>
      </c>
      <c r="K475" t="s">
        <v>97</v>
      </c>
      <c r="L475" t="s">
        <v>284</v>
      </c>
      <c r="M475">
        <v>0</v>
      </c>
      <c r="N475" t="str">
        <f t="shared" si="84"/>
        <v>1. &lt; 8 anos</v>
      </c>
      <c r="O475" t="str">
        <f t="shared" si="85"/>
        <v>1. &lt; 20</v>
      </c>
      <c r="P475" t="str">
        <f t="shared" si="86"/>
        <v>1. 1 a 2</v>
      </c>
      <c r="Q475">
        <f t="shared" si="87"/>
        <v>1</v>
      </c>
      <c r="R475">
        <f t="shared" si="88"/>
        <v>0</v>
      </c>
      <c r="S475">
        <f t="shared" si="89"/>
        <v>1</v>
      </c>
      <c r="T475">
        <v>1</v>
      </c>
      <c r="U475" t="s">
        <v>139</v>
      </c>
      <c r="V475" s="18">
        <f t="shared" si="90"/>
        <v>6.8273092369477914E-2</v>
      </c>
      <c r="W475" s="18">
        <f t="shared" si="91"/>
        <v>8.6792452830188674E-2</v>
      </c>
      <c r="X475" s="18">
        <f t="shared" si="92"/>
        <v>0.10309278350515463</v>
      </c>
      <c r="Y475" s="18">
        <f t="shared" si="93"/>
        <v>0.15625</v>
      </c>
      <c r="Z475" s="18">
        <f t="shared" si="94"/>
        <v>0.22368421052631579</v>
      </c>
      <c r="AA475" s="10">
        <f t="shared" si="95"/>
        <v>0.1276185078</v>
      </c>
      <c r="AB475" t="str">
        <f>IF(AA475&gt;=Como_Avaliar!$B$15,"Alta",IF(AA475&gt;=Como_Avaliar!$B$16,"Média","Baixa"))</f>
        <v>Baixa</v>
      </c>
    </row>
    <row r="476" spans="1:28" x14ac:dyDescent="0.25">
      <c r="A476" t="s">
        <v>780</v>
      </c>
      <c r="B476" t="s">
        <v>301</v>
      </c>
      <c r="C476" t="s">
        <v>88</v>
      </c>
      <c r="D476" t="s">
        <v>58</v>
      </c>
      <c r="E476" t="s">
        <v>90</v>
      </c>
      <c r="F476">
        <v>29</v>
      </c>
      <c r="G476">
        <v>231</v>
      </c>
      <c r="H476">
        <v>20</v>
      </c>
      <c r="I476" t="s">
        <v>66</v>
      </c>
      <c r="J476" t="s">
        <v>98</v>
      </c>
      <c r="K476" t="s">
        <v>97</v>
      </c>
      <c r="L476" t="s">
        <v>298</v>
      </c>
      <c r="M476">
        <v>1</v>
      </c>
      <c r="N476" t="str">
        <f t="shared" si="84"/>
        <v>3. 16+ anos</v>
      </c>
      <c r="O476" t="str">
        <f t="shared" si="85"/>
        <v>4. 150+</v>
      </c>
      <c r="P476" t="str">
        <f t="shared" si="86"/>
        <v>4. 16+</v>
      </c>
      <c r="Q476">
        <f t="shared" si="87"/>
        <v>0</v>
      </c>
      <c r="R476">
        <f t="shared" si="88"/>
        <v>1</v>
      </c>
      <c r="S476">
        <f t="shared" si="89"/>
        <v>0</v>
      </c>
      <c r="V476" s="18">
        <f t="shared" si="90"/>
        <v>0.93975903614457834</v>
      </c>
      <c r="W476" s="18">
        <f t="shared" si="91"/>
        <v>0.97272727272727277</v>
      </c>
      <c r="X476" s="18">
        <f t="shared" si="92"/>
        <v>0.97938144329896903</v>
      </c>
      <c r="Y476" s="18">
        <f t="shared" si="93"/>
        <v>1</v>
      </c>
      <c r="Z476" s="18">
        <f t="shared" si="94"/>
        <v>0.56634304207119746</v>
      </c>
      <c r="AA476" s="10">
        <f t="shared" si="95"/>
        <v>0.89164215879999997</v>
      </c>
      <c r="AB476" t="str">
        <f>IF(AA476&gt;=Como_Avaliar!$B$15,"Alta",IF(AA476&gt;=Como_Avaliar!$B$16,"Média","Baixa"))</f>
        <v>Alta</v>
      </c>
    </row>
    <row r="477" spans="1:28" x14ac:dyDescent="0.25">
      <c r="A477" t="s">
        <v>781</v>
      </c>
      <c r="B477" t="s">
        <v>297</v>
      </c>
      <c r="C477" t="s">
        <v>86</v>
      </c>
      <c r="D477" t="s">
        <v>59</v>
      </c>
      <c r="E477" t="s">
        <v>95</v>
      </c>
      <c r="F477">
        <v>10</v>
      </c>
      <c r="G477">
        <v>21</v>
      </c>
      <c r="H477">
        <v>8</v>
      </c>
      <c r="I477" t="s">
        <v>62</v>
      </c>
      <c r="J477" t="s">
        <v>97</v>
      </c>
      <c r="K477" t="s">
        <v>98</v>
      </c>
      <c r="L477" t="s">
        <v>298</v>
      </c>
      <c r="M477">
        <v>0</v>
      </c>
      <c r="N477" t="str">
        <f t="shared" si="84"/>
        <v>2. 8 a 15 anos</v>
      </c>
      <c r="O477" t="str">
        <f t="shared" si="85"/>
        <v>2. 20 a 49</v>
      </c>
      <c r="P477" t="str">
        <f t="shared" si="86"/>
        <v>3. 6 a 15</v>
      </c>
      <c r="Q477">
        <f t="shared" si="87"/>
        <v>0</v>
      </c>
      <c r="R477">
        <f t="shared" si="88"/>
        <v>0</v>
      </c>
      <c r="S477">
        <f t="shared" si="89"/>
        <v>1</v>
      </c>
      <c r="T477">
        <v>3</v>
      </c>
      <c r="U477" t="s">
        <v>138</v>
      </c>
      <c r="V477" s="18">
        <f t="shared" si="90"/>
        <v>0.43835616438356162</v>
      </c>
      <c r="W477" s="18">
        <f t="shared" si="91"/>
        <v>0.55319148936170215</v>
      </c>
      <c r="X477" s="18">
        <f t="shared" si="92"/>
        <v>0.25294117647058822</v>
      </c>
      <c r="Y477" s="18">
        <f t="shared" si="93"/>
        <v>0.37662337662337664</v>
      </c>
      <c r="Z477" s="18">
        <f t="shared" si="94"/>
        <v>0.22302158273381295</v>
      </c>
      <c r="AA477" s="10">
        <f t="shared" si="95"/>
        <v>0.36882675790000002</v>
      </c>
      <c r="AB477" t="str">
        <f>IF(AA477&gt;=Como_Avaliar!$B$15,"Alta",IF(AA477&gt;=Como_Avaliar!$B$16,"Média","Baixa"))</f>
        <v>Média</v>
      </c>
    </row>
    <row r="478" spans="1:28" x14ac:dyDescent="0.25">
      <c r="A478" t="s">
        <v>782</v>
      </c>
      <c r="B478" t="s">
        <v>312</v>
      </c>
      <c r="C478" t="s">
        <v>89</v>
      </c>
      <c r="D478" t="s">
        <v>59</v>
      </c>
      <c r="E478" t="s">
        <v>90</v>
      </c>
      <c r="F478">
        <v>23</v>
      </c>
      <c r="G478">
        <v>15</v>
      </c>
      <c r="H478">
        <v>7</v>
      </c>
      <c r="I478" t="s">
        <v>62</v>
      </c>
      <c r="J478" t="s">
        <v>97</v>
      </c>
      <c r="K478" t="s">
        <v>98</v>
      </c>
      <c r="L478" t="s">
        <v>289</v>
      </c>
      <c r="M478">
        <v>1</v>
      </c>
      <c r="N478" t="str">
        <f t="shared" si="84"/>
        <v>3. 16+ anos</v>
      </c>
      <c r="O478" t="str">
        <f t="shared" si="85"/>
        <v>1. &lt; 20</v>
      </c>
      <c r="P478" t="str">
        <f t="shared" si="86"/>
        <v>3. 6 a 15</v>
      </c>
      <c r="Q478">
        <f t="shared" si="87"/>
        <v>0</v>
      </c>
      <c r="R478">
        <f t="shared" si="88"/>
        <v>0</v>
      </c>
      <c r="S478">
        <f t="shared" si="89"/>
        <v>0</v>
      </c>
      <c r="V478" s="18">
        <f t="shared" si="90"/>
        <v>0.43835616438356162</v>
      </c>
      <c r="W478" s="18">
        <f t="shared" si="91"/>
        <v>0.55319148936170215</v>
      </c>
      <c r="X478" s="18">
        <f t="shared" si="92"/>
        <v>0.10309278350515463</v>
      </c>
      <c r="Y478" s="18">
        <f t="shared" si="93"/>
        <v>0.37662337662337664</v>
      </c>
      <c r="Z478" s="18">
        <f t="shared" si="94"/>
        <v>0.56634304207119746</v>
      </c>
      <c r="AA478" s="10">
        <f t="shared" si="95"/>
        <v>0.40752137119999998</v>
      </c>
      <c r="AB478" t="str">
        <f>IF(AA478&gt;=Como_Avaliar!$B$15,"Alta",IF(AA478&gt;=Como_Avaliar!$B$16,"Média","Baixa"))</f>
        <v>Média</v>
      </c>
    </row>
    <row r="479" spans="1:28" x14ac:dyDescent="0.25">
      <c r="A479" t="s">
        <v>783</v>
      </c>
      <c r="B479" t="s">
        <v>295</v>
      </c>
      <c r="C479" t="s">
        <v>84</v>
      </c>
      <c r="D479" t="s">
        <v>58</v>
      </c>
      <c r="E479" t="s">
        <v>93</v>
      </c>
      <c r="F479">
        <v>26</v>
      </c>
      <c r="G479">
        <v>165</v>
      </c>
      <c r="H479">
        <v>25</v>
      </c>
      <c r="I479" t="s">
        <v>65</v>
      </c>
      <c r="J479" t="s">
        <v>98</v>
      </c>
      <c r="K479" t="s">
        <v>98</v>
      </c>
      <c r="L479" t="s">
        <v>289</v>
      </c>
      <c r="M479">
        <v>1</v>
      </c>
      <c r="N479" t="str">
        <f t="shared" si="84"/>
        <v>3. 16+ anos</v>
      </c>
      <c r="O479" t="str">
        <f t="shared" si="85"/>
        <v>4. 150+</v>
      </c>
      <c r="P479" t="str">
        <f t="shared" si="86"/>
        <v>4. 16+</v>
      </c>
      <c r="Q479">
        <f t="shared" si="87"/>
        <v>0</v>
      </c>
      <c r="R479">
        <f t="shared" si="88"/>
        <v>1</v>
      </c>
      <c r="S479">
        <f t="shared" si="89"/>
        <v>0</v>
      </c>
      <c r="V479" s="18">
        <f t="shared" si="90"/>
        <v>0.93975903614457834</v>
      </c>
      <c r="W479" s="18">
        <f t="shared" si="91"/>
        <v>0.97272727272727277</v>
      </c>
      <c r="X479" s="18">
        <f t="shared" si="92"/>
        <v>0.97938144329896903</v>
      </c>
      <c r="Y479" s="18">
        <f t="shared" si="93"/>
        <v>0.39751552795031053</v>
      </c>
      <c r="Z479" s="18">
        <f t="shared" si="94"/>
        <v>0.56634304207119746</v>
      </c>
      <c r="AA479" s="10">
        <f t="shared" si="95"/>
        <v>0.77114526439999997</v>
      </c>
      <c r="AB479" t="str">
        <f>IF(AA479&gt;=Como_Avaliar!$B$15,"Alta",IF(AA479&gt;=Como_Avaliar!$B$16,"Média","Baixa"))</f>
        <v>Alta</v>
      </c>
    </row>
    <row r="480" spans="1:28" x14ac:dyDescent="0.25">
      <c r="A480" t="s">
        <v>784</v>
      </c>
      <c r="B480" t="s">
        <v>327</v>
      </c>
      <c r="C480" t="s">
        <v>86</v>
      </c>
      <c r="D480" t="s">
        <v>56</v>
      </c>
      <c r="E480" t="s">
        <v>90</v>
      </c>
      <c r="F480">
        <v>3</v>
      </c>
      <c r="G480">
        <v>7</v>
      </c>
      <c r="H480">
        <v>1</v>
      </c>
      <c r="I480" t="s">
        <v>62</v>
      </c>
      <c r="J480" t="s">
        <v>97</v>
      </c>
      <c r="K480" t="s">
        <v>97</v>
      </c>
      <c r="L480" t="s">
        <v>298</v>
      </c>
      <c r="M480">
        <v>0</v>
      </c>
      <c r="N480" t="str">
        <f t="shared" si="84"/>
        <v>1. &lt; 8 anos</v>
      </c>
      <c r="O480" t="str">
        <f t="shared" si="85"/>
        <v>1. &lt; 20</v>
      </c>
      <c r="P480" t="str">
        <f t="shared" si="86"/>
        <v>1. 1 a 2</v>
      </c>
      <c r="Q480">
        <f t="shared" si="87"/>
        <v>0</v>
      </c>
      <c r="R480">
        <f t="shared" si="88"/>
        <v>0</v>
      </c>
      <c r="S480">
        <f t="shared" si="89"/>
        <v>1</v>
      </c>
      <c r="T480">
        <v>1</v>
      </c>
      <c r="U480" t="s">
        <v>139</v>
      </c>
      <c r="V480" s="18">
        <f t="shared" si="90"/>
        <v>6.8273092369477914E-2</v>
      </c>
      <c r="W480" s="18">
        <f t="shared" si="91"/>
        <v>8.6792452830188674E-2</v>
      </c>
      <c r="X480" s="18">
        <f t="shared" si="92"/>
        <v>0.10309278350515463</v>
      </c>
      <c r="Y480" s="18">
        <f t="shared" si="93"/>
        <v>0.37662337662337664</v>
      </c>
      <c r="Z480" s="18">
        <f t="shared" si="94"/>
        <v>0.22368421052631579</v>
      </c>
      <c r="AA480" s="10">
        <f t="shared" si="95"/>
        <v>0.17169318319999999</v>
      </c>
      <c r="AB480" t="str">
        <f>IF(AA480&gt;=Como_Avaliar!$B$15,"Alta",IF(AA480&gt;=Como_Avaliar!$B$16,"Média","Baixa"))</f>
        <v>Baixa</v>
      </c>
    </row>
    <row r="481" spans="1:28" x14ac:dyDescent="0.25">
      <c r="A481" t="s">
        <v>785</v>
      </c>
      <c r="B481" t="s">
        <v>426</v>
      </c>
      <c r="C481" t="s">
        <v>84</v>
      </c>
      <c r="D481" t="s">
        <v>59</v>
      </c>
      <c r="E481" t="s">
        <v>94</v>
      </c>
      <c r="F481">
        <v>18</v>
      </c>
      <c r="G481">
        <v>44</v>
      </c>
      <c r="H481">
        <v>9</v>
      </c>
      <c r="I481" t="s">
        <v>60</v>
      </c>
      <c r="J481" t="s">
        <v>98</v>
      </c>
      <c r="K481" t="s">
        <v>97</v>
      </c>
      <c r="L481" t="s">
        <v>284</v>
      </c>
      <c r="M481">
        <v>0</v>
      </c>
      <c r="N481" t="str">
        <f t="shared" si="84"/>
        <v>3. 16+ anos</v>
      </c>
      <c r="O481" t="str">
        <f t="shared" si="85"/>
        <v>2. 20 a 49</v>
      </c>
      <c r="P481" t="str">
        <f t="shared" si="86"/>
        <v>3. 6 a 15</v>
      </c>
      <c r="Q481">
        <f t="shared" si="87"/>
        <v>0</v>
      </c>
      <c r="R481">
        <f t="shared" si="88"/>
        <v>0</v>
      </c>
      <c r="S481">
        <f t="shared" si="89"/>
        <v>1</v>
      </c>
      <c r="T481">
        <v>4</v>
      </c>
      <c r="U481" t="s">
        <v>137</v>
      </c>
      <c r="V481" s="18">
        <f t="shared" si="90"/>
        <v>0.43835616438356162</v>
      </c>
      <c r="W481" s="18">
        <f t="shared" si="91"/>
        <v>0.55319148936170215</v>
      </c>
      <c r="X481" s="18">
        <f t="shared" si="92"/>
        <v>0.25294117647058822</v>
      </c>
      <c r="Y481" s="18">
        <f t="shared" si="93"/>
        <v>0.65217391304347827</v>
      </c>
      <c r="Z481" s="18">
        <f t="shared" si="94"/>
        <v>0.56634304207119746</v>
      </c>
      <c r="AA481" s="10">
        <f t="shared" si="95"/>
        <v>0.49260115710000002</v>
      </c>
      <c r="AB481" t="str">
        <f>IF(AA481&gt;=Como_Avaliar!$B$15,"Alta",IF(AA481&gt;=Como_Avaliar!$B$16,"Média","Baixa"))</f>
        <v>Alta</v>
      </c>
    </row>
    <row r="482" spans="1:28" x14ac:dyDescent="0.25">
      <c r="A482" t="s">
        <v>786</v>
      </c>
      <c r="B482" t="s">
        <v>301</v>
      </c>
      <c r="C482" t="s">
        <v>88</v>
      </c>
      <c r="D482" t="s">
        <v>58</v>
      </c>
      <c r="E482" t="s">
        <v>96</v>
      </c>
      <c r="F482">
        <v>25</v>
      </c>
      <c r="G482">
        <v>77</v>
      </c>
      <c r="H482">
        <v>10</v>
      </c>
      <c r="I482" t="s">
        <v>60</v>
      </c>
      <c r="J482" t="s">
        <v>97</v>
      </c>
      <c r="K482" t="s">
        <v>98</v>
      </c>
      <c r="L482" t="s">
        <v>289</v>
      </c>
      <c r="M482">
        <v>1</v>
      </c>
      <c r="N482" t="str">
        <f t="shared" si="84"/>
        <v>3. 16+ anos</v>
      </c>
      <c r="O482" t="str">
        <f t="shared" si="85"/>
        <v>3. 50 a 149</v>
      </c>
      <c r="P482" t="str">
        <f t="shared" si="86"/>
        <v>3. 6 a 15</v>
      </c>
      <c r="Q482">
        <f t="shared" si="87"/>
        <v>0</v>
      </c>
      <c r="R482">
        <f t="shared" si="88"/>
        <v>1</v>
      </c>
      <c r="S482">
        <f t="shared" si="89"/>
        <v>0</v>
      </c>
      <c r="V482" s="18">
        <f t="shared" si="90"/>
        <v>0.93975903614457834</v>
      </c>
      <c r="W482" s="18">
        <f t="shared" si="91"/>
        <v>0.55319148936170215</v>
      </c>
      <c r="X482" s="18">
        <f t="shared" si="92"/>
        <v>0.58992805755395683</v>
      </c>
      <c r="Y482" s="18">
        <f t="shared" si="93"/>
        <v>0.65217391304347827</v>
      </c>
      <c r="Z482" s="18">
        <f t="shared" si="94"/>
        <v>0.56634304207119746</v>
      </c>
      <c r="AA482" s="10">
        <f t="shared" si="95"/>
        <v>0.66027910759999997</v>
      </c>
      <c r="AB482" t="str">
        <f>IF(AA482&gt;=Como_Avaliar!$B$15,"Alta",IF(AA482&gt;=Como_Avaliar!$B$16,"Média","Baixa"))</f>
        <v>Alta</v>
      </c>
    </row>
    <row r="483" spans="1:28" x14ac:dyDescent="0.25">
      <c r="A483" t="s">
        <v>787</v>
      </c>
      <c r="B483" t="s">
        <v>286</v>
      </c>
      <c r="C483" t="s">
        <v>88</v>
      </c>
      <c r="D483" t="s">
        <v>58</v>
      </c>
      <c r="E483" t="s">
        <v>92</v>
      </c>
      <c r="F483">
        <v>24</v>
      </c>
      <c r="G483">
        <v>241</v>
      </c>
      <c r="H483">
        <v>8</v>
      </c>
      <c r="I483" t="s">
        <v>62</v>
      </c>
      <c r="J483" t="s">
        <v>98</v>
      </c>
      <c r="K483" t="s">
        <v>97</v>
      </c>
      <c r="L483" t="s">
        <v>298</v>
      </c>
      <c r="M483">
        <v>1</v>
      </c>
      <c r="N483" t="str">
        <f t="shared" si="84"/>
        <v>3. 16+ anos</v>
      </c>
      <c r="O483" t="str">
        <f t="shared" si="85"/>
        <v>4. 150+</v>
      </c>
      <c r="P483" t="str">
        <f t="shared" si="86"/>
        <v>3. 6 a 15</v>
      </c>
      <c r="Q483">
        <f t="shared" si="87"/>
        <v>0</v>
      </c>
      <c r="R483">
        <f t="shared" si="88"/>
        <v>1</v>
      </c>
      <c r="S483">
        <f t="shared" si="89"/>
        <v>0</v>
      </c>
      <c r="V483" s="18">
        <f t="shared" si="90"/>
        <v>0.93975903614457834</v>
      </c>
      <c r="W483" s="18">
        <f t="shared" si="91"/>
        <v>0.55319148936170215</v>
      </c>
      <c r="X483" s="18">
        <f t="shared" si="92"/>
        <v>0.97938144329896903</v>
      </c>
      <c r="Y483" s="18">
        <f t="shared" si="93"/>
        <v>0.37662337662337664</v>
      </c>
      <c r="Z483" s="18">
        <f t="shared" si="94"/>
        <v>0.56634304207119746</v>
      </c>
      <c r="AA483" s="10">
        <f t="shared" si="95"/>
        <v>0.68305967749999996</v>
      </c>
      <c r="AB483" t="str">
        <f>IF(AA483&gt;=Como_Avaliar!$B$15,"Alta",IF(AA483&gt;=Como_Avaliar!$B$16,"Média","Baixa"))</f>
        <v>Alta</v>
      </c>
    </row>
    <row r="484" spans="1:28" x14ac:dyDescent="0.25">
      <c r="A484" t="s">
        <v>788</v>
      </c>
      <c r="B484" t="s">
        <v>301</v>
      </c>
      <c r="C484" t="s">
        <v>88</v>
      </c>
      <c r="D484" t="s">
        <v>59</v>
      </c>
      <c r="E484" t="s">
        <v>92</v>
      </c>
      <c r="F484">
        <v>13</v>
      </c>
      <c r="G484">
        <v>34</v>
      </c>
      <c r="H484">
        <v>3</v>
      </c>
      <c r="I484" t="s">
        <v>68</v>
      </c>
      <c r="J484" t="s">
        <v>97</v>
      </c>
      <c r="K484" t="s">
        <v>97</v>
      </c>
      <c r="L484" t="s">
        <v>329</v>
      </c>
      <c r="M484">
        <v>0</v>
      </c>
      <c r="N484" t="str">
        <f t="shared" si="84"/>
        <v>2. 8 a 15 anos</v>
      </c>
      <c r="O484" t="str">
        <f t="shared" si="85"/>
        <v>2. 20 a 49</v>
      </c>
      <c r="P484" t="str">
        <f t="shared" si="86"/>
        <v>2. 3 a 5</v>
      </c>
      <c r="Q484">
        <f t="shared" si="87"/>
        <v>0</v>
      </c>
      <c r="R484">
        <f t="shared" si="88"/>
        <v>0</v>
      </c>
      <c r="S484">
        <f t="shared" si="89"/>
        <v>1</v>
      </c>
      <c r="T484">
        <v>3</v>
      </c>
      <c r="U484" t="s">
        <v>138</v>
      </c>
      <c r="V484" s="18">
        <f t="shared" si="90"/>
        <v>0.43835616438356162</v>
      </c>
      <c r="W484" s="18">
        <f t="shared" si="91"/>
        <v>0.38095238095238093</v>
      </c>
      <c r="X484" s="18">
        <f t="shared" si="92"/>
        <v>0.25294117647058822</v>
      </c>
      <c r="Y484" s="18">
        <f t="shared" si="93"/>
        <v>0.58333333333333337</v>
      </c>
      <c r="Z484" s="18">
        <f t="shared" si="94"/>
        <v>0.22302158273381295</v>
      </c>
      <c r="AA484" s="10">
        <f t="shared" si="95"/>
        <v>0.37572092759999998</v>
      </c>
      <c r="AB484" t="str">
        <f>IF(AA484&gt;=Como_Avaliar!$B$15,"Alta",IF(AA484&gt;=Como_Avaliar!$B$16,"Média","Baixa"))</f>
        <v>Média</v>
      </c>
    </row>
    <row r="485" spans="1:28" x14ac:dyDescent="0.25">
      <c r="A485" t="s">
        <v>789</v>
      </c>
      <c r="B485" t="s">
        <v>426</v>
      </c>
      <c r="C485" t="s">
        <v>84</v>
      </c>
      <c r="D485" t="s">
        <v>56</v>
      </c>
      <c r="E485" t="s">
        <v>94</v>
      </c>
      <c r="F485">
        <v>28</v>
      </c>
      <c r="G485">
        <v>3</v>
      </c>
      <c r="H485">
        <v>1</v>
      </c>
      <c r="I485" t="s">
        <v>62</v>
      </c>
      <c r="J485" t="s">
        <v>97</v>
      </c>
      <c r="K485" t="s">
        <v>97</v>
      </c>
      <c r="L485" t="s">
        <v>322</v>
      </c>
      <c r="M485">
        <v>0</v>
      </c>
      <c r="N485" t="str">
        <f t="shared" si="84"/>
        <v>3. 16+ anos</v>
      </c>
      <c r="O485" t="str">
        <f t="shared" si="85"/>
        <v>1. &lt; 20</v>
      </c>
      <c r="P485" t="str">
        <f t="shared" si="86"/>
        <v>1. 1 a 2</v>
      </c>
      <c r="Q485">
        <f t="shared" si="87"/>
        <v>0</v>
      </c>
      <c r="R485">
        <f t="shared" si="88"/>
        <v>0</v>
      </c>
      <c r="S485">
        <f t="shared" si="89"/>
        <v>0</v>
      </c>
      <c r="V485" s="18">
        <f t="shared" si="90"/>
        <v>6.8273092369477914E-2</v>
      </c>
      <c r="W485" s="18">
        <f t="shared" si="91"/>
        <v>8.6792452830188674E-2</v>
      </c>
      <c r="X485" s="18">
        <f t="shared" si="92"/>
        <v>0.10309278350515463</v>
      </c>
      <c r="Y485" s="18">
        <f t="shared" si="93"/>
        <v>0.37662337662337664</v>
      </c>
      <c r="Z485" s="18">
        <f t="shared" si="94"/>
        <v>0.56634304207119746</v>
      </c>
      <c r="AA485" s="10">
        <f t="shared" si="95"/>
        <v>0.24022494950000001</v>
      </c>
      <c r="AB485" t="str">
        <f>IF(AA485&gt;=Como_Avaliar!$B$15,"Alta",IF(AA485&gt;=Como_Avaliar!$B$16,"Média","Baixa"))</f>
        <v>Média</v>
      </c>
    </row>
    <row r="486" spans="1:28" x14ac:dyDescent="0.25">
      <c r="A486" t="s">
        <v>790</v>
      </c>
      <c r="B486" t="s">
        <v>327</v>
      </c>
      <c r="C486" t="s">
        <v>86</v>
      </c>
      <c r="D486" t="s">
        <v>56</v>
      </c>
      <c r="E486" t="s">
        <v>96</v>
      </c>
      <c r="F486">
        <v>26</v>
      </c>
      <c r="G486">
        <v>9</v>
      </c>
      <c r="H486">
        <v>2</v>
      </c>
      <c r="I486" t="s">
        <v>63</v>
      </c>
      <c r="J486" t="s">
        <v>98</v>
      </c>
      <c r="K486" t="s">
        <v>97</v>
      </c>
      <c r="L486" t="s">
        <v>293</v>
      </c>
      <c r="M486">
        <v>0</v>
      </c>
      <c r="N486" t="str">
        <f t="shared" si="84"/>
        <v>3. 16+ anos</v>
      </c>
      <c r="O486" t="str">
        <f t="shared" si="85"/>
        <v>1. &lt; 20</v>
      </c>
      <c r="P486" t="str">
        <f t="shared" si="86"/>
        <v>1. 1 a 2</v>
      </c>
      <c r="Q486">
        <f t="shared" si="87"/>
        <v>1</v>
      </c>
      <c r="R486">
        <f t="shared" si="88"/>
        <v>0</v>
      </c>
      <c r="S486">
        <f t="shared" si="89"/>
        <v>1</v>
      </c>
      <c r="T486">
        <v>1</v>
      </c>
      <c r="U486" t="s">
        <v>139</v>
      </c>
      <c r="V486" s="18">
        <f t="shared" si="90"/>
        <v>6.8273092369477914E-2</v>
      </c>
      <c r="W486" s="18">
        <f t="shared" si="91"/>
        <v>8.6792452830188674E-2</v>
      </c>
      <c r="X486" s="18">
        <f t="shared" si="92"/>
        <v>0.10309278350515463</v>
      </c>
      <c r="Y486" s="18">
        <f t="shared" si="93"/>
        <v>6.5217391304347824E-2</v>
      </c>
      <c r="Z486" s="18">
        <f t="shared" si="94"/>
        <v>0.56634304207119746</v>
      </c>
      <c r="AA486" s="10">
        <f t="shared" si="95"/>
        <v>0.17794375239999999</v>
      </c>
      <c r="AB486" t="str">
        <f>IF(AA486&gt;=Como_Avaliar!$B$15,"Alta",IF(AA486&gt;=Como_Avaliar!$B$16,"Média","Baixa"))</f>
        <v>Baixa</v>
      </c>
    </row>
    <row r="487" spans="1:28" x14ac:dyDescent="0.25">
      <c r="A487" t="s">
        <v>791</v>
      </c>
      <c r="B487" t="s">
        <v>321</v>
      </c>
      <c r="C487" t="s">
        <v>86</v>
      </c>
      <c r="D487" t="s">
        <v>57</v>
      </c>
      <c r="E487" t="s">
        <v>90</v>
      </c>
      <c r="F487">
        <v>7</v>
      </c>
      <c r="G487">
        <v>717</v>
      </c>
      <c r="H487">
        <v>52</v>
      </c>
      <c r="I487" t="s">
        <v>65</v>
      </c>
      <c r="J487" t="s">
        <v>98</v>
      </c>
      <c r="K487" t="s">
        <v>97</v>
      </c>
      <c r="L487" t="s">
        <v>284</v>
      </c>
      <c r="M487">
        <v>1</v>
      </c>
      <c r="N487" t="str">
        <f t="shared" si="84"/>
        <v>1. &lt; 8 anos</v>
      </c>
      <c r="O487" t="str">
        <f t="shared" si="85"/>
        <v>4. 150+</v>
      </c>
      <c r="P487" t="str">
        <f t="shared" si="86"/>
        <v>4. 16+</v>
      </c>
      <c r="Q487">
        <f t="shared" si="87"/>
        <v>0</v>
      </c>
      <c r="R487">
        <f t="shared" si="88"/>
        <v>1</v>
      </c>
      <c r="S487">
        <f t="shared" si="89"/>
        <v>0</v>
      </c>
      <c r="V487" s="18">
        <f t="shared" si="90"/>
        <v>1</v>
      </c>
      <c r="W487" s="18">
        <f t="shared" si="91"/>
        <v>0.97272727272727277</v>
      </c>
      <c r="X487" s="18">
        <f t="shared" si="92"/>
        <v>0.97938144329896903</v>
      </c>
      <c r="Y487" s="18">
        <f t="shared" si="93"/>
        <v>0.39751552795031053</v>
      </c>
      <c r="Z487" s="18">
        <f t="shared" si="94"/>
        <v>0.22368421052631579</v>
      </c>
      <c r="AA487" s="10">
        <f t="shared" si="95"/>
        <v>0.71466169089999998</v>
      </c>
      <c r="AB487" t="str">
        <f>IF(AA487&gt;=Como_Avaliar!$B$15,"Alta",IF(AA487&gt;=Como_Avaliar!$B$16,"Média","Baixa"))</f>
        <v>Alta</v>
      </c>
    </row>
    <row r="488" spans="1:28" x14ac:dyDescent="0.25">
      <c r="A488" t="s">
        <v>792</v>
      </c>
      <c r="B488" t="s">
        <v>301</v>
      </c>
      <c r="C488" t="s">
        <v>88</v>
      </c>
      <c r="D488" t="s">
        <v>56</v>
      </c>
      <c r="E488" t="s">
        <v>91</v>
      </c>
      <c r="F488">
        <v>25</v>
      </c>
      <c r="G488">
        <v>17</v>
      </c>
      <c r="H488">
        <v>1</v>
      </c>
      <c r="I488" t="s">
        <v>64</v>
      </c>
      <c r="J488" t="s">
        <v>98</v>
      </c>
      <c r="K488" t="s">
        <v>97</v>
      </c>
      <c r="L488" t="s">
        <v>289</v>
      </c>
      <c r="M488">
        <v>0</v>
      </c>
      <c r="N488" t="str">
        <f t="shared" si="84"/>
        <v>3. 16+ anos</v>
      </c>
      <c r="O488" t="str">
        <f t="shared" si="85"/>
        <v>1. &lt; 20</v>
      </c>
      <c r="P488" t="str">
        <f t="shared" si="86"/>
        <v>1. 1 a 2</v>
      </c>
      <c r="Q488">
        <f t="shared" si="87"/>
        <v>1</v>
      </c>
      <c r="R488">
        <f t="shared" si="88"/>
        <v>0</v>
      </c>
      <c r="S488">
        <f t="shared" si="89"/>
        <v>1</v>
      </c>
      <c r="T488">
        <v>2</v>
      </c>
      <c r="U488" t="s">
        <v>139</v>
      </c>
      <c r="V488" s="18">
        <f t="shared" si="90"/>
        <v>6.8273092369477914E-2</v>
      </c>
      <c r="W488" s="18">
        <f t="shared" si="91"/>
        <v>8.6792452830188674E-2</v>
      </c>
      <c r="X488" s="18">
        <f t="shared" si="92"/>
        <v>0.10309278350515463</v>
      </c>
      <c r="Y488" s="18">
        <f t="shared" si="93"/>
        <v>0.15625</v>
      </c>
      <c r="Z488" s="18">
        <f t="shared" si="94"/>
        <v>0.56634304207119746</v>
      </c>
      <c r="AA488" s="10">
        <f t="shared" si="95"/>
        <v>0.1961502742</v>
      </c>
      <c r="AB488" t="str">
        <f>IF(AA488&gt;=Como_Avaliar!$B$15,"Alta",IF(AA488&gt;=Como_Avaliar!$B$16,"Média","Baixa"))</f>
        <v>Baixa</v>
      </c>
    </row>
    <row r="489" spans="1:28" x14ac:dyDescent="0.25">
      <c r="A489" t="s">
        <v>793</v>
      </c>
      <c r="B489" t="s">
        <v>426</v>
      </c>
      <c r="C489" t="s">
        <v>84</v>
      </c>
      <c r="D489" t="s">
        <v>57</v>
      </c>
      <c r="E489" t="s">
        <v>96</v>
      </c>
      <c r="F489">
        <v>4</v>
      </c>
      <c r="G489">
        <v>582</v>
      </c>
      <c r="H489">
        <v>32</v>
      </c>
      <c r="I489" t="s">
        <v>62</v>
      </c>
      <c r="J489" t="s">
        <v>98</v>
      </c>
      <c r="K489" t="s">
        <v>98</v>
      </c>
      <c r="L489" t="s">
        <v>284</v>
      </c>
      <c r="M489">
        <v>1</v>
      </c>
      <c r="N489" t="str">
        <f t="shared" si="84"/>
        <v>1. &lt; 8 anos</v>
      </c>
      <c r="O489" t="str">
        <f t="shared" si="85"/>
        <v>4. 150+</v>
      </c>
      <c r="P489" t="str">
        <f t="shared" si="86"/>
        <v>4. 16+</v>
      </c>
      <c r="Q489">
        <f t="shared" si="87"/>
        <v>0</v>
      </c>
      <c r="R489">
        <f t="shared" si="88"/>
        <v>1</v>
      </c>
      <c r="S489">
        <f t="shared" si="89"/>
        <v>0</v>
      </c>
      <c r="V489" s="18">
        <f t="shared" si="90"/>
        <v>1</v>
      </c>
      <c r="W489" s="18">
        <f t="shared" si="91"/>
        <v>0.97272727272727277</v>
      </c>
      <c r="X489" s="18">
        <f t="shared" si="92"/>
        <v>0.97938144329896903</v>
      </c>
      <c r="Y489" s="18">
        <f t="shared" si="93"/>
        <v>0.37662337662337664</v>
      </c>
      <c r="Z489" s="18">
        <f t="shared" si="94"/>
        <v>0.22368421052631579</v>
      </c>
      <c r="AA489" s="10">
        <f t="shared" si="95"/>
        <v>0.7104832606</v>
      </c>
      <c r="AB489" t="str">
        <f>IF(AA489&gt;=Como_Avaliar!$B$15,"Alta",IF(AA489&gt;=Como_Avaliar!$B$16,"Média","Baixa"))</f>
        <v>Alta</v>
      </c>
    </row>
    <row r="490" spans="1:28" x14ac:dyDescent="0.25">
      <c r="A490" t="s">
        <v>794</v>
      </c>
      <c r="B490" t="s">
        <v>305</v>
      </c>
      <c r="C490" t="s">
        <v>89</v>
      </c>
      <c r="D490" t="s">
        <v>59</v>
      </c>
      <c r="E490" t="s">
        <v>92</v>
      </c>
      <c r="F490">
        <v>13</v>
      </c>
      <c r="G490">
        <v>22</v>
      </c>
      <c r="H490">
        <v>8</v>
      </c>
      <c r="I490" t="s">
        <v>68</v>
      </c>
      <c r="J490" t="s">
        <v>98</v>
      </c>
      <c r="K490" t="s">
        <v>98</v>
      </c>
      <c r="L490" t="s">
        <v>284</v>
      </c>
      <c r="M490">
        <v>1</v>
      </c>
      <c r="N490" t="str">
        <f t="shared" si="84"/>
        <v>2. 8 a 15 anos</v>
      </c>
      <c r="O490" t="str">
        <f t="shared" si="85"/>
        <v>2. 20 a 49</v>
      </c>
      <c r="P490" t="str">
        <f t="shared" si="86"/>
        <v>3. 6 a 15</v>
      </c>
      <c r="Q490">
        <f t="shared" si="87"/>
        <v>0</v>
      </c>
      <c r="R490">
        <f t="shared" si="88"/>
        <v>0</v>
      </c>
      <c r="S490">
        <f t="shared" si="89"/>
        <v>0</v>
      </c>
      <c r="V490" s="18">
        <f t="shared" si="90"/>
        <v>0.43835616438356162</v>
      </c>
      <c r="W490" s="18">
        <f t="shared" si="91"/>
        <v>0.55319148936170215</v>
      </c>
      <c r="X490" s="18">
        <f t="shared" si="92"/>
        <v>0.25294117647058822</v>
      </c>
      <c r="Y490" s="18">
        <f t="shared" si="93"/>
        <v>0.58333333333333337</v>
      </c>
      <c r="Z490" s="18">
        <f t="shared" si="94"/>
        <v>0.22302158273381295</v>
      </c>
      <c r="AA490" s="10">
        <f t="shared" si="95"/>
        <v>0.41016874930000002</v>
      </c>
      <c r="AB490" t="str">
        <f>IF(AA490&gt;=Como_Avaliar!$B$15,"Alta",IF(AA490&gt;=Como_Avaliar!$B$16,"Média","Baixa"))</f>
        <v>Média</v>
      </c>
    </row>
    <row r="491" spans="1:28" x14ac:dyDescent="0.25">
      <c r="A491" t="s">
        <v>795</v>
      </c>
      <c r="B491" t="s">
        <v>283</v>
      </c>
      <c r="C491" t="s">
        <v>89</v>
      </c>
      <c r="D491" t="s">
        <v>56</v>
      </c>
      <c r="E491" t="s">
        <v>90</v>
      </c>
      <c r="F491">
        <v>20</v>
      </c>
      <c r="G491">
        <v>22</v>
      </c>
      <c r="H491">
        <v>2</v>
      </c>
      <c r="I491" t="s">
        <v>64</v>
      </c>
      <c r="J491" t="s">
        <v>98</v>
      </c>
      <c r="K491" t="s">
        <v>97</v>
      </c>
      <c r="L491" t="s">
        <v>322</v>
      </c>
      <c r="M491">
        <v>0</v>
      </c>
      <c r="N491" t="str">
        <f t="shared" si="84"/>
        <v>3. 16+ anos</v>
      </c>
      <c r="O491" t="str">
        <f t="shared" si="85"/>
        <v>2. 20 a 49</v>
      </c>
      <c r="P491" t="str">
        <f t="shared" si="86"/>
        <v>1. 1 a 2</v>
      </c>
      <c r="Q491">
        <f t="shared" si="87"/>
        <v>1</v>
      </c>
      <c r="R491">
        <f t="shared" si="88"/>
        <v>0</v>
      </c>
      <c r="S491">
        <f t="shared" si="89"/>
        <v>0</v>
      </c>
      <c r="V491" s="18">
        <f t="shared" si="90"/>
        <v>6.8273092369477914E-2</v>
      </c>
      <c r="W491" s="18">
        <f t="shared" si="91"/>
        <v>8.6792452830188674E-2</v>
      </c>
      <c r="X491" s="18">
        <f t="shared" si="92"/>
        <v>0.25294117647058822</v>
      </c>
      <c r="Y491" s="18">
        <f t="shared" si="93"/>
        <v>0.15625</v>
      </c>
      <c r="Z491" s="18">
        <f t="shared" si="94"/>
        <v>0.56634304207119746</v>
      </c>
      <c r="AA491" s="10">
        <f t="shared" si="95"/>
        <v>0.22611995269999999</v>
      </c>
      <c r="AB491" t="str">
        <f>IF(AA491&gt;=Como_Avaliar!$B$15,"Alta",IF(AA491&gt;=Como_Avaliar!$B$16,"Média","Baixa"))</f>
        <v>Baixa</v>
      </c>
    </row>
    <row r="492" spans="1:28" x14ac:dyDescent="0.25">
      <c r="A492" t="s">
        <v>796</v>
      </c>
      <c r="B492" t="s">
        <v>288</v>
      </c>
      <c r="C492" t="s">
        <v>88</v>
      </c>
      <c r="D492" t="s">
        <v>56</v>
      </c>
      <c r="E492" t="s">
        <v>95</v>
      </c>
      <c r="F492">
        <v>1</v>
      </c>
      <c r="G492">
        <v>23</v>
      </c>
      <c r="H492">
        <v>2</v>
      </c>
      <c r="I492" t="s">
        <v>65</v>
      </c>
      <c r="J492" t="s">
        <v>97</v>
      </c>
      <c r="K492" t="s">
        <v>97</v>
      </c>
      <c r="L492" t="s">
        <v>289</v>
      </c>
      <c r="M492">
        <v>0</v>
      </c>
      <c r="N492" t="str">
        <f t="shared" si="84"/>
        <v>1. &lt; 8 anos</v>
      </c>
      <c r="O492" t="str">
        <f t="shared" si="85"/>
        <v>2. 20 a 49</v>
      </c>
      <c r="P492" t="str">
        <f t="shared" si="86"/>
        <v>1. 1 a 2</v>
      </c>
      <c r="Q492">
        <f t="shared" si="87"/>
        <v>0</v>
      </c>
      <c r="R492">
        <f t="shared" si="88"/>
        <v>0</v>
      </c>
      <c r="S492">
        <f t="shared" si="89"/>
        <v>1</v>
      </c>
      <c r="T492">
        <v>2</v>
      </c>
      <c r="U492" t="s">
        <v>139</v>
      </c>
      <c r="V492" s="18">
        <f t="shared" si="90"/>
        <v>6.8273092369477914E-2</v>
      </c>
      <c r="W492" s="18">
        <f t="shared" si="91"/>
        <v>8.6792452830188674E-2</v>
      </c>
      <c r="X492" s="18">
        <f t="shared" si="92"/>
        <v>0.25294117647058822</v>
      </c>
      <c r="Y492" s="18">
        <f t="shared" si="93"/>
        <v>0.39751552795031053</v>
      </c>
      <c r="Z492" s="18">
        <f t="shared" si="94"/>
        <v>0.22368421052631579</v>
      </c>
      <c r="AA492" s="10">
        <f t="shared" si="95"/>
        <v>0.20584129200000001</v>
      </c>
      <c r="AB492" t="str">
        <f>IF(AA492&gt;=Como_Avaliar!$B$15,"Alta",IF(AA492&gt;=Como_Avaliar!$B$16,"Média","Baixa"))</f>
        <v>Baixa</v>
      </c>
    </row>
    <row r="493" spans="1:28" x14ac:dyDescent="0.25">
      <c r="A493" t="s">
        <v>797</v>
      </c>
      <c r="B493" t="s">
        <v>286</v>
      </c>
      <c r="C493" t="s">
        <v>88</v>
      </c>
      <c r="D493" t="s">
        <v>56</v>
      </c>
      <c r="E493" t="s">
        <v>90</v>
      </c>
      <c r="F493">
        <v>8</v>
      </c>
      <c r="G493">
        <v>24</v>
      </c>
      <c r="H493">
        <v>2</v>
      </c>
      <c r="I493" t="s">
        <v>65</v>
      </c>
      <c r="J493" t="s">
        <v>97</v>
      </c>
      <c r="K493" t="s">
        <v>98</v>
      </c>
      <c r="L493" t="s">
        <v>284</v>
      </c>
      <c r="M493">
        <v>0</v>
      </c>
      <c r="N493" t="str">
        <f t="shared" si="84"/>
        <v>2. 8 a 15 anos</v>
      </c>
      <c r="O493" t="str">
        <f t="shared" si="85"/>
        <v>2. 20 a 49</v>
      </c>
      <c r="P493" t="str">
        <f t="shared" si="86"/>
        <v>1. 1 a 2</v>
      </c>
      <c r="Q493">
        <f t="shared" si="87"/>
        <v>0</v>
      </c>
      <c r="R493">
        <f t="shared" si="88"/>
        <v>0</v>
      </c>
      <c r="S493">
        <f t="shared" si="89"/>
        <v>1</v>
      </c>
      <c r="T493">
        <v>2</v>
      </c>
      <c r="U493" t="s">
        <v>139</v>
      </c>
      <c r="V493" s="18">
        <f t="shared" si="90"/>
        <v>6.8273092369477914E-2</v>
      </c>
      <c r="W493" s="18">
        <f t="shared" si="91"/>
        <v>8.6792452830188674E-2</v>
      </c>
      <c r="X493" s="18">
        <f t="shared" si="92"/>
        <v>0.25294117647058822</v>
      </c>
      <c r="Y493" s="18">
        <f t="shared" si="93"/>
        <v>0.39751552795031053</v>
      </c>
      <c r="Z493" s="18">
        <f t="shared" si="94"/>
        <v>0.22302158273381295</v>
      </c>
      <c r="AA493" s="10">
        <f t="shared" si="95"/>
        <v>0.2057087665</v>
      </c>
      <c r="AB493" t="str">
        <f>IF(AA493&gt;=Como_Avaliar!$B$15,"Alta",IF(AA493&gt;=Como_Avaliar!$B$16,"Média","Baixa"))</f>
        <v>Baixa</v>
      </c>
    </row>
    <row r="494" spans="1:28" x14ac:dyDescent="0.25">
      <c r="A494" t="s">
        <v>798</v>
      </c>
      <c r="B494" t="s">
        <v>301</v>
      </c>
      <c r="C494" t="s">
        <v>88</v>
      </c>
      <c r="D494" t="s">
        <v>57</v>
      </c>
      <c r="E494" t="s">
        <v>91</v>
      </c>
      <c r="F494">
        <v>14</v>
      </c>
      <c r="G494">
        <v>694</v>
      </c>
      <c r="H494">
        <v>76</v>
      </c>
      <c r="I494" t="s">
        <v>65</v>
      </c>
      <c r="J494" t="s">
        <v>98</v>
      </c>
      <c r="K494" t="s">
        <v>97</v>
      </c>
      <c r="L494" t="s">
        <v>289</v>
      </c>
      <c r="M494">
        <v>1</v>
      </c>
      <c r="N494" t="str">
        <f t="shared" si="84"/>
        <v>2. 8 a 15 anos</v>
      </c>
      <c r="O494" t="str">
        <f t="shared" si="85"/>
        <v>4. 150+</v>
      </c>
      <c r="P494" t="str">
        <f t="shared" si="86"/>
        <v>4. 16+</v>
      </c>
      <c r="Q494">
        <f t="shared" si="87"/>
        <v>0</v>
      </c>
      <c r="R494">
        <f t="shared" si="88"/>
        <v>1</v>
      </c>
      <c r="S494">
        <f t="shared" si="89"/>
        <v>0</v>
      </c>
      <c r="V494" s="18">
        <f t="shared" si="90"/>
        <v>1</v>
      </c>
      <c r="W494" s="18">
        <f t="shared" si="91"/>
        <v>0.97272727272727277</v>
      </c>
      <c r="X494" s="18">
        <f t="shared" si="92"/>
        <v>0.97938144329896903</v>
      </c>
      <c r="Y494" s="18">
        <f t="shared" si="93"/>
        <v>0.39751552795031053</v>
      </c>
      <c r="Z494" s="18">
        <f t="shared" si="94"/>
        <v>0.22302158273381295</v>
      </c>
      <c r="AA494" s="10">
        <f t="shared" si="95"/>
        <v>0.71452916529999999</v>
      </c>
      <c r="AB494" t="str">
        <f>IF(AA494&gt;=Como_Avaliar!$B$15,"Alta",IF(AA494&gt;=Como_Avaliar!$B$16,"Média","Baixa"))</f>
        <v>Alta</v>
      </c>
    </row>
    <row r="495" spans="1:28" x14ac:dyDescent="0.25">
      <c r="A495" t="s">
        <v>799</v>
      </c>
      <c r="B495" t="s">
        <v>286</v>
      </c>
      <c r="C495" t="s">
        <v>88</v>
      </c>
      <c r="D495" t="s">
        <v>56</v>
      </c>
      <c r="E495" t="s">
        <v>92</v>
      </c>
      <c r="F495">
        <v>16</v>
      </c>
      <c r="G495">
        <v>24</v>
      </c>
      <c r="H495">
        <v>1</v>
      </c>
      <c r="I495" t="s">
        <v>62</v>
      </c>
      <c r="J495" t="s">
        <v>98</v>
      </c>
      <c r="K495" t="s">
        <v>97</v>
      </c>
      <c r="L495" t="s">
        <v>289</v>
      </c>
      <c r="M495">
        <v>0</v>
      </c>
      <c r="N495" t="str">
        <f t="shared" si="84"/>
        <v>3. 16+ anos</v>
      </c>
      <c r="O495" t="str">
        <f t="shared" si="85"/>
        <v>2. 20 a 49</v>
      </c>
      <c r="P495" t="str">
        <f t="shared" si="86"/>
        <v>1. 1 a 2</v>
      </c>
      <c r="Q495">
        <f t="shared" si="87"/>
        <v>0</v>
      </c>
      <c r="R495">
        <f t="shared" si="88"/>
        <v>0</v>
      </c>
      <c r="S495">
        <f t="shared" si="89"/>
        <v>1</v>
      </c>
      <c r="T495">
        <v>3</v>
      </c>
      <c r="U495" t="s">
        <v>138</v>
      </c>
      <c r="V495" s="18">
        <f t="shared" si="90"/>
        <v>6.8273092369477914E-2</v>
      </c>
      <c r="W495" s="18">
        <f t="shared" si="91"/>
        <v>8.6792452830188674E-2</v>
      </c>
      <c r="X495" s="18">
        <f t="shared" si="92"/>
        <v>0.25294117647058822</v>
      </c>
      <c r="Y495" s="18">
        <f t="shared" si="93"/>
        <v>0.37662337662337664</v>
      </c>
      <c r="Z495" s="18">
        <f t="shared" si="94"/>
        <v>0.56634304207119746</v>
      </c>
      <c r="AA495" s="10">
        <f t="shared" si="95"/>
        <v>0.2701946281</v>
      </c>
      <c r="AB495" t="str">
        <f>IF(AA495&gt;=Como_Avaliar!$B$15,"Alta",IF(AA495&gt;=Como_Avaliar!$B$16,"Média","Baixa"))</f>
        <v>Média</v>
      </c>
    </row>
    <row r="496" spans="1:28" x14ac:dyDescent="0.25">
      <c r="A496" t="s">
        <v>800</v>
      </c>
      <c r="B496" t="s">
        <v>288</v>
      </c>
      <c r="C496" t="s">
        <v>88</v>
      </c>
      <c r="D496" t="s">
        <v>59</v>
      </c>
      <c r="E496" t="s">
        <v>91</v>
      </c>
      <c r="F496">
        <v>14</v>
      </c>
      <c r="G496">
        <v>77</v>
      </c>
      <c r="H496">
        <v>10</v>
      </c>
      <c r="I496" t="s">
        <v>65</v>
      </c>
      <c r="J496" t="s">
        <v>98</v>
      </c>
      <c r="K496" t="s">
        <v>98</v>
      </c>
      <c r="L496" t="s">
        <v>322</v>
      </c>
      <c r="M496">
        <v>0</v>
      </c>
      <c r="N496" t="str">
        <f t="shared" si="84"/>
        <v>2. 8 a 15 anos</v>
      </c>
      <c r="O496" t="str">
        <f t="shared" si="85"/>
        <v>3. 50 a 149</v>
      </c>
      <c r="P496" t="str">
        <f t="shared" si="86"/>
        <v>3. 6 a 15</v>
      </c>
      <c r="Q496">
        <f t="shared" si="87"/>
        <v>0</v>
      </c>
      <c r="R496">
        <f t="shared" si="88"/>
        <v>1</v>
      </c>
      <c r="S496">
        <f t="shared" si="89"/>
        <v>0</v>
      </c>
      <c r="V496" s="18">
        <f t="shared" si="90"/>
        <v>0.43835616438356162</v>
      </c>
      <c r="W496" s="18">
        <f t="shared" si="91"/>
        <v>0.55319148936170215</v>
      </c>
      <c r="X496" s="18">
        <f t="shared" si="92"/>
        <v>0.58992805755395683</v>
      </c>
      <c r="Y496" s="18">
        <f t="shared" si="93"/>
        <v>0.39751552795031053</v>
      </c>
      <c r="Z496" s="18">
        <f t="shared" si="94"/>
        <v>0.22302158273381295</v>
      </c>
      <c r="AA496" s="10">
        <f t="shared" si="95"/>
        <v>0.44040256439999997</v>
      </c>
      <c r="AB496" t="str">
        <f>IF(AA496&gt;=Como_Avaliar!$B$15,"Alta",IF(AA496&gt;=Como_Avaliar!$B$16,"Média","Baixa"))</f>
        <v>Média</v>
      </c>
    </row>
    <row r="497" spans="1:28" x14ac:dyDescent="0.25">
      <c r="A497" t="s">
        <v>801</v>
      </c>
      <c r="B497" t="s">
        <v>295</v>
      </c>
      <c r="C497" t="s">
        <v>84</v>
      </c>
      <c r="D497" t="s">
        <v>59</v>
      </c>
      <c r="E497" t="s">
        <v>91</v>
      </c>
      <c r="F497">
        <v>12</v>
      </c>
      <c r="G497">
        <v>17</v>
      </c>
      <c r="H497">
        <v>10</v>
      </c>
      <c r="I497" t="s">
        <v>62</v>
      </c>
      <c r="J497" t="s">
        <v>97</v>
      </c>
      <c r="K497" t="s">
        <v>97</v>
      </c>
      <c r="L497" t="s">
        <v>322</v>
      </c>
      <c r="M497">
        <v>0</v>
      </c>
      <c r="N497" t="str">
        <f t="shared" si="84"/>
        <v>2. 8 a 15 anos</v>
      </c>
      <c r="O497" t="str">
        <f t="shared" si="85"/>
        <v>1. &lt; 20</v>
      </c>
      <c r="P497" t="str">
        <f t="shared" si="86"/>
        <v>3. 6 a 15</v>
      </c>
      <c r="Q497">
        <f t="shared" si="87"/>
        <v>0</v>
      </c>
      <c r="R497">
        <f t="shared" si="88"/>
        <v>0</v>
      </c>
      <c r="S497">
        <f t="shared" si="89"/>
        <v>0</v>
      </c>
      <c r="V497" s="18">
        <f t="shared" si="90"/>
        <v>0.43835616438356162</v>
      </c>
      <c r="W497" s="18">
        <f t="shared" si="91"/>
        <v>0.55319148936170215</v>
      </c>
      <c r="X497" s="18">
        <f t="shared" si="92"/>
        <v>0.10309278350515463</v>
      </c>
      <c r="Y497" s="18">
        <f t="shared" si="93"/>
        <v>0.37662337662337664</v>
      </c>
      <c r="Z497" s="18">
        <f t="shared" si="94"/>
        <v>0.22302158273381295</v>
      </c>
      <c r="AA497" s="10">
        <f t="shared" si="95"/>
        <v>0.33885707929999997</v>
      </c>
      <c r="AB497" t="str">
        <f>IF(AA497&gt;=Como_Avaliar!$B$15,"Alta",IF(AA497&gt;=Como_Avaliar!$B$16,"Média","Baixa"))</f>
        <v>Média</v>
      </c>
    </row>
    <row r="498" spans="1:28" x14ac:dyDescent="0.25">
      <c r="A498" t="s">
        <v>802</v>
      </c>
      <c r="B498" t="s">
        <v>301</v>
      </c>
      <c r="C498" t="s">
        <v>88</v>
      </c>
      <c r="D498" t="s">
        <v>56</v>
      </c>
      <c r="E498" t="s">
        <v>95</v>
      </c>
      <c r="F498">
        <v>19</v>
      </c>
      <c r="G498">
        <v>3</v>
      </c>
      <c r="H498">
        <v>1</v>
      </c>
      <c r="I498" t="s">
        <v>64</v>
      </c>
      <c r="J498" t="s">
        <v>98</v>
      </c>
      <c r="K498" t="s">
        <v>98</v>
      </c>
      <c r="L498" t="s">
        <v>298</v>
      </c>
      <c r="M498">
        <v>0</v>
      </c>
      <c r="N498" t="str">
        <f t="shared" si="84"/>
        <v>3. 16+ anos</v>
      </c>
      <c r="O498" t="str">
        <f t="shared" si="85"/>
        <v>1. &lt; 20</v>
      </c>
      <c r="P498" t="str">
        <f t="shared" si="86"/>
        <v>1. 1 a 2</v>
      </c>
      <c r="Q498">
        <f t="shared" si="87"/>
        <v>1</v>
      </c>
      <c r="R498">
        <f t="shared" si="88"/>
        <v>0</v>
      </c>
      <c r="S498">
        <f t="shared" si="89"/>
        <v>1</v>
      </c>
      <c r="T498">
        <v>3</v>
      </c>
      <c r="U498" t="s">
        <v>138</v>
      </c>
      <c r="V498" s="18">
        <f t="shared" si="90"/>
        <v>6.8273092369477914E-2</v>
      </c>
      <c r="W498" s="18">
        <f t="shared" si="91"/>
        <v>8.6792452830188674E-2</v>
      </c>
      <c r="X498" s="18">
        <f t="shared" si="92"/>
        <v>0.10309278350515463</v>
      </c>
      <c r="Y498" s="18">
        <f t="shared" si="93"/>
        <v>0.15625</v>
      </c>
      <c r="Z498" s="18">
        <f t="shared" si="94"/>
        <v>0.56634304207119746</v>
      </c>
      <c r="AA498" s="10">
        <f t="shared" si="95"/>
        <v>0.1961502742</v>
      </c>
      <c r="AB498" t="str">
        <f>IF(AA498&gt;=Como_Avaliar!$B$15,"Alta",IF(AA498&gt;=Como_Avaliar!$B$16,"Média","Baixa"))</f>
        <v>Baixa</v>
      </c>
    </row>
    <row r="499" spans="1:28" x14ac:dyDescent="0.25">
      <c r="A499" t="s">
        <v>803</v>
      </c>
      <c r="B499" t="s">
        <v>286</v>
      </c>
      <c r="C499" t="s">
        <v>88</v>
      </c>
      <c r="D499" t="s">
        <v>59</v>
      </c>
      <c r="E499" t="s">
        <v>91</v>
      </c>
      <c r="F499">
        <v>23</v>
      </c>
      <c r="G499">
        <v>67</v>
      </c>
      <c r="H499">
        <v>6</v>
      </c>
      <c r="I499" t="s">
        <v>62</v>
      </c>
      <c r="J499" t="s">
        <v>98</v>
      </c>
      <c r="K499" t="s">
        <v>97</v>
      </c>
      <c r="L499" t="s">
        <v>322</v>
      </c>
      <c r="M499">
        <v>1</v>
      </c>
      <c r="N499" t="str">
        <f t="shared" si="84"/>
        <v>3. 16+ anos</v>
      </c>
      <c r="O499" t="str">
        <f t="shared" si="85"/>
        <v>3. 50 a 149</v>
      </c>
      <c r="P499" t="str">
        <f t="shared" si="86"/>
        <v>3. 6 a 15</v>
      </c>
      <c r="Q499">
        <f t="shared" si="87"/>
        <v>0</v>
      </c>
      <c r="R499">
        <f t="shared" si="88"/>
        <v>1</v>
      </c>
      <c r="S499">
        <f t="shared" si="89"/>
        <v>0</v>
      </c>
      <c r="V499" s="18">
        <f t="shared" si="90"/>
        <v>0.43835616438356162</v>
      </c>
      <c r="W499" s="18">
        <f t="shared" si="91"/>
        <v>0.55319148936170215</v>
      </c>
      <c r="X499" s="18">
        <f t="shared" si="92"/>
        <v>0.58992805755395683</v>
      </c>
      <c r="Y499" s="18">
        <f t="shared" si="93"/>
        <v>0.37662337662337664</v>
      </c>
      <c r="Z499" s="18">
        <f t="shared" si="94"/>
        <v>0.56634304207119746</v>
      </c>
      <c r="AA499" s="10">
        <f t="shared" si="95"/>
        <v>0.50488842599999995</v>
      </c>
      <c r="AB499" t="str">
        <f>IF(AA499&gt;=Como_Avaliar!$B$15,"Alta",IF(AA499&gt;=Como_Avaliar!$B$16,"Média","Baixa"))</f>
        <v>Alta</v>
      </c>
    </row>
    <row r="500" spans="1:28" x14ac:dyDescent="0.25">
      <c r="A500" t="s">
        <v>804</v>
      </c>
      <c r="B500" t="s">
        <v>381</v>
      </c>
      <c r="C500" t="s">
        <v>88</v>
      </c>
      <c r="D500" t="s">
        <v>59</v>
      </c>
      <c r="E500" t="s">
        <v>90</v>
      </c>
      <c r="F500">
        <v>15</v>
      </c>
      <c r="G500">
        <v>16</v>
      </c>
      <c r="H500">
        <v>3</v>
      </c>
      <c r="I500" t="s">
        <v>62</v>
      </c>
      <c r="J500" t="s">
        <v>97</v>
      </c>
      <c r="K500" t="s">
        <v>97</v>
      </c>
      <c r="L500" t="s">
        <v>322</v>
      </c>
      <c r="M500">
        <v>0</v>
      </c>
      <c r="N500" t="str">
        <f t="shared" si="84"/>
        <v>2. 8 a 15 anos</v>
      </c>
      <c r="O500" t="str">
        <f t="shared" si="85"/>
        <v>1. &lt; 20</v>
      </c>
      <c r="P500" t="str">
        <f t="shared" si="86"/>
        <v>2. 3 a 5</v>
      </c>
      <c r="Q500">
        <f t="shared" si="87"/>
        <v>0</v>
      </c>
      <c r="R500">
        <f t="shared" si="88"/>
        <v>0</v>
      </c>
      <c r="S500">
        <f t="shared" si="89"/>
        <v>0</v>
      </c>
      <c r="V500" s="18">
        <f t="shared" si="90"/>
        <v>0.43835616438356162</v>
      </c>
      <c r="W500" s="18">
        <f t="shared" si="91"/>
        <v>0.38095238095238093</v>
      </c>
      <c r="X500" s="18">
        <f t="shared" si="92"/>
        <v>0.10309278350515463</v>
      </c>
      <c r="Y500" s="18">
        <f t="shared" si="93"/>
        <v>0.37662337662337664</v>
      </c>
      <c r="Z500" s="18">
        <f t="shared" si="94"/>
        <v>0.22302158273381295</v>
      </c>
      <c r="AA500" s="10">
        <f t="shared" si="95"/>
        <v>0.30440925759999998</v>
      </c>
      <c r="AB500" t="str">
        <f>IF(AA500&gt;=Como_Avaliar!$B$15,"Alta",IF(AA500&gt;=Como_Avaliar!$B$16,"Média","Baixa"))</f>
        <v>Média</v>
      </c>
    </row>
    <row r="501" spans="1:28" x14ac:dyDescent="0.25">
      <c r="A501" t="s">
        <v>805</v>
      </c>
      <c r="B501" t="s">
        <v>286</v>
      </c>
      <c r="C501" t="s">
        <v>88</v>
      </c>
      <c r="D501" t="s">
        <v>59</v>
      </c>
      <c r="E501" t="s">
        <v>94</v>
      </c>
      <c r="F501">
        <v>28</v>
      </c>
      <c r="G501">
        <v>17</v>
      </c>
      <c r="H501">
        <v>6</v>
      </c>
      <c r="I501" t="s">
        <v>65</v>
      </c>
      <c r="J501" t="s">
        <v>97</v>
      </c>
      <c r="K501" t="s">
        <v>97</v>
      </c>
      <c r="L501" t="s">
        <v>329</v>
      </c>
      <c r="M501">
        <v>1</v>
      </c>
      <c r="N501" t="str">
        <f t="shared" si="84"/>
        <v>3. 16+ anos</v>
      </c>
      <c r="O501" t="str">
        <f t="shared" si="85"/>
        <v>1. &lt; 20</v>
      </c>
      <c r="P501" t="str">
        <f t="shared" si="86"/>
        <v>3. 6 a 15</v>
      </c>
      <c r="Q501">
        <f t="shared" si="87"/>
        <v>0</v>
      </c>
      <c r="R501">
        <f t="shared" si="88"/>
        <v>0</v>
      </c>
      <c r="S501">
        <f t="shared" si="89"/>
        <v>0</v>
      </c>
      <c r="V501" s="18">
        <f t="shared" si="90"/>
        <v>0.43835616438356162</v>
      </c>
      <c r="W501" s="18">
        <f t="shared" si="91"/>
        <v>0.55319148936170215</v>
      </c>
      <c r="X501" s="18">
        <f t="shared" si="92"/>
        <v>0.10309278350515463</v>
      </c>
      <c r="Y501" s="18">
        <f t="shared" si="93"/>
        <v>0.39751552795031053</v>
      </c>
      <c r="Z501" s="18">
        <f t="shared" si="94"/>
        <v>0.56634304207119746</v>
      </c>
      <c r="AA501" s="10">
        <f t="shared" si="95"/>
        <v>0.41169980150000002</v>
      </c>
      <c r="AB501" t="str">
        <f>IF(AA501&gt;=Como_Avaliar!$B$15,"Alta",IF(AA501&gt;=Como_Avaliar!$B$16,"Média","Baixa"))</f>
        <v>Média</v>
      </c>
    </row>
    <row r="502" spans="1:28" x14ac:dyDescent="0.25">
      <c r="A502" t="s">
        <v>806</v>
      </c>
      <c r="B502" t="s">
        <v>283</v>
      </c>
      <c r="C502" t="s">
        <v>89</v>
      </c>
      <c r="D502" t="s">
        <v>56</v>
      </c>
      <c r="E502" t="s">
        <v>93</v>
      </c>
      <c r="F502">
        <v>2</v>
      </c>
      <c r="G502">
        <v>19</v>
      </c>
      <c r="H502">
        <v>1</v>
      </c>
      <c r="I502" t="s">
        <v>65</v>
      </c>
      <c r="J502" t="s">
        <v>97</v>
      </c>
      <c r="K502" t="s">
        <v>98</v>
      </c>
      <c r="L502" t="s">
        <v>289</v>
      </c>
      <c r="M502">
        <v>0</v>
      </c>
      <c r="N502" t="str">
        <f t="shared" si="84"/>
        <v>1. &lt; 8 anos</v>
      </c>
      <c r="O502" t="str">
        <f t="shared" si="85"/>
        <v>1. &lt; 20</v>
      </c>
      <c r="P502" t="str">
        <f t="shared" si="86"/>
        <v>1. 1 a 2</v>
      </c>
      <c r="Q502">
        <f t="shared" si="87"/>
        <v>0</v>
      </c>
      <c r="R502">
        <f t="shared" si="88"/>
        <v>0</v>
      </c>
      <c r="S502">
        <f t="shared" si="89"/>
        <v>1</v>
      </c>
      <c r="T502">
        <v>2</v>
      </c>
      <c r="U502" t="s">
        <v>139</v>
      </c>
      <c r="V502" s="18">
        <f t="shared" si="90"/>
        <v>6.8273092369477914E-2</v>
      </c>
      <c r="W502" s="18">
        <f t="shared" si="91"/>
        <v>8.6792452830188674E-2</v>
      </c>
      <c r="X502" s="18">
        <f t="shared" si="92"/>
        <v>0.10309278350515463</v>
      </c>
      <c r="Y502" s="18">
        <f t="shared" si="93"/>
        <v>0.39751552795031053</v>
      </c>
      <c r="Z502" s="18">
        <f t="shared" si="94"/>
        <v>0.22368421052631579</v>
      </c>
      <c r="AA502" s="10">
        <f t="shared" si="95"/>
        <v>0.17587161339999999</v>
      </c>
      <c r="AB502" t="str">
        <f>IF(AA502&gt;=Como_Avaliar!$B$15,"Alta",IF(AA502&gt;=Como_Avaliar!$B$16,"Média","Baixa"))</f>
        <v>Baixa</v>
      </c>
    </row>
    <row r="503" spans="1:28" x14ac:dyDescent="0.25">
      <c r="A503" t="s">
        <v>807</v>
      </c>
      <c r="B503" t="s">
        <v>286</v>
      </c>
      <c r="C503" t="s">
        <v>88</v>
      </c>
      <c r="D503" t="s">
        <v>59</v>
      </c>
      <c r="E503" t="s">
        <v>90</v>
      </c>
      <c r="F503">
        <v>2</v>
      </c>
      <c r="G503">
        <v>50</v>
      </c>
      <c r="H503">
        <v>10</v>
      </c>
      <c r="I503" t="s">
        <v>68</v>
      </c>
      <c r="J503" t="s">
        <v>97</v>
      </c>
      <c r="K503" t="s">
        <v>97</v>
      </c>
      <c r="L503" t="s">
        <v>298</v>
      </c>
      <c r="M503">
        <v>0</v>
      </c>
      <c r="N503" t="str">
        <f t="shared" si="84"/>
        <v>1. &lt; 8 anos</v>
      </c>
      <c r="O503" t="str">
        <f t="shared" si="85"/>
        <v>3. 50 a 149</v>
      </c>
      <c r="P503" t="str">
        <f t="shared" si="86"/>
        <v>3. 6 a 15</v>
      </c>
      <c r="Q503">
        <f t="shared" si="87"/>
        <v>0</v>
      </c>
      <c r="R503">
        <f t="shared" si="88"/>
        <v>1</v>
      </c>
      <c r="S503">
        <f t="shared" si="89"/>
        <v>1</v>
      </c>
      <c r="T503">
        <v>3</v>
      </c>
      <c r="U503" t="s">
        <v>138</v>
      </c>
      <c r="V503" s="18">
        <f t="shared" si="90"/>
        <v>0.43835616438356162</v>
      </c>
      <c r="W503" s="18">
        <f t="shared" si="91"/>
        <v>0.55319148936170215</v>
      </c>
      <c r="X503" s="18">
        <f t="shared" si="92"/>
        <v>0.58992805755395683</v>
      </c>
      <c r="Y503" s="18">
        <f t="shared" si="93"/>
        <v>0.58333333333333337</v>
      </c>
      <c r="Z503" s="18">
        <f t="shared" si="94"/>
        <v>0.22368421052631579</v>
      </c>
      <c r="AA503" s="10">
        <f t="shared" si="95"/>
        <v>0.47769865099999997</v>
      </c>
      <c r="AB503" t="str">
        <f>IF(AA503&gt;=Como_Avaliar!$B$15,"Alta",IF(AA503&gt;=Como_Avaliar!$B$16,"Média","Baixa"))</f>
        <v>Média</v>
      </c>
    </row>
    <row r="504" spans="1:28" x14ac:dyDescent="0.25">
      <c r="A504" t="s">
        <v>808</v>
      </c>
      <c r="B504" t="s">
        <v>301</v>
      </c>
      <c r="C504" t="s">
        <v>88</v>
      </c>
      <c r="D504" t="s">
        <v>58</v>
      </c>
      <c r="E504" t="s">
        <v>94</v>
      </c>
      <c r="F504">
        <v>23</v>
      </c>
      <c r="G504">
        <v>197</v>
      </c>
      <c r="H504">
        <v>14</v>
      </c>
      <c r="I504" t="s">
        <v>68</v>
      </c>
      <c r="J504" t="s">
        <v>97</v>
      </c>
      <c r="K504" t="s">
        <v>97</v>
      </c>
      <c r="L504" t="s">
        <v>329</v>
      </c>
      <c r="M504">
        <v>1</v>
      </c>
      <c r="N504" t="str">
        <f t="shared" si="84"/>
        <v>3. 16+ anos</v>
      </c>
      <c r="O504" t="str">
        <f t="shared" si="85"/>
        <v>4. 150+</v>
      </c>
      <c r="P504" t="str">
        <f t="shared" si="86"/>
        <v>3. 6 a 15</v>
      </c>
      <c r="Q504">
        <f t="shared" si="87"/>
        <v>0</v>
      </c>
      <c r="R504">
        <f t="shared" si="88"/>
        <v>1</v>
      </c>
      <c r="S504">
        <f t="shared" si="89"/>
        <v>0</v>
      </c>
      <c r="V504" s="18">
        <f t="shared" si="90"/>
        <v>0.93975903614457834</v>
      </c>
      <c r="W504" s="18">
        <f t="shared" si="91"/>
        <v>0.55319148936170215</v>
      </c>
      <c r="X504" s="18">
        <f t="shared" si="92"/>
        <v>0.97938144329896903</v>
      </c>
      <c r="Y504" s="18">
        <f t="shared" si="93"/>
        <v>0.58333333333333337</v>
      </c>
      <c r="Z504" s="18">
        <f t="shared" si="94"/>
        <v>0.56634304207119746</v>
      </c>
      <c r="AA504" s="10">
        <f t="shared" si="95"/>
        <v>0.72440166880000001</v>
      </c>
      <c r="AB504" t="str">
        <f>IF(AA504&gt;=Como_Avaliar!$B$15,"Alta",IF(AA504&gt;=Como_Avaliar!$B$16,"Média","Baixa"))</f>
        <v>Alta</v>
      </c>
    </row>
    <row r="505" spans="1:28" x14ac:dyDescent="0.25">
      <c r="A505" t="s">
        <v>809</v>
      </c>
      <c r="B505" t="s">
        <v>312</v>
      </c>
      <c r="C505" t="s">
        <v>89</v>
      </c>
      <c r="D505" t="s">
        <v>56</v>
      </c>
      <c r="E505" t="s">
        <v>91</v>
      </c>
      <c r="F505">
        <v>22</v>
      </c>
      <c r="G505">
        <v>12</v>
      </c>
      <c r="H505">
        <v>1</v>
      </c>
      <c r="I505" t="s">
        <v>62</v>
      </c>
      <c r="J505" t="s">
        <v>97</v>
      </c>
      <c r="K505" t="s">
        <v>98</v>
      </c>
      <c r="L505" t="s">
        <v>329</v>
      </c>
      <c r="M505">
        <v>0</v>
      </c>
      <c r="N505" t="str">
        <f t="shared" si="84"/>
        <v>3. 16+ anos</v>
      </c>
      <c r="O505" t="str">
        <f t="shared" si="85"/>
        <v>1. &lt; 20</v>
      </c>
      <c r="P505" t="str">
        <f t="shared" si="86"/>
        <v>1. 1 a 2</v>
      </c>
      <c r="Q505">
        <f t="shared" si="87"/>
        <v>0</v>
      </c>
      <c r="R505">
        <f t="shared" si="88"/>
        <v>0</v>
      </c>
      <c r="S505">
        <f t="shared" si="89"/>
        <v>1</v>
      </c>
      <c r="T505">
        <v>1</v>
      </c>
      <c r="U505" t="s">
        <v>139</v>
      </c>
      <c r="V505" s="18">
        <f t="shared" si="90"/>
        <v>6.8273092369477914E-2</v>
      </c>
      <c r="W505" s="18">
        <f t="shared" si="91"/>
        <v>8.6792452830188674E-2</v>
      </c>
      <c r="X505" s="18">
        <f t="shared" si="92"/>
        <v>0.10309278350515463</v>
      </c>
      <c r="Y505" s="18">
        <f t="shared" si="93"/>
        <v>0.37662337662337664</v>
      </c>
      <c r="Z505" s="18">
        <f t="shared" si="94"/>
        <v>0.56634304207119746</v>
      </c>
      <c r="AA505" s="10">
        <f t="shared" si="95"/>
        <v>0.24022494950000001</v>
      </c>
      <c r="AB505" t="str">
        <f>IF(AA505&gt;=Como_Avaliar!$B$15,"Alta",IF(AA505&gt;=Como_Avaliar!$B$16,"Média","Baixa"))</f>
        <v>Média</v>
      </c>
    </row>
    <row r="506" spans="1:28" x14ac:dyDescent="0.25">
      <c r="A506" t="s">
        <v>810</v>
      </c>
      <c r="B506" t="s">
        <v>286</v>
      </c>
      <c r="C506" t="s">
        <v>88</v>
      </c>
      <c r="D506" t="s">
        <v>58</v>
      </c>
      <c r="E506" t="s">
        <v>95</v>
      </c>
      <c r="F506">
        <v>19</v>
      </c>
      <c r="G506">
        <v>64</v>
      </c>
      <c r="H506">
        <v>25</v>
      </c>
      <c r="I506" t="s">
        <v>65</v>
      </c>
      <c r="J506" t="s">
        <v>98</v>
      </c>
      <c r="K506" t="s">
        <v>97</v>
      </c>
      <c r="L506" t="s">
        <v>289</v>
      </c>
      <c r="M506">
        <v>1</v>
      </c>
      <c r="N506" t="str">
        <f t="shared" si="84"/>
        <v>3. 16+ anos</v>
      </c>
      <c r="O506" t="str">
        <f t="shared" si="85"/>
        <v>3. 50 a 149</v>
      </c>
      <c r="P506" t="str">
        <f t="shared" si="86"/>
        <v>4. 16+</v>
      </c>
      <c r="Q506">
        <f t="shared" si="87"/>
        <v>0</v>
      </c>
      <c r="R506">
        <f t="shared" si="88"/>
        <v>1</v>
      </c>
      <c r="S506">
        <f t="shared" si="89"/>
        <v>0</v>
      </c>
      <c r="V506" s="18">
        <f t="shared" si="90"/>
        <v>0.93975903614457834</v>
      </c>
      <c r="W506" s="18">
        <f t="shared" si="91"/>
        <v>0.97272727272727277</v>
      </c>
      <c r="X506" s="18">
        <f t="shared" si="92"/>
        <v>0.58992805755395683</v>
      </c>
      <c r="Y506" s="18">
        <f t="shared" si="93"/>
        <v>0.39751552795031053</v>
      </c>
      <c r="Z506" s="18">
        <f t="shared" si="94"/>
        <v>0.56634304207119746</v>
      </c>
      <c r="AA506" s="10">
        <f t="shared" si="95"/>
        <v>0.6932545873</v>
      </c>
      <c r="AB506" t="str">
        <f>IF(AA506&gt;=Como_Avaliar!$B$15,"Alta",IF(AA506&gt;=Como_Avaliar!$B$16,"Média","Baixa"))</f>
        <v>Alta</v>
      </c>
    </row>
    <row r="507" spans="1:28" x14ac:dyDescent="0.25">
      <c r="A507" t="s">
        <v>811</v>
      </c>
      <c r="B507" t="s">
        <v>283</v>
      </c>
      <c r="C507" t="s">
        <v>89</v>
      </c>
      <c r="D507" t="s">
        <v>56</v>
      </c>
      <c r="E507" t="s">
        <v>91</v>
      </c>
      <c r="F507">
        <v>25</v>
      </c>
      <c r="G507">
        <v>19</v>
      </c>
      <c r="H507">
        <v>2</v>
      </c>
      <c r="I507" t="s">
        <v>65</v>
      </c>
      <c r="J507" t="s">
        <v>98</v>
      </c>
      <c r="K507" t="s">
        <v>98</v>
      </c>
      <c r="L507" t="s">
        <v>284</v>
      </c>
      <c r="M507">
        <v>1</v>
      </c>
      <c r="N507" t="str">
        <f t="shared" si="84"/>
        <v>3. 16+ anos</v>
      </c>
      <c r="O507" t="str">
        <f t="shared" si="85"/>
        <v>1. &lt; 20</v>
      </c>
      <c r="P507" t="str">
        <f t="shared" si="86"/>
        <v>1. 1 a 2</v>
      </c>
      <c r="Q507">
        <f t="shared" si="87"/>
        <v>0</v>
      </c>
      <c r="R507">
        <f t="shared" si="88"/>
        <v>0</v>
      </c>
      <c r="S507">
        <f t="shared" si="89"/>
        <v>0</v>
      </c>
      <c r="V507" s="18">
        <f t="shared" si="90"/>
        <v>6.8273092369477914E-2</v>
      </c>
      <c r="W507" s="18">
        <f t="shared" si="91"/>
        <v>8.6792452830188674E-2</v>
      </c>
      <c r="X507" s="18">
        <f t="shared" si="92"/>
        <v>0.10309278350515463</v>
      </c>
      <c r="Y507" s="18">
        <f t="shared" si="93"/>
        <v>0.39751552795031053</v>
      </c>
      <c r="Z507" s="18">
        <f t="shared" si="94"/>
        <v>0.56634304207119746</v>
      </c>
      <c r="AA507" s="10">
        <f t="shared" si="95"/>
        <v>0.24440337970000001</v>
      </c>
      <c r="AB507" t="str">
        <f>IF(AA507&gt;=Como_Avaliar!$B$15,"Alta",IF(AA507&gt;=Como_Avaliar!$B$16,"Média","Baixa"))</f>
        <v>Média</v>
      </c>
    </row>
    <row r="508" spans="1:28" x14ac:dyDescent="0.25">
      <c r="A508" t="s">
        <v>812</v>
      </c>
      <c r="B508" t="s">
        <v>286</v>
      </c>
      <c r="C508" t="s">
        <v>88</v>
      </c>
      <c r="D508" t="s">
        <v>58</v>
      </c>
      <c r="E508" t="s">
        <v>94</v>
      </c>
      <c r="F508">
        <v>26</v>
      </c>
      <c r="G508">
        <v>238</v>
      </c>
      <c r="H508">
        <v>20</v>
      </c>
      <c r="I508" t="s">
        <v>60</v>
      </c>
      <c r="J508" t="s">
        <v>97</v>
      </c>
      <c r="K508" t="s">
        <v>97</v>
      </c>
      <c r="L508" t="s">
        <v>289</v>
      </c>
      <c r="M508">
        <v>1</v>
      </c>
      <c r="N508" t="str">
        <f t="shared" si="84"/>
        <v>3. 16+ anos</v>
      </c>
      <c r="O508" t="str">
        <f t="shared" si="85"/>
        <v>4. 150+</v>
      </c>
      <c r="P508" t="str">
        <f t="shared" si="86"/>
        <v>4. 16+</v>
      </c>
      <c r="Q508">
        <f t="shared" si="87"/>
        <v>0</v>
      </c>
      <c r="R508">
        <f t="shared" si="88"/>
        <v>1</v>
      </c>
      <c r="S508">
        <f t="shared" si="89"/>
        <v>0</v>
      </c>
      <c r="V508" s="18">
        <f t="shared" si="90"/>
        <v>0.93975903614457834</v>
      </c>
      <c r="W508" s="18">
        <f t="shared" si="91"/>
        <v>0.97272727272727277</v>
      </c>
      <c r="X508" s="18">
        <f t="shared" si="92"/>
        <v>0.97938144329896903</v>
      </c>
      <c r="Y508" s="18">
        <f t="shared" si="93"/>
        <v>0.65217391304347827</v>
      </c>
      <c r="Z508" s="18">
        <f t="shared" si="94"/>
        <v>0.56634304207119746</v>
      </c>
      <c r="AA508" s="10">
        <f t="shared" si="95"/>
        <v>0.82207694149999999</v>
      </c>
      <c r="AB508" t="str">
        <f>IF(AA508&gt;=Como_Avaliar!$B$15,"Alta",IF(AA508&gt;=Como_Avaliar!$B$16,"Média","Baixa"))</f>
        <v>Alta</v>
      </c>
    </row>
    <row r="509" spans="1:28" x14ac:dyDescent="0.25">
      <c r="A509" t="s">
        <v>813</v>
      </c>
      <c r="B509" t="s">
        <v>381</v>
      </c>
      <c r="C509" t="s">
        <v>88</v>
      </c>
      <c r="D509" t="s">
        <v>56</v>
      </c>
      <c r="E509" t="s">
        <v>96</v>
      </c>
      <c r="F509">
        <v>29</v>
      </c>
      <c r="G509">
        <v>24</v>
      </c>
      <c r="H509">
        <v>1</v>
      </c>
      <c r="I509" t="s">
        <v>64</v>
      </c>
      <c r="J509" t="s">
        <v>98</v>
      </c>
      <c r="K509" t="s">
        <v>97</v>
      </c>
      <c r="L509" t="s">
        <v>284</v>
      </c>
      <c r="M509">
        <v>0</v>
      </c>
      <c r="N509" t="str">
        <f t="shared" si="84"/>
        <v>3. 16+ anos</v>
      </c>
      <c r="O509" t="str">
        <f t="shared" si="85"/>
        <v>2. 20 a 49</v>
      </c>
      <c r="P509" t="str">
        <f t="shared" si="86"/>
        <v>1. 1 a 2</v>
      </c>
      <c r="Q509">
        <f t="shared" si="87"/>
        <v>1</v>
      </c>
      <c r="R509">
        <f t="shared" si="88"/>
        <v>0</v>
      </c>
      <c r="S509">
        <f t="shared" si="89"/>
        <v>1</v>
      </c>
      <c r="T509">
        <v>2</v>
      </c>
      <c r="U509" t="s">
        <v>139</v>
      </c>
      <c r="V509" s="18">
        <f t="shared" si="90"/>
        <v>6.8273092369477914E-2</v>
      </c>
      <c r="W509" s="18">
        <f t="shared" si="91"/>
        <v>8.6792452830188674E-2</v>
      </c>
      <c r="X509" s="18">
        <f t="shared" si="92"/>
        <v>0.25294117647058822</v>
      </c>
      <c r="Y509" s="18">
        <f t="shared" si="93"/>
        <v>0.15625</v>
      </c>
      <c r="Z509" s="18">
        <f t="shared" si="94"/>
        <v>0.56634304207119746</v>
      </c>
      <c r="AA509" s="10">
        <f t="shared" si="95"/>
        <v>0.22611995269999999</v>
      </c>
      <c r="AB509" t="str">
        <f>IF(AA509&gt;=Como_Avaliar!$B$15,"Alta",IF(AA509&gt;=Como_Avaliar!$B$16,"Média","Baixa"))</f>
        <v>Baixa</v>
      </c>
    </row>
    <row r="510" spans="1:28" x14ac:dyDescent="0.25">
      <c r="A510" t="s">
        <v>814</v>
      </c>
      <c r="B510" t="s">
        <v>286</v>
      </c>
      <c r="C510" t="s">
        <v>88</v>
      </c>
      <c r="D510" t="s">
        <v>57</v>
      </c>
      <c r="E510" t="s">
        <v>95</v>
      </c>
      <c r="F510">
        <v>22</v>
      </c>
      <c r="G510">
        <v>640</v>
      </c>
      <c r="H510">
        <v>64</v>
      </c>
      <c r="I510" t="s">
        <v>65</v>
      </c>
      <c r="J510" t="s">
        <v>97</v>
      </c>
      <c r="K510" t="s">
        <v>98</v>
      </c>
      <c r="L510" t="s">
        <v>289</v>
      </c>
      <c r="M510">
        <v>1</v>
      </c>
      <c r="N510" t="str">
        <f t="shared" si="84"/>
        <v>3. 16+ anos</v>
      </c>
      <c r="O510" t="str">
        <f t="shared" si="85"/>
        <v>4. 150+</v>
      </c>
      <c r="P510" t="str">
        <f t="shared" si="86"/>
        <v>4. 16+</v>
      </c>
      <c r="Q510">
        <f t="shared" si="87"/>
        <v>0</v>
      </c>
      <c r="R510">
        <f t="shared" si="88"/>
        <v>1</v>
      </c>
      <c r="S510">
        <f t="shared" si="89"/>
        <v>0</v>
      </c>
      <c r="V510" s="18">
        <f t="shared" si="90"/>
        <v>1</v>
      </c>
      <c r="W510" s="18">
        <f t="shared" si="91"/>
        <v>0.97272727272727277</v>
      </c>
      <c r="X510" s="18">
        <f t="shared" si="92"/>
        <v>0.97938144329896903</v>
      </c>
      <c r="Y510" s="18">
        <f t="shared" si="93"/>
        <v>0.39751552795031053</v>
      </c>
      <c r="Z510" s="18">
        <f t="shared" si="94"/>
        <v>0.56634304207119746</v>
      </c>
      <c r="AA510" s="10">
        <f t="shared" si="95"/>
        <v>0.7831934572</v>
      </c>
      <c r="AB510" t="str">
        <f>IF(AA510&gt;=Como_Avaliar!$B$15,"Alta",IF(AA510&gt;=Como_Avaliar!$B$16,"Média","Baixa"))</f>
        <v>Alta</v>
      </c>
    </row>
    <row r="511" spans="1:28" x14ac:dyDescent="0.25">
      <c r="A511" t="s">
        <v>815</v>
      </c>
      <c r="B511" t="s">
        <v>301</v>
      </c>
      <c r="C511" t="s">
        <v>88</v>
      </c>
      <c r="D511" t="s">
        <v>58</v>
      </c>
      <c r="E511" t="s">
        <v>90</v>
      </c>
      <c r="F511">
        <v>26</v>
      </c>
      <c r="G511">
        <v>105</v>
      </c>
      <c r="H511">
        <v>30</v>
      </c>
      <c r="I511" t="s">
        <v>66</v>
      </c>
      <c r="J511" t="s">
        <v>97</v>
      </c>
      <c r="K511" t="s">
        <v>98</v>
      </c>
      <c r="L511" t="s">
        <v>284</v>
      </c>
      <c r="M511">
        <v>1</v>
      </c>
      <c r="N511" t="str">
        <f t="shared" si="84"/>
        <v>3. 16+ anos</v>
      </c>
      <c r="O511" t="str">
        <f t="shared" si="85"/>
        <v>3. 50 a 149</v>
      </c>
      <c r="P511" t="str">
        <f t="shared" si="86"/>
        <v>4. 16+</v>
      </c>
      <c r="Q511">
        <f t="shared" si="87"/>
        <v>0</v>
      </c>
      <c r="R511">
        <f t="shared" si="88"/>
        <v>1</v>
      </c>
      <c r="S511">
        <f t="shared" si="89"/>
        <v>0</v>
      </c>
      <c r="V511" s="18">
        <f t="shared" si="90"/>
        <v>0.93975903614457834</v>
      </c>
      <c r="W511" s="18">
        <f t="shared" si="91"/>
        <v>0.97272727272727277</v>
      </c>
      <c r="X511" s="18">
        <f t="shared" si="92"/>
        <v>0.58992805755395683</v>
      </c>
      <c r="Y511" s="18">
        <f t="shared" si="93"/>
        <v>1</v>
      </c>
      <c r="Z511" s="18">
        <f t="shared" si="94"/>
        <v>0.56634304207119746</v>
      </c>
      <c r="AA511" s="10">
        <f t="shared" si="95"/>
        <v>0.8137514817</v>
      </c>
      <c r="AB511" t="str">
        <f>IF(AA511&gt;=Como_Avaliar!$B$15,"Alta",IF(AA511&gt;=Como_Avaliar!$B$16,"Média","Baixa"))</f>
        <v>Alta</v>
      </c>
    </row>
    <row r="512" spans="1:28" x14ac:dyDescent="0.25">
      <c r="A512" t="s">
        <v>816</v>
      </c>
      <c r="B512" t="s">
        <v>286</v>
      </c>
      <c r="C512" t="s">
        <v>88</v>
      </c>
      <c r="D512" t="s">
        <v>56</v>
      </c>
      <c r="E512" t="s">
        <v>91</v>
      </c>
      <c r="F512">
        <v>26</v>
      </c>
      <c r="G512">
        <v>6</v>
      </c>
      <c r="H512">
        <v>2</v>
      </c>
      <c r="I512" t="s">
        <v>62</v>
      </c>
      <c r="J512" t="s">
        <v>97</v>
      </c>
      <c r="K512" t="s">
        <v>98</v>
      </c>
      <c r="L512" t="s">
        <v>329</v>
      </c>
      <c r="M512">
        <v>0</v>
      </c>
      <c r="N512" t="str">
        <f t="shared" si="84"/>
        <v>3. 16+ anos</v>
      </c>
      <c r="O512" t="str">
        <f t="shared" si="85"/>
        <v>1. &lt; 20</v>
      </c>
      <c r="P512" t="str">
        <f t="shared" si="86"/>
        <v>1. 1 a 2</v>
      </c>
      <c r="Q512">
        <f t="shared" si="87"/>
        <v>0</v>
      </c>
      <c r="R512">
        <f t="shared" si="88"/>
        <v>0</v>
      </c>
      <c r="S512">
        <f t="shared" si="89"/>
        <v>1</v>
      </c>
      <c r="T512">
        <v>1</v>
      </c>
      <c r="U512" t="s">
        <v>139</v>
      </c>
      <c r="V512" s="18">
        <f t="shared" si="90"/>
        <v>6.8273092369477914E-2</v>
      </c>
      <c r="W512" s="18">
        <f t="shared" si="91"/>
        <v>8.6792452830188674E-2</v>
      </c>
      <c r="X512" s="18">
        <f t="shared" si="92"/>
        <v>0.10309278350515463</v>
      </c>
      <c r="Y512" s="18">
        <f t="shared" si="93"/>
        <v>0.37662337662337664</v>
      </c>
      <c r="Z512" s="18">
        <f t="shared" si="94"/>
        <v>0.56634304207119746</v>
      </c>
      <c r="AA512" s="10">
        <f t="shared" si="95"/>
        <v>0.24022494950000001</v>
      </c>
      <c r="AB512" t="str">
        <f>IF(AA512&gt;=Como_Avaliar!$B$15,"Alta",IF(AA512&gt;=Como_Avaliar!$B$16,"Média","Baixa"))</f>
        <v>Média</v>
      </c>
    </row>
    <row r="513" spans="1:28" x14ac:dyDescent="0.25">
      <c r="A513" t="s">
        <v>817</v>
      </c>
      <c r="B513" t="s">
        <v>288</v>
      </c>
      <c r="C513" t="s">
        <v>88</v>
      </c>
      <c r="D513" t="s">
        <v>56</v>
      </c>
      <c r="E513" t="s">
        <v>95</v>
      </c>
      <c r="F513">
        <v>22</v>
      </c>
      <c r="G513">
        <v>6</v>
      </c>
      <c r="H513">
        <v>1</v>
      </c>
      <c r="I513" t="s">
        <v>63</v>
      </c>
      <c r="J513" t="s">
        <v>97</v>
      </c>
      <c r="K513" t="s">
        <v>97</v>
      </c>
      <c r="L513" t="s">
        <v>284</v>
      </c>
      <c r="M513">
        <v>0</v>
      </c>
      <c r="N513" t="str">
        <f t="shared" si="84"/>
        <v>3. 16+ anos</v>
      </c>
      <c r="O513" t="str">
        <f t="shared" si="85"/>
        <v>1. &lt; 20</v>
      </c>
      <c r="P513" t="str">
        <f t="shared" si="86"/>
        <v>1. 1 a 2</v>
      </c>
      <c r="Q513">
        <f t="shared" si="87"/>
        <v>1</v>
      </c>
      <c r="R513">
        <f t="shared" si="88"/>
        <v>0</v>
      </c>
      <c r="S513">
        <f t="shared" si="89"/>
        <v>1</v>
      </c>
      <c r="T513">
        <v>3</v>
      </c>
      <c r="U513" t="s">
        <v>138</v>
      </c>
      <c r="V513" s="18">
        <f t="shared" si="90"/>
        <v>6.8273092369477914E-2</v>
      </c>
      <c r="W513" s="18">
        <f t="shared" si="91"/>
        <v>8.6792452830188674E-2</v>
      </c>
      <c r="X513" s="18">
        <f t="shared" si="92"/>
        <v>0.10309278350515463</v>
      </c>
      <c r="Y513" s="18">
        <f t="shared" si="93"/>
        <v>6.5217391304347824E-2</v>
      </c>
      <c r="Z513" s="18">
        <f t="shared" si="94"/>
        <v>0.56634304207119746</v>
      </c>
      <c r="AA513" s="10">
        <f t="shared" si="95"/>
        <v>0.17794375239999999</v>
      </c>
      <c r="AB513" t="str">
        <f>IF(AA513&gt;=Como_Avaliar!$B$15,"Alta",IF(AA513&gt;=Como_Avaliar!$B$16,"Média","Baixa"))</f>
        <v>Baixa</v>
      </c>
    </row>
    <row r="514" spans="1:28" x14ac:dyDescent="0.25">
      <c r="A514" t="s">
        <v>818</v>
      </c>
      <c r="B514" t="s">
        <v>426</v>
      </c>
      <c r="C514" t="s">
        <v>84</v>
      </c>
      <c r="D514" t="s">
        <v>59</v>
      </c>
      <c r="E514" t="s">
        <v>95</v>
      </c>
      <c r="F514">
        <v>17</v>
      </c>
      <c r="G514">
        <v>34</v>
      </c>
      <c r="H514">
        <v>2</v>
      </c>
      <c r="I514" t="s">
        <v>62</v>
      </c>
      <c r="J514" t="s">
        <v>98</v>
      </c>
      <c r="K514" t="s">
        <v>97</v>
      </c>
      <c r="L514" t="s">
        <v>322</v>
      </c>
      <c r="M514">
        <v>1</v>
      </c>
      <c r="N514" t="str">
        <f t="shared" ref="N514:N577" si="96">IF(F514&lt;8,"1. &lt; 8 anos",IF(F514&lt;16,"2. 8 a 15 anos","3. 16+ anos"))</f>
        <v>3. 16+ anos</v>
      </c>
      <c r="O514" t="str">
        <f t="shared" ref="O514:O577" si="97">IF(G514&lt;20,"1. &lt; 20",IF(G514&lt;50,"2. 20 a 49",IF(G514&lt;150,"3. 50 a 149","4. 150+")))</f>
        <v>2. 20 a 49</v>
      </c>
      <c r="P514" t="str">
        <f t="shared" ref="P514:P577" si="98">IF(H514&lt;=2,"1. 1 a 2",IF(H514&lt;=5,"2. 3 a 5",IF(H514&lt;=15,"3. 6 a 15","4. 16+")))</f>
        <v>1. 1 a 2</v>
      </c>
      <c r="Q514">
        <f t="shared" ref="Q514:Q577" si="99">IF(OR(I514="Nenhum",I514="Planilha",I514="ContaAzul"),1,0)</f>
        <v>0</v>
      </c>
      <c r="R514">
        <f t="shared" ref="R514:R577" si="100">IF(AND(G514&gt;=50,H514&gt;=6,Q514=0),1,0)</f>
        <v>0</v>
      </c>
      <c r="S514">
        <f t="shared" ref="S514:S577" si="101">IF(AND(L514&lt;&gt;"Cliente Ativo",M514=0),1,0)</f>
        <v>0</v>
      </c>
      <c r="V514" s="18">
        <f t="shared" ref="V514:V577" si="102">AVERAGEIF($D$2:$D$601,D514,$M$2:$M$601)</f>
        <v>0.43835616438356162</v>
      </c>
      <c r="W514" s="18">
        <f t="shared" ref="W514:W577" si="103">AVERAGEIF($P$2:$P$601,P514,$M$2:$M$601)</f>
        <v>8.6792452830188674E-2</v>
      </c>
      <c r="X514" s="18">
        <f t="shared" ref="X514:X577" si="104">AVERAGEIF($O$2:$O$601,O514,$M$2:$M$601)</f>
        <v>0.25294117647058822</v>
      </c>
      <c r="Y514" s="18">
        <f t="shared" ref="Y514:Y577" si="105">AVERAGEIF($I$2:$I$601,I514,$M$2:$M$601)</f>
        <v>0.37662337662337664</v>
      </c>
      <c r="Z514" s="18">
        <f t="shared" ref="Z514:Z577" si="106">AVERAGEIF($N$2:$N$601,N514,$M$2:$M$601)</f>
        <v>0.56634304207119746</v>
      </c>
      <c r="AA514" s="10">
        <f t="shared" ref="AA514:AA577" si="107">ROUND(AVERAGE(V514:Z514),10)</f>
        <v>0.34421124250000001</v>
      </c>
      <c r="AB514" t="str">
        <f>IF(AA514&gt;=Como_Avaliar!$B$15,"Alta",IF(AA514&gt;=Como_Avaliar!$B$16,"Média","Baixa"))</f>
        <v>Média</v>
      </c>
    </row>
    <row r="515" spans="1:28" x14ac:dyDescent="0.25">
      <c r="A515" t="s">
        <v>819</v>
      </c>
      <c r="B515" t="s">
        <v>301</v>
      </c>
      <c r="C515" t="s">
        <v>88</v>
      </c>
      <c r="D515" t="s">
        <v>59</v>
      </c>
      <c r="E515" t="s">
        <v>94</v>
      </c>
      <c r="F515">
        <v>20</v>
      </c>
      <c r="G515">
        <v>45</v>
      </c>
      <c r="H515">
        <v>5</v>
      </c>
      <c r="I515" t="s">
        <v>60</v>
      </c>
      <c r="J515" t="s">
        <v>97</v>
      </c>
      <c r="K515" t="s">
        <v>97</v>
      </c>
      <c r="L515" t="s">
        <v>322</v>
      </c>
      <c r="M515">
        <v>0</v>
      </c>
      <c r="N515" t="str">
        <f t="shared" si="96"/>
        <v>3. 16+ anos</v>
      </c>
      <c r="O515" t="str">
        <f t="shared" si="97"/>
        <v>2. 20 a 49</v>
      </c>
      <c r="P515" t="str">
        <f t="shared" si="98"/>
        <v>2. 3 a 5</v>
      </c>
      <c r="Q515">
        <f t="shared" si="99"/>
        <v>0</v>
      </c>
      <c r="R515">
        <f t="shared" si="100"/>
        <v>0</v>
      </c>
      <c r="S515">
        <f t="shared" si="101"/>
        <v>0</v>
      </c>
      <c r="V515" s="18">
        <f t="shared" si="102"/>
        <v>0.43835616438356162</v>
      </c>
      <c r="W515" s="18">
        <f t="shared" si="103"/>
        <v>0.38095238095238093</v>
      </c>
      <c r="X515" s="18">
        <f t="shared" si="104"/>
        <v>0.25294117647058822</v>
      </c>
      <c r="Y515" s="18">
        <f t="shared" si="105"/>
        <v>0.65217391304347827</v>
      </c>
      <c r="Z515" s="18">
        <f t="shared" si="106"/>
        <v>0.56634304207119746</v>
      </c>
      <c r="AA515" s="10">
        <f t="shared" si="107"/>
        <v>0.45815333539999997</v>
      </c>
      <c r="AB515" t="str">
        <f>IF(AA515&gt;=Como_Avaliar!$B$15,"Alta",IF(AA515&gt;=Como_Avaliar!$B$16,"Média","Baixa"))</f>
        <v>Média</v>
      </c>
    </row>
    <row r="516" spans="1:28" x14ac:dyDescent="0.25">
      <c r="A516" t="s">
        <v>820</v>
      </c>
      <c r="B516" t="s">
        <v>426</v>
      </c>
      <c r="C516" t="s">
        <v>84</v>
      </c>
      <c r="D516" t="s">
        <v>56</v>
      </c>
      <c r="E516" t="s">
        <v>95</v>
      </c>
      <c r="F516">
        <v>10</v>
      </c>
      <c r="G516">
        <v>9</v>
      </c>
      <c r="H516">
        <v>1</v>
      </c>
      <c r="I516" t="s">
        <v>65</v>
      </c>
      <c r="J516" t="s">
        <v>98</v>
      </c>
      <c r="K516" t="s">
        <v>98</v>
      </c>
      <c r="L516" t="s">
        <v>289</v>
      </c>
      <c r="M516">
        <v>0</v>
      </c>
      <c r="N516" t="str">
        <f t="shared" si="96"/>
        <v>2. 8 a 15 anos</v>
      </c>
      <c r="O516" t="str">
        <f t="shared" si="97"/>
        <v>1. &lt; 20</v>
      </c>
      <c r="P516" t="str">
        <f t="shared" si="98"/>
        <v>1. 1 a 2</v>
      </c>
      <c r="Q516">
        <f t="shared" si="99"/>
        <v>0</v>
      </c>
      <c r="R516">
        <f t="shared" si="100"/>
        <v>0</v>
      </c>
      <c r="S516">
        <f t="shared" si="101"/>
        <v>1</v>
      </c>
      <c r="T516">
        <v>1</v>
      </c>
      <c r="U516" t="s">
        <v>139</v>
      </c>
      <c r="V516" s="18">
        <f t="shared" si="102"/>
        <v>6.8273092369477914E-2</v>
      </c>
      <c r="W516" s="18">
        <f t="shared" si="103"/>
        <v>8.6792452830188674E-2</v>
      </c>
      <c r="X516" s="18">
        <f t="shared" si="104"/>
        <v>0.10309278350515463</v>
      </c>
      <c r="Y516" s="18">
        <f t="shared" si="105"/>
        <v>0.39751552795031053</v>
      </c>
      <c r="Z516" s="18">
        <f t="shared" si="106"/>
        <v>0.22302158273381295</v>
      </c>
      <c r="AA516" s="10">
        <f t="shared" si="107"/>
        <v>0.17573908790000001</v>
      </c>
      <c r="AB516" t="str">
        <f>IF(AA516&gt;=Como_Avaliar!$B$15,"Alta",IF(AA516&gt;=Como_Avaliar!$B$16,"Média","Baixa"))</f>
        <v>Baixa</v>
      </c>
    </row>
    <row r="517" spans="1:28" x14ac:dyDescent="0.25">
      <c r="A517" t="s">
        <v>821</v>
      </c>
      <c r="B517" t="s">
        <v>327</v>
      </c>
      <c r="C517" t="s">
        <v>86</v>
      </c>
      <c r="D517" t="s">
        <v>58</v>
      </c>
      <c r="E517" t="s">
        <v>90</v>
      </c>
      <c r="F517">
        <v>6</v>
      </c>
      <c r="G517">
        <v>218</v>
      </c>
      <c r="H517">
        <v>21</v>
      </c>
      <c r="I517" t="s">
        <v>60</v>
      </c>
      <c r="J517" t="s">
        <v>97</v>
      </c>
      <c r="K517" t="s">
        <v>97</v>
      </c>
      <c r="L517" t="s">
        <v>284</v>
      </c>
      <c r="M517">
        <v>1</v>
      </c>
      <c r="N517" t="str">
        <f t="shared" si="96"/>
        <v>1. &lt; 8 anos</v>
      </c>
      <c r="O517" t="str">
        <f t="shared" si="97"/>
        <v>4. 150+</v>
      </c>
      <c r="P517" t="str">
        <f t="shared" si="98"/>
        <v>4. 16+</v>
      </c>
      <c r="Q517">
        <f t="shared" si="99"/>
        <v>0</v>
      </c>
      <c r="R517">
        <f t="shared" si="100"/>
        <v>1</v>
      </c>
      <c r="S517">
        <f t="shared" si="101"/>
        <v>0</v>
      </c>
      <c r="V517" s="18">
        <f t="shared" si="102"/>
        <v>0.93975903614457834</v>
      </c>
      <c r="W517" s="18">
        <f t="shared" si="103"/>
        <v>0.97272727272727277</v>
      </c>
      <c r="X517" s="18">
        <f t="shared" si="104"/>
        <v>0.97938144329896903</v>
      </c>
      <c r="Y517" s="18">
        <f t="shared" si="105"/>
        <v>0.65217391304347827</v>
      </c>
      <c r="Z517" s="18">
        <f t="shared" si="106"/>
        <v>0.22368421052631579</v>
      </c>
      <c r="AA517" s="10">
        <f t="shared" si="107"/>
        <v>0.75354517509999996</v>
      </c>
      <c r="AB517" t="str">
        <f>IF(AA517&gt;=Como_Avaliar!$B$15,"Alta",IF(AA517&gt;=Como_Avaliar!$B$16,"Média","Baixa"))</f>
        <v>Alta</v>
      </c>
    </row>
    <row r="518" spans="1:28" x14ac:dyDescent="0.25">
      <c r="A518" t="s">
        <v>822</v>
      </c>
      <c r="B518" t="s">
        <v>288</v>
      </c>
      <c r="C518" t="s">
        <v>88</v>
      </c>
      <c r="D518" t="s">
        <v>59</v>
      </c>
      <c r="E518" t="s">
        <v>94</v>
      </c>
      <c r="F518">
        <v>15</v>
      </c>
      <c r="G518">
        <v>47</v>
      </c>
      <c r="H518">
        <v>3</v>
      </c>
      <c r="I518" t="s">
        <v>68</v>
      </c>
      <c r="J518" t="s">
        <v>98</v>
      </c>
      <c r="K518" t="s">
        <v>97</v>
      </c>
      <c r="L518" t="s">
        <v>284</v>
      </c>
      <c r="M518">
        <v>0</v>
      </c>
      <c r="N518" t="str">
        <f t="shared" si="96"/>
        <v>2. 8 a 15 anos</v>
      </c>
      <c r="O518" t="str">
        <f t="shared" si="97"/>
        <v>2. 20 a 49</v>
      </c>
      <c r="P518" t="str">
        <f t="shared" si="98"/>
        <v>2. 3 a 5</v>
      </c>
      <c r="Q518">
        <f t="shared" si="99"/>
        <v>0</v>
      </c>
      <c r="R518">
        <f t="shared" si="100"/>
        <v>0</v>
      </c>
      <c r="S518">
        <f t="shared" si="101"/>
        <v>1</v>
      </c>
      <c r="T518">
        <v>3</v>
      </c>
      <c r="U518" t="s">
        <v>138</v>
      </c>
      <c r="V518" s="18">
        <f t="shared" si="102"/>
        <v>0.43835616438356162</v>
      </c>
      <c r="W518" s="18">
        <f t="shared" si="103"/>
        <v>0.38095238095238093</v>
      </c>
      <c r="X518" s="18">
        <f t="shared" si="104"/>
        <v>0.25294117647058822</v>
      </c>
      <c r="Y518" s="18">
        <f t="shared" si="105"/>
        <v>0.58333333333333337</v>
      </c>
      <c r="Z518" s="18">
        <f t="shared" si="106"/>
        <v>0.22302158273381295</v>
      </c>
      <c r="AA518" s="10">
        <f t="shared" si="107"/>
        <v>0.37572092759999998</v>
      </c>
      <c r="AB518" t="str">
        <f>IF(AA518&gt;=Como_Avaliar!$B$15,"Alta",IF(AA518&gt;=Como_Avaliar!$B$16,"Média","Baixa"))</f>
        <v>Média</v>
      </c>
    </row>
    <row r="519" spans="1:28" x14ac:dyDescent="0.25">
      <c r="A519" t="s">
        <v>823</v>
      </c>
      <c r="B519" t="s">
        <v>286</v>
      </c>
      <c r="C519" t="s">
        <v>88</v>
      </c>
      <c r="D519" t="s">
        <v>59</v>
      </c>
      <c r="E519" t="s">
        <v>94</v>
      </c>
      <c r="F519">
        <v>22</v>
      </c>
      <c r="G519">
        <v>60</v>
      </c>
      <c r="H519">
        <v>9</v>
      </c>
      <c r="I519" t="s">
        <v>62</v>
      </c>
      <c r="J519" t="s">
        <v>98</v>
      </c>
      <c r="K519" t="s">
        <v>98</v>
      </c>
      <c r="L519" t="s">
        <v>298</v>
      </c>
      <c r="M519">
        <v>1</v>
      </c>
      <c r="N519" t="str">
        <f t="shared" si="96"/>
        <v>3. 16+ anos</v>
      </c>
      <c r="O519" t="str">
        <f t="shared" si="97"/>
        <v>3. 50 a 149</v>
      </c>
      <c r="P519" t="str">
        <f t="shared" si="98"/>
        <v>3. 6 a 15</v>
      </c>
      <c r="Q519">
        <f t="shared" si="99"/>
        <v>0</v>
      </c>
      <c r="R519">
        <f t="shared" si="100"/>
        <v>1</v>
      </c>
      <c r="S519">
        <f t="shared" si="101"/>
        <v>0</v>
      </c>
      <c r="V519" s="18">
        <f t="shared" si="102"/>
        <v>0.43835616438356162</v>
      </c>
      <c r="W519" s="18">
        <f t="shared" si="103"/>
        <v>0.55319148936170215</v>
      </c>
      <c r="X519" s="18">
        <f t="shared" si="104"/>
        <v>0.58992805755395683</v>
      </c>
      <c r="Y519" s="18">
        <f t="shared" si="105"/>
        <v>0.37662337662337664</v>
      </c>
      <c r="Z519" s="18">
        <f t="shared" si="106"/>
        <v>0.56634304207119746</v>
      </c>
      <c r="AA519" s="10">
        <f t="shared" si="107"/>
        <v>0.50488842599999995</v>
      </c>
      <c r="AB519" t="str">
        <f>IF(AA519&gt;=Como_Avaliar!$B$15,"Alta",IF(AA519&gt;=Como_Avaliar!$B$16,"Média","Baixa"))</f>
        <v>Alta</v>
      </c>
    </row>
    <row r="520" spans="1:28" x14ac:dyDescent="0.25">
      <c r="A520" t="s">
        <v>824</v>
      </c>
      <c r="B520" t="s">
        <v>286</v>
      </c>
      <c r="C520" t="s">
        <v>88</v>
      </c>
      <c r="D520" t="s">
        <v>56</v>
      </c>
      <c r="E520" t="s">
        <v>96</v>
      </c>
      <c r="F520">
        <v>11</v>
      </c>
      <c r="G520">
        <v>11</v>
      </c>
      <c r="H520">
        <v>1</v>
      </c>
      <c r="I520" t="s">
        <v>65</v>
      </c>
      <c r="J520" t="s">
        <v>98</v>
      </c>
      <c r="K520" t="s">
        <v>97</v>
      </c>
      <c r="L520" t="s">
        <v>284</v>
      </c>
      <c r="M520">
        <v>0</v>
      </c>
      <c r="N520" t="str">
        <f t="shared" si="96"/>
        <v>2. 8 a 15 anos</v>
      </c>
      <c r="O520" t="str">
        <f t="shared" si="97"/>
        <v>1. &lt; 20</v>
      </c>
      <c r="P520" t="str">
        <f t="shared" si="98"/>
        <v>1. 1 a 2</v>
      </c>
      <c r="Q520">
        <f t="shared" si="99"/>
        <v>0</v>
      </c>
      <c r="R520">
        <f t="shared" si="100"/>
        <v>0</v>
      </c>
      <c r="S520">
        <f t="shared" si="101"/>
        <v>1</v>
      </c>
      <c r="T520">
        <v>1</v>
      </c>
      <c r="U520" t="s">
        <v>139</v>
      </c>
      <c r="V520" s="18">
        <f t="shared" si="102"/>
        <v>6.8273092369477914E-2</v>
      </c>
      <c r="W520" s="18">
        <f t="shared" si="103"/>
        <v>8.6792452830188674E-2</v>
      </c>
      <c r="X520" s="18">
        <f t="shared" si="104"/>
        <v>0.10309278350515463</v>
      </c>
      <c r="Y520" s="18">
        <f t="shared" si="105"/>
        <v>0.39751552795031053</v>
      </c>
      <c r="Z520" s="18">
        <f t="shared" si="106"/>
        <v>0.22302158273381295</v>
      </c>
      <c r="AA520" s="10">
        <f t="shared" si="107"/>
        <v>0.17573908790000001</v>
      </c>
      <c r="AB520" t="str">
        <f>IF(AA520&gt;=Como_Avaliar!$B$15,"Alta",IF(AA520&gt;=Como_Avaliar!$B$16,"Média","Baixa"))</f>
        <v>Baixa</v>
      </c>
    </row>
    <row r="521" spans="1:28" x14ac:dyDescent="0.25">
      <c r="A521" t="s">
        <v>825</v>
      </c>
      <c r="B521" t="s">
        <v>305</v>
      </c>
      <c r="C521" t="s">
        <v>89</v>
      </c>
      <c r="D521" t="s">
        <v>56</v>
      </c>
      <c r="E521" t="s">
        <v>96</v>
      </c>
      <c r="F521">
        <v>28</v>
      </c>
      <c r="G521">
        <v>15</v>
      </c>
      <c r="H521">
        <v>2</v>
      </c>
      <c r="I521" t="s">
        <v>62</v>
      </c>
      <c r="J521" t="s">
        <v>98</v>
      </c>
      <c r="K521" t="s">
        <v>98</v>
      </c>
      <c r="L521" t="s">
        <v>284</v>
      </c>
      <c r="M521">
        <v>0</v>
      </c>
      <c r="N521" t="str">
        <f t="shared" si="96"/>
        <v>3. 16+ anos</v>
      </c>
      <c r="O521" t="str">
        <f t="shared" si="97"/>
        <v>1. &lt; 20</v>
      </c>
      <c r="P521" t="str">
        <f t="shared" si="98"/>
        <v>1. 1 a 2</v>
      </c>
      <c r="Q521">
        <f t="shared" si="99"/>
        <v>0</v>
      </c>
      <c r="R521">
        <f t="shared" si="100"/>
        <v>0</v>
      </c>
      <c r="S521">
        <f t="shared" si="101"/>
        <v>1</v>
      </c>
      <c r="T521">
        <v>2</v>
      </c>
      <c r="U521" t="s">
        <v>139</v>
      </c>
      <c r="V521" s="18">
        <f t="shared" si="102"/>
        <v>6.8273092369477914E-2</v>
      </c>
      <c r="W521" s="18">
        <f t="shared" si="103"/>
        <v>8.6792452830188674E-2</v>
      </c>
      <c r="X521" s="18">
        <f t="shared" si="104"/>
        <v>0.10309278350515463</v>
      </c>
      <c r="Y521" s="18">
        <f t="shared" si="105"/>
        <v>0.37662337662337664</v>
      </c>
      <c r="Z521" s="18">
        <f t="shared" si="106"/>
        <v>0.56634304207119746</v>
      </c>
      <c r="AA521" s="10">
        <f t="shared" si="107"/>
        <v>0.24022494950000001</v>
      </c>
      <c r="AB521" t="str">
        <f>IF(AA521&gt;=Como_Avaliar!$B$15,"Alta",IF(AA521&gt;=Como_Avaliar!$B$16,"Média","Baixa"))</f>
        <v>Média</v>
      </c>
    </row>
    <row r="522" spans="1:28" x14ac:dyDescent="0.25">
      <c r="A522" t="s">
        <v>826</v>
      </c>
      <c r="B522" t="s">
        <v>391</v>
      </c>
      <c r="C522" t="s">
        <v>87</v>
      </c>
      <c r="D522" t="s">
        <v>58</v>
      </c>
      <c r="E522" t="s">
        <v>96</v>
      </c>
      <c r="F522">
        <v>5</v>
      </c>
      <c r="G522">
        <v>80</v>
      </c>
      <c r="H522">
        <v>29</v>
      </c>
      <c r="I522" t="s">
        <v>65</v>
      </c>
      <c r="J522" t="s">
        <v>98</v>
      </c>
      <c r="K522" t="s">
        <v>98</v>
      </c>
      <c r="L522" t="s">
        <v>298</v>
      </c>
      <c r="M522">
        <v>1</v>
      </c>
      <c r="N522" t="str">
        <f t="shared" si="96"/>
        <v>1. &lt; 8 anos</v>
      </c>
      <c r="O522" t="str">
        <f t="shared" si="97"/>
        <v>3. 50 a 149</v>
      </c>
      <c r="P522" t="str">
        <f t="shared" si="98"/>
        <v>4. 16+</v>
      </c>
      <c r="Q522">
        <f t="shared" si="99"/>
        <v>0</v>
      </c>
      <c r="R522">
        <f t="shared" si="100"/>
        <v>1</v>
      </c>
      <c r="S522">
        <f t="shared" si="101"/>
        <v>0</v>
      </c>
      <c r="V522" s="18">
        <f t="shared" si="102"/>
        <v>0.93975903614457834</v>
      </c>
      <c r="W522" s="18">
        <f t="shared" si="103"/>
        <v>0.97272727272727277</v>
      </c>
      <c r="X522" s="18">
        <f t="shared" si="104"/>
        <v>0.58992805755395683</v>
      </c>
      <c r="Y522" s="18">
        <f t="shared" si="105"/>
        <v>0.39751552795031053</v>
      </c>
      <c r="Z522" s="18">
        <f t="shared" si="106"/>
        <v>0.22368421052631579</v>
      </c>
      <c r="AA522" s="10">
        <f t="shared" si="107"/>
        <v>0.62472282099999998</v>
      </c>
      <c r="AB522" t="str">
        <f>IF(AA522&gt;=Como_Avaliar!$B$15,"Alta",IF(AA522&gt;=Como_Avaliar!$B$16,"Média","Baixa"))</f>
        <v>Alta</v>
      </c>
    </row>
    <row r="523" spans="1:28" x14ac:dyDescent="0.25">
      <c r="A523" t="s">
        <v>827</v>
      </c>
      <c r="B523" t="s">
        <v>301</v>
      </c>
      <c r="C523" t="s">
        <v>88</v>
      </c>
      <c r="D523" t="s">
        <v>59</v>
      </c>
      <c r="E523" t="s">
        <v>90</v>
      </c>
      <c r="F523">
        <v>1</v>
      </c>
      <c r="G523">
        <v>62</v>
      </c>
      <c r="H523">
        <v>4</v>
      </c>
      <c r="I523" t="s">
        <v>62</v>
      </c>
      <c r="J523" t="s">
        <v>97</v>
      </c>
      <c r="K523" t="s">
        <v>98</v>
      </c>
      <c r="L523" t="s">
        <v>322</v>
      </c>
      <c r="M523">
        <v>0</v>
      </c>
      <c r="N523" t="str">
        <f t="shared" si="96"/>
        <v>1. &lt; 8 anos</v>
      </c>
      <c r="O523" t="str">
        <f t="shared" si="97"/>
        <v>3. 50 a 149</v>
      </c>
      <c r="P523" t="str">
        <f t="shared" si="98"/>
        <v>2. 3 a 5</v>
      </c>
      <c r="Q523">
        <f t="shared" si="99"/>
        <v>0</v>
      </c>
      <c r="R523">
        <f t="shared" si="100"/>
        <v>0</v>
      </c>
      <c r="S523">
        <f t="shared" si="101"/>
        <v>0</v>
      </c>
      <c r="V523" s="18">
        <f t="shared" si="102"/>
        <v>0.43835616438356162</v>
      </c>
      <c r="W523" s="18">
        <f t="shared" si="103"/>
        <v>0.38095238095238093</v>
      </c>
      <c r="X523" s="18">
        <f t="shared" si="104"/>
        <v>0.58992805755395683</v>
      </c>
      <c r="Y523" s="18">
        <f t="shared" si="105"/>
        <v>0.37662337662337664</v>
      </c>
      <c r="Z523" s="18">
        <f t="shared" si="106"/>
        <v>0.22368421052631579</v>
      </c>
      <c r="AA523" s="10">
        <f t="shared" si="107"/>
        <v>0.40190883799999999</v>
      </c>
      <c r="AB523" t="str">
        <f>IF(AA523&gt;=Como_Avaliar!$B$15,"Alta",IF(AA523&gt;=Como_Avaliar!$B$16,"Média","Baixa"))</f>
        <v>Média</v>
      </c>
    </row>
    <row r="524" spans="1:28" x14ac:dyDescent="0.25">
      <c r="A524" t="s">
        <v>828</v>
      </c>
      <c r="B524" t="s">
        <v>283</v>
      </c>
      <c r="C524" t="s">
        <v>89</v>
      </c>
      <c r="D524" t="s">
        <v>59</v>
      </c>
      <c r="E524" t="s">
        <v>90</v>
      </c>
      <c r="F524">
        <v>8</v>
      </c>
      <c r="G524">
        <v>66</v>
      </c>
      <c r="H524">
        <v>3</v>
      </c>
      <c r="I524" t="s">
        <v>68</v>
      </c>
      <c r="J524" t="s">
        <v>97</v>
      </c>
      <c r="K524" t="s">
        <v>98</v>
      </c>
      <c r="L524" t="s">
        <v>298</v>
      </c>
      <c r="M524">
        <v>1</v>
      </c>
      <c r="N524" t="str">
        <f t="shared" si="96"/>
        <v>2. 8 a 15 anos</v>
      </c>
      <c r="O524" t="str">
        <f t="shared" si="97"/>
        <v>3. 50 a 149</v>
      </c>
      <c r="P524" t="str">
        <f t="shared" si="98"/>
        <v>2. 3 a 5</v>
      </c>
      <c r="Q524">
        <f t="shared" si="99"/>
        <v>0</v>
      </c>
      <c r="R524">
        <f t="shared" si="100"/>
        <v>0</v>
      </c>
      <c r="S524">
        <f t="shared" si="101"/>
        <v>0</v>
      </c>
      <c r="V524" s="18">
        <f t="shared" si="102"/>
        <v>0.43835616438356162</v>
      </c>
      <c r="W524" s="18">
        <f t="shared" si="103"/>
        <v>0.38095238095238093</v>
      </c>
      <c r="X524" s="18">
        <f t="shared" si="104"/>
        <v>0.58992805755395683</v>
      </c>
      <c r="Y524" s="18">
        <f t="shared" si="105"/>
        <v>0.58333333333333337</v>
      </c>
      <c r="Z524" s="18">
        <f t="shared" si="106"/>
        <v>0.22302158273381295</v>
      </c>
      <c r="AA524" s="10">
        <f t="shared" si="107"/>
        <v>0.4431183038</v>
      </c>
      <c r="AB524" t="str">
        <f>IF(AA524&gt;=Como_Avaliar!$B$15,"Alta",IF(AA524&gt;=Como_Avaliar!$B$16,"Média","Baixa"))</f>
        <v>Média</v>
      </c>
    </row>
    <row r="525" spans="1:28" x14ac:dyDescent="0.25">
      <c r="A525" t="s">
        <v>829</v>
      </c>
      <c r="B525" t="s">
        <v>314</v>
      </c>
      <c r="C525" t="s">
        <v>84</v>
      </c>
      <c r="D525" t="s">
        <v>59</v>
      </c>
      <c r="E525" t="s">
        <v>95</v>
      </c>
      <c r="F525">
        <v>21</v>
      </c>
      <c r="G525">
        <v>73</v>
      </c>
      <c r="H525">
        <v>2</v>
      </c>
      <c r="I525" t="s">
        <v>62</v>
      </c>
      <c r="J525" t="s">
        <v>97</v>
      </c>
      <c r="K525" t="s">
        <v>98</v>
      </c>
      <c r="L525" t="s">
        <v>289</v>
      </c>
      <c r="M525">
        <v>1</v>
      </c>
      <c r="N525" t="str">
        <f t="shared" si="96"/>
        <v>3. 16+ anos</v>
      </c>
      <c r="O525" t="str">
        <f t="shared" si="97"/>
        <v>3. 50 a 149</v>
      </c>
      <c r="P525" t="str">
        <f t="shared" si="98"/>
        <v>1. 1 a 2</v>
      </c>
      <c r="Q525">
        <f t="shared" si="99"/>
        <v>0</v>
      </c>
      <c r="R525">
        <f t="shared" si="100"/>
        <v>0</v>
      </c>
      <c r="S525">
        <f t="shared" si="101"/>
        <v>0</v>
      </c>
      <c r="V525" s="18">
        <f t="shared" si="102"/>
        <v>0.43835616438356162</v>
      </c>
      <c r="W525" s="18">
        <f t="shared" si="103"/>
        <v>8.6792452830188674E-2</v>
      </c>
      <c r="X525" s="18">
        <f t="shared" si="104"/>
        <v>0.58992805755395683</v>
      </c>
      <c r="Y525" s="18">
        <f t="shared" si="105"/>
        <v>0.37662337662337664</v>
      </c>
      <c r="Z525" s="18">
        <f t="shared" si="106"/>
        <v>0.56634304207119746</v>
      </c>
      <c r="AA525" s="10">
        <f t="shared" si="107"/>
        <v>0.41160861869999998</v>
      </c>
      <c r="AB525" t="str">
        <f>IF(AA525&gt;=Como_Avaliar!$B$15,"Alta",IF(AA525&gt;=Como_Avaliar!$B$16,"Média","Baixa"))</f>
        <v>Média</v>
      </c>
    </row>
    <row r="526" spans="1:28" x14ac:dyDescent="0.25">
      <c r="A526" t="s">
        <v>830</v>
      </c>
      <c r="B526" t="s">
        <v>283</v>
      </c>
      <c r="C526" t="s">
        <v>89</v>
      </c>
      <c r="D526" t="s">
        <v>56</v>
      </c>
      <c r="E526" t="s">
        <v>90</v>
      </c>
      <c r="F526">
        <v>28</v>
      </c>
      <c r="G526">
        <v>21</v>
      </c>
      <c r="H526">
        <v>1</v>
      </c>
      <c r="I526" t="s">
        <v>65</v>
      </c>
      <c r="J526" t="s">
        <v>98</v>
      </c>
      <c r="K526" t="s">
        <v>97</v>
      </c>
      <c r="L526" t="s">
        <v>289</v>
      </c>
      <c r="M526">
        <v>1</v>
      </c>
      <c r="N526" t="str">
        <f t="shared" si="96"/>
        <v>3. 16+ anos</v>
      </c>
      <c r="O526" t="str">
        <f t="shared" si="97"/>
        <v>2. 20 a 49</v>
      </c>
      <c r="P526" t="str">
        <f t="shared" si="98"/>
        <v>1. 1 a 2</v>
      </c>
      <c r="Q526">
        <f t="shared" si="99"/>
        <v>0</v>
      </c>
      <c r="R526">
        <f t="shared" si="100"/>
        <v>0</v>
      </c>
      <c r="S526">
        <f t="shared" si="101"/>
        <v>0</v>
      </c>
      <c r="V526" s="18">
        <f t="shared" si="102"/>
        <v>6.8273092369477914E-2</v>
      </c>
      <c r="W526" s="18">
        <f t="shared" si="103"/>
        <v>8.6792452830188674E-2</v>
      </c>
      <c r="X526" s="18">
        <f t="shared" si="104"/>
        <v>0.25294117647058822</v>
      </c>
      <c r="Y526" s="18">
        <f t="shared" si="105"/>
        <v>0.39751552795031053</v>
      </c>
      <c r="Z526" s="18">
        <f t="shared" si="106"/>
        <v>0.56634304207119746</v>
      </c>
      <c r="AA526" s="10">
        <f t="shared" si="107"/>
        <v>0.27437305829999997</v>
      </c>
      <c r="AB526" t="str">
        <f>IF(AA526&gt;=Como_Avaliar!$B$15,"Alta",IF(AA526&gt;=Como_Avaliar!$B$16,"Média","Baixa"))</f>
        <v>Média</v>
      </c>
    </row>
    <row r="527" spans="1:28" x14ac:dyDescent="0.25">
      <c r="A527" t="s">
        <v>831</v>
      </c>
      <c r="B527" t="s">
        <v>426</v>
      </c>
      <c r="C527" t="s">
        <v>84</v>
      </c>
      <c r="D527" t="s">
        <v>59</v>
      </c>
      <c r="E527" t="s">
        <v>92</v>
      </c>
      <c r="F527">
        <v>12</v>
      </c>
      <c r="G527">
        <v>46</v>
      </c>
      <c r="H527">
        <v>2</v>
      </c>
      <c r="I527" t="s">
        <v>68</v>
      </c>
      <c r="J527" t="s">
        <v>97</v>
      </c>
      <c r="K527" t="s">
        <v>98</v>
      </c>
      <c r="L527" t="s">
        <v>289</v>
      </c>
      <c r="M527">
        <v>0</v>
      </c>
      <c r="N527" t="str">
        <f t="shared" si="96"/>
        <v>2. 8 a 15 anos</v>
      </c>
      <c r="O527" t="str">
        <f t="shared" si="97"/>
        <v>2. 20 a 49</v>
      </c>
      <c r="P527" t="str">
        <f t="shared" si="98"/>
        <v>1. 1 a 2</v>
      </c>
      <c r="Q527">
        <f t="shared" si="99"/>
        <v>0</v>
      </c>
      <c r="R527">
        <f t="shared" si="100"/>
        <v>0</v>
      </c>
      <c r="S527">
        <f t="shared" si="101"/>
        <v>1</v>
      </c>
      <c r="T527">
        <v>3</v>
      </c>
      <c r="U527" t="s">
        <v>138</v>
      </c>
      <c r="V527" s="18">
        <f t="shared" si="102"/>
        <v>0.43835616438356162</v>
      </c>
      <c r="W527" s="18">
        <f t="shared" si="103"/>
        <v>8.6792452830188674E-2</v>
      </c>
      <c r="X527" s="18">
        <f t="shared" si="104"/>
        <v>0.25294117647058822</v>
      </c>
      <c r="Y527" s="18">
        <f t="shared" si="105"/>
        <v>0.58333333333333337</v>
      </c>
      <c r="Z527" s="18">
        <f t="shared" si="106"/>
        <v>0.22302158273381295</v>
      </c>
      <c r="AA527" s="10">
        <f t="shared" si="107"/>
        <v>0.31688894200000001</v>
      </c>
      <c r="AB527" t="str">
        <f>IF(AA527&gt;=Como_Avaliar!$B$15,"Alta",IF(AA527&gt;=Como_Avaliar!$B$16,"Média","Baixa"))</f>
        <v>Média</v>
      </c>
    </row>
    <row r="528" spans="1:28" x14ac:dyDescent="0.25">
      <c r="A528" t="s">
        <v>832</v>
      </c>
      <c r="B528" t="s">
        <v>321</v>
      </c>
      <c r="C528" t="s">
        <v>86</v>
      </c>
      <c r="D528" t="s">
        <v>59</v>
      </c>
      <c r="E528" t="s">
        <v>94</v>
      </c>
      <c r="F528">
        <v>12</v>
      </c>
      <c r="G528">
        <v>43</v>
      </c>
      <c r="H528">
        <v>4</v>
      </c>
      <c r="I528" t="s">
        <v>62</v>
      </c>
      <c r="J528" t="s">
        <v>97</v>
      </c>
      <c r="K528" t="s">
        <v>97</v>
      </c>
      <c r="L528" t="s">
        <v>284</v>
      </c>
      <c r="M528">
        <v>0</v>
      </c>
      <c r="N528" t="str">
        <f t="shared" si="96"/>
        <v>2. 8 a 15 anos</v>
      </c>
      <c r="O528" t="str">
        <f t="shared" si="97"/>
        <v>2. 20 a 49</v>
      </c>
      <c r="P528" t="str">
        <f t="shared" si="98"/>
        <v>2. 3 a 5</v>
      </c>
      <c r="Q528">
        <f t="shared" si="99"/>
        <v>0</v>
      </c>
      <c r="R528">
        <f t="shared" si="100"/>
        <v>0</v>
      </c>
      <c r="S528">
        <f t="shared" si="101"/>
        <v>1</v>
      </c>
      <c r="T528">
        <v>3</v>
      </c>
      <c r="U528" t="s">
        <v>138</v>
      </c>
      <c r="V528" s="18">
        <f t="shared" si="102"/>
        <v>0.43835616438356162</v>
      </c>
      <c r="W528" s="18">
        <f t="shared" si="103"/>
        <v>0.38095238095238093</v>
      </c>
      <c r="X528" s="18">
        <f t="shared" si="104"/>
        <v>0.25294117647058822</v>
      </c>
      <c r="Y528" s="18">
        <f t="shared" si="105"/>
        <v>0.37662337662337664</v>
      </c>
      <c r="Z528" s="18">
        <f t="shared" si="106"/>
        <v>0.22302158273381295</v>
      </c>
      <c r="AA528" s="10">
        <f t="shared" si="107"/>
        <v>0.33437893619999998</v>
      </c>
      <c r="AB528" t="str">
        <f>IF(AA528&gt;=Como_Avaliar!$B$15,"Alta",IF(AA528&gt;=Como_Avaliar!$B$16,"Média","Baixa"))</f>
        <v>Média</v>
      </c>
    </row>
    <row r="529" spans="1:28" x14ac:dyDescent="0.25">
      <c r="A529" t="s">
        <v>833</v>
      </c>
      <c r="B529" t="s">
        <v>286</v>
      </c>
      <c r="C529" t="s">
        <v>88</v>
      </c>
      <c r="D529" t="s">
        <v>56</v>
      </c>
      <c r="E529" t="s">
        <v>93</v>
      </c>
      <c r="F529">
        <v>5</v>
      </c>
      <c r="G529">
        <v>12</v>
      </c>
      <c r="H529">
        <v>2</v>
      </c>
      <c r="I529" t="s">
        <v>61</v>
      </c>
      <c r="J529" t="s">
        <v>97</v>
      </c>
      <c r="K529" t="s">
        <v>98</v>
      </c>
      <c r="L529" t="s">
        <v>289</v>
      </c>
      <c r="M529">
        <v>0</v>
      </c>
      <c r="N529" t="str">
        <f t="shared" si="96"/>
        <v>1. &lt; 8 anos</v>
      </c>
      <c r="O529" t="str">
        <f t="shared" si="97"/>
        <v>1. &lt; 20</v>
      </c>
      <c r="P529" t="str">
        <f t="shared" si="98"/>
        <v>1. 1 a 2</v>
      </c>
      <c r="Q529">
        <f t="shared" si="99"/>
        <v>1</v>
      </c>
      <c r="R529">
        <f t="shared" si="100"/>
        <v>0</v>
      </c>
      <c r="S529">
        <f t="shared" si="101"/>
        <v>1</v>
      </c>
      <c r="T529">
        <v>1</v>
      </c>
      <c r="U529" t="s">
        <v>139</v>
      </c>
      <c r="V529" s="18">
        <f t="shared" si="102"/>
        <v>6.8273092369477914E-2</v>
      </c>
      <c r="W529" s="18">
        <f t="shared" si="103"/>
        <v>8.6792452830188674E-2</v>
      </c>
      <c r="X529" s="18">
        <f t="shared" si="104"/>
        <v>0.10309278350515463</v>
      </c>
      <c r="Y529" s="18">
        <f t="shared" si="105"/>
        <v>0</v>
      </c>
      <c r="Z529" s="18">
        <f t="shared" si="106"/>
        <v>0.22368421052631579</v>
      </c>
      <c r="AA529" s="10">
        <f t="shared" si="107"/>
        <v>9.6368507800000003E-2</v>
      </c>
      <c r="AB529" t="str">
        <f>IF(AA529&gt;=Como_Avaliar!$B$15,"Alta",IF(AA529&gt;=Como_Avaliar!$B$16,"Média","Baixa"))</f>
        <v>Baixa</v>
      </c>
    </row>
    <row r="530" spans="1:28" x14ac:dyDescent="0.25">
      <c r="A530" t="s">
        <v>834</v>
      </c>
      <c r="B530" t="s">
        <v>286</v>
      </c>
      <c r="C530" t="s">
        <v>88</v>
      </c>
      <c r="D530" t="s">
        <v>56</v>
      </c>
      <c r="E530" t="s">
        <v>96</v>
      </c>
      <c r="F530">
        <v>7</v>
      </c>
      <c r="G530">
        <v>24</v>
      </c>
      <c r="H530">
        <v>2</v>
      </c>
      <c r="I530" t="s">
        <v>61</v>
      </c>
      <c r="J530" t="s">
        <v>97</v>
      </c>
      <c r="K530" t="s">
        <v>98</v>
      </c>
      <c r="L530" t="s">
        <v>289</v>
      </c>
      <c r="M530">
        <v>0</v>
      </c>
      <c r="N530" t="str">
        <f t="shared" si="96"/>
        <v>1. &lt; 8 anos</v>
      </c>
      <c r="O530" t="str">
        <f t="shared" si="97"/>
        <v>2. 20 a 49</v>
      </c>
      <c r="P530" t="str">
        <f t="shared" si="98"/>
        <v>1. 1 a 2</v>
      </c>
      <c r="Q530">
        <f t="shared" si="99"/>
        <v>1</v>
      </c>
      <c r="R530">
        <f t="shared" si="100"/>
        <v>0</v>
      </c>
      <c r="S530">
        <f t="shared" si="101"/>
        <v>1</v>
      </c>
      <c r="T530">
        <v>2</v>
      </c>
      <c r="U530" t="s">
        <v>139</v>
      </c>
      <c r="V530" s="18">
        <f t="shared" si="102"/>
        <v>6.8273092369477914E-2</v>
      </c>
      <c r="W530" s="18">
        <f t="shared" si="103"/>
        <v>8.6792452830188674E-2</v>
      </c>
      <c r="X530" s="18">
        <f t="shared" si="104"/>
        <v>0.25294117647058822</v>
      </c>
      <c r="Y530" s="18">
        <f t="shared" si="105"/>
        <v>0</v>
      </c>
      <c r="Z530" s="18">
        <f t="shared" si="106"/>
        <v>0.22368421052631579</v>
      </c>
      <c r="AA530" s="10">
        <f t="shared" si="107"/>
        <v>0.1263381864</v>
      </c>
      <c r="AB530" t="str">
        <f>IF(AA530&gt;=Como_Avaliar!$B$15,"Alta",IF(AA530&gt;=Como_Avaliar!$B$16,"Média","Baixa"))</f>
        <v>Baixa</v>
      </c>
    </row>
    <row r="531" spans="1:28" x14ac:dyDescent="0.25">
      <c r="A531" t="s">
        <v>835</v>
      </c>
      <c r="B531" t="s">
        <v>286</v>
      </c>
      <c r="C531" t="s">
        <v>88</v>
      </c>
      <c r="D531" t="s">
        <v>58</v>
      </c>
      <c r="E531" t="s">
        <v>93</v>
      </c>
      <c r="F531">
        <v>4</v>
      </c>
      <c r="G531">
        <v>80</v>
      </c>
      <c r="H531">
        <v>24</v>
      </c>
      <c r="I531" t="s">
        <v>68</v>
      </c>
      <c r="J531" t="s">
        <v>98</v>
      </c>
      <c r="K531" t="s">
        <v>97</v>
      </c>
      <c r="L531" t="s">
        <v>289</v>
      </c>
      <c r="M531">
        <v>1</v>
      </c>
      <c r="N531" t="str">
        <f t="shared" si="96"/>
        <v>1. &lt; 8 anos</v>
      </c>
      <c r="O531" t="str">
        <f t="shared" si="97"/>
        <v>3. 50 a 149</v>
      </c>
      <c r="P531" t="str">
        <f t="shared" si="98"/>
        <v>4. 16+</v>
      </c>
      <c r="Q531">
        <f t="shared" si="99"/>
        <v>0</v>
      </c>
      <c r="R531">
        <f t="shared" si="100"/>
        <v>1</v>
      </c>
      <c r="S531">
        <f t="shared" si="101"/>
        <v>0</v>
      </c>
      <c r="V531" s="18">
        <f t="shared" si="102"/>
        <v>0.93975903614457834</v>
      </c>
      <c r="W531" s="18">
        <f t="shared" si="103"/>
        <v>0.97272727272727277</v>
      </c>
      <c r="X531" s="18">
        <f t="shared" si="104"/>
        <v>0.58992805755395683</v>
      </c>
      <c r="Y531" s="18">
        <f t="shared" si="105"/>
        <v>0.58333333333333337</v>
      </c>
      <c r="Z531" s="18">
        <f t="shared" si="106"/>
        <v>0.22368421052631579</v>
      </c>
      <c r="AA531" s="10">
        <f t="shared" si="107"/>
        <v>0.66188638209999995</v>
      </c>
      <c r="AB531" t="str">
        <f>IF(AA531&gt;=Como_Avaliar!$B$15,"Alta",IF(AA531&gt;=Como_Avaliar!$B$16,"Média","Baixa"))</f>
        <v>Alta</v>
      </c>
    </row>
    <row r="532" spans="1:28" x14ac:dyDescent="0.25">
      <c r="A532" t="s">
        <v>836</v>
      </c>
      <c r="B532" t="s">
        <v>286</v>
      </c>
      <c r="C532" t="s">
        <v>88</v>
      </c>
      <c r="D532" t="s">
        <v>56</v>
      </c>
      <c r="E532" t="s">
        <v>94</v>
      </c>
      <c r="F532">
        <v>6</v>
      </c>
      <c r="G532">
        <v>23</v>
      </c>
      <c r="H532">
        <v>2</v>
      </c>
      <c r="I532" t="s">
        <v>61</v>
      </c>
      <c r="J532" t="s">
        <v>97</v>
      </c>
      <c r="K532" t="s">
        <v>98</v>
      </c>
      <c r="L532" t="s">
        <v>322</v>
      </c>
      <c r="M532">
        <v>0</v>
      </c>
      <c r="N532" t="str">
        <f t="shared" si="96"/>
        <v>1. &lt; 8 anos</v>
      </c>
      <c r="O532" t="str">
        <f t="shared" si="97"/>
        <v>2. 20 a 49</v>
      </c>
      <c r="P532" t="str">
        <f t="shared" si="98"/>
        <v>1. 1 a 2</v>
      </c>
      <c r="Q532">
        <f t="shared" si="99"/>
        <v>1</v>
      </c>
      <c r="R532">
        <f t="shared" si="100"/>
        <v>0</v>
      </c>
      <c r="S532">
        <f t="shared" si="101"/>
        <v>0</v>
      </c>
      <c r="V532" s="18">
        <f t="shared" si="102"/>
        <v>6.8273092369477914E-2</v>
      </c>
      <c r="W532" s="18">
        <f t="shared" si="103"/>
        <v>8.6792452830188674E-2</v>
      </c>
      <c r="X532" s="18">
        <f t="shared" si="104"/>
        <v>0.25294117647058822</v>
      </c>
      <c r="Y532" s="18">
        <f t="shared" si="105"/>
        <v>0</v>
      </c>
      <c r="Z532" s="18">
        <f t="shared" si="106"/>
        <v>0.22368421052631579</v>
      </c>
      <c r="AA532" s="10">
        <f t="shared" si="107"/>
        <v>0.1263381864</v>
      </c>
      <c r="AB532" t="str">
        <f>IF(AA532&gt;=Como_Avaliar!$B$15,"Alta",IF(AA532&gt;=Como_Avaliar!$B$16,"Média","Baixa"))</f>
        <v>Baixa</v>
      </c>
    </row>
    <row r="533" spans="1:28" x14ac:dyDescent="0.25">
      <c r="A533" t="s">
        <v>837</v>
      </c>
      <c r="B533" t="s">
        <v>295</v>
      </c>
      <c r="C533" t="s">
        <v>84</v>
      </c>
      <c r="D533" t="s">
        <v>57</v>
      </c>
      <c r="E533" t="s">
        <v>96</v>
      </c>
      <c r="F533">
        <v>13</v>
      </c>
      <c r="G533">
        <v>232</v>
      </c>
      <c r="H533">
        <v>46</v>
      </c>
      <c r="I533" t="s">
        <v>68</v>
      </c>
      <c r="J533" t="s">
        <v>98</v>
      </c>
      <c r="K533" t="s">
        <v>97</v>
      </c>
      <c r="L533" t="s">
        <v>289</v>
      </c>
      <c r="M533">
        <v>1</v>
      </c>
      <c r="N533" t="str">
        <f t="shared" si="96"/>
        <v>2. 8 a 15 anos</v>
      </c>
      <c r="O533" t="str">
        <f t="shared" si="97"/>
        <v>4. 150+</v>
      </c>
      <c r="P533" t="str">
        <f t="shared" si="98"/>
        <v>4. 16+</v>
      </c>
      <c r="Q533">
        <f t="shared" si="99"/>
        <v>0</v>
      </c>
      <c r="R533">
        <f t="shared" si="100"/>
        <v>1</v>
      </c>
      <c r="S533">
        <f t="shared" si="101"/>
        <v>0</v>
      </c>
      <c r="V533" s="18">
        <f t="shared" si="102"/>
        <v>1</v>
      </c>
      <c r="W533" s="18">
        <f t="shared" si="103"/>
        <v>0.97272727272727277</v>
      </c>
      <c r="X533" s="18">
        <f t="shared" si="104"/>
        <v>0.97938144329896903</v>
      </c>
      <c r="Y533" s="18">
        <f t="shared" si="105"/>
        <v>0.58333333333333337</v>
      </c>
      <c r="Z533" s="18">
        <f t="shared" si="106"/>
        <v>0.22302158273381295</v>
      </c>
      <c r="AA533" s="10">
        <f t="shared" si="107"/>
        <v>0.75169272639999996</v>
      </c>
      <c r="AB533" t="str">
        <f>IF(AA533&gt;=Como_Avaliar!$B$15,"Alta",IF(AA533&gt;=Como_Avaliar!$B$16,"Média","Baixa"))</f>
        <v>Alta</v>
      </c>
    </row>
    <row r="534" spans="1:28" x14ac:dyDescent="0.25">
      <c r="A534" t="s">
        <v>838</v>
      </c>
      <c r="B534" t="s">
        <v>312</v>
      </c>
      <c r="C534" t="s">
        <v>89</v>
      </c>
      <c r="D534" t="s">
        <v>56</v>
      </c>
      <c r="E534" t="s">
        <v>90</v>
      </c>
      <c r="F534">
        <v>20</v>
      </c>
      <c r="G534">
        <v>5</v>
      </c>
      <c r="H534">
        <v>2</v>
      </c>
      <c r="I534" t="s">
        <v>61</v>
      </c>
      <c r="J534" t="s">
        <v>97</v>
      </c>
      <c r="K534" t="s">
        <v>97</v>
      </c>
      <c r="L534" t="s">
        <v>284</v>
      </c>
      <c r="M534">
        <v>0</v>
      </c>
      <c r="N534" t="str">
        <f t="shared" si="96"/>
        <v>3. 16+ anos</v>
      </c>
      <c r="O534" t="str">
        <f t="shared" si="97"/>
        <v>1. &lt; 20</v>
      </c>
      <c r="P534" t="str">
        <f t="shared" si="98"/>
        <v>1. 1 a 2</v>
      </c>
      <c r="Q534">
        <f t="shared" si="99"/>
        <v>1</v>
      </c>
      <c r="R534">
        <f t="shared" si="100"/>
        <v>0</v>
      </c>
      <c r="S534">
        <f t="shared" si="101"/>
        <v>1</v>
      </c>
      <c r="T534">
        <v>1</v>
      </c>
      <c r="U534" t="s">
        <v>139</v>
      </c>
      <c r="V534" s="18">
        <f t="shared" si="102"/>
        <v>6.8273092369477914E-2</v>
      </c>
      <c r="W534" s="18">
        <f t="shared" si="103"/>
        <v>8.6792452830188674E-2</v>
      </c>
      <c r="X534" s="18">
        <f t="shared" si="104"/>
        <v>0.10309278350515463</v>
      </c>
      <c r="Y534" s="18">
        <f t="shared" si="105"/>
        <v>0</v>
      </c>
      <c r="Z534" s="18">
        <f t="shared" si="106"/>
        <v>0.56634304207119746</v>
      </c>
      <c r="AA534" s="10">
        <f t="shared" si="107"/>
        <v>0.1649002742</v>
      </c>
      <c r="AB534" t="str">
        <f>IF(AA534&gt;=Como_Avaliar!$B$15,"Alta",IF(AA534&gt;=Como_Avaliar!$B$16,"Média","Baixa"))</f>
        <v>Baixa</v>
      </c>
    </row>
    <row r="535" spans="1:28" x14ac:dyDescent="0.25">
      <c r="A535" t="s">
        <v>839</v>
      </c>
      <c r="B535" t="s">
        <v>286</v>
      </c>
      <c r="C535" t="s">
        <v>88</v>
      </c>
      <c r="D535" t="s">
        <v>56</v>
      </c>
      <c r="E535" t="s">
        <v>96</v>
      </c>
      <c r="F535">
        <v>15</v>
      </c>
      <c r="G535">
        <v>15</v>
      </c>
      <c r="H535">
        <v>1</v>
      </c>
      <c r="I535" t="s">
        <v>63</v>
      </c>
      <c r="J535" t="s">
        <v>97</v>
      </c>
      <c r="K535" t="s">
        <v>97</v>
      </c>
      <c r="L535" t="s">
        <v>322</v>
      </c>
      <c r="M535">
        <v>0</v>
      </c>
      <c r="N535" t="str">
        <f t="shared" si="96"/>
        <v>2. 8 a 15 anos</v>
      </c>
      <c r="O535" t="str">
        <f t="shared" si="97"/>
        <v>1. &lt; 20</v>
      </c>
      <c r="P535" t="str">
        <f t="shared" si="98"/>
        <v>1. 1 a 2</v>
      </c>
      <c r="Q535">
        <f t="shared" si="99"/>
        <v>1</v>
      </c>
      <c r="R535">
        <f t="shared" si="100"/>
        <v>0</v>
      </c>
      <c r="S535">
        <f t="shared" si="101"/>
        <v>0</v>
      </c>
      <c r="V535" s="18">
        <f t="shared" si="102"/>
        <v>6.8273092369477914E-2</v>
      </c>
      <c r="W535" s="18">
        <f t="shared" si="103"/>
        <v>8.6792452830188674E-2</v>
      </c>
      <c r="X535" s="18">
        <f t="shared" si="104"/>
        <v>0.10309278350515463</v>
      </c>
      <c r="Y535" s="18">
        <f t="shared" si="105"/>
        <v>6.5217391304347824E-2</v>
      </c>
      <c r="Z535" s="18">
        <f t="shared" si="106"/>
        <v>0.22302158273381295</v>
      </c>
      <c r="AA535" s="10">
        <f t="shared" si="107"/>
        <v>0.10927946049999999</v>
      </c>
      <c r="AB535" t="str">
        <f>IF(AA535&gt;=Como_Avaliar!$B$15,"Alta",IF(AA535&gt;=Como_Avaliar!$B$16,"Média","Baixa"))</f>
        <v>Baixa</v>
      </c>
    </row>
    <row r="536" spans="1:28" x14ac:dyDescent="0.25">
      <c r="A536" t="s">
        <v>840</v>
      </c>
      <c r="B536" t="s">
        <v>295</v>
      </c>
      <c r="C536" t="s">
        <v>84</v>
      </c>
      <c r="D536" t="s">
        <v>58</v>
      </c>
      <c r="E536" t="s">
        <v>96</v>
      </c>
      <c r="F536">
        <v>3</v>
      </c>
      <c r="G536">
        <v>157</v>
      </c>
      <c r="H536">
        <v>16</v>
      </c>
      <c r="I536" t="s">
        <v>66</v>
      </c>
      <c r="J536" t="s">
        <v>97</v>
      </c>
      <c r="K536" t="s">
        <v>98</v>
      </c>
      <c r="L536" t="s">
        <v>329</v>
      </c>
      <c r="M536">
        <v>1</v>
      </c>
      <c r="N536" t="str">
        <f t="shared" si="96"/>
        <v>1. &lt; 8 anos</v>
      </c>
      <c r="O536" t="str">
        <f t="shared" si="97"/>
        <v>4. 150+</v>
      </c>
      <c r="P536" t="str">
        <f t="shared" si="98"/>
        <v>4. 16+</v>
      </c>
      <c r="Q536">
        <f t="shared" si="99"/>
        <v>0</v>
      </c>
      <c r="R536">
        <f t="shared" si="100"/>
        <v>1</v>
      </c>
      <c r="S536">
        <f t="shared" si="101"/>
        <v>0</v>
      </c>
      <c r="V536" s="18">
        <f t="shared" si="102"/>
        <v>0.93975903614457834</v>
      </c>
      <c r="W536" s="18">
        <f t="shared" si="103"/>
        <v>0.97272727272727277</v>
      </c>
      <c r="X536" s="18">
        <f t="shared" si="104"/>
        <v>0.97938144329896903</v>
      </c>
      <c r="Y536" s="18">
        <f t="shared" si="105"/>
        <v>1</v>
      </c>
      <c r="Z536" s="18">
        <f t="shared" si="106"/>
        <v>0.22368421052631579</v>
      </c>
      <c r="AA536" s="10">
        <f t="shared" si="107"/>
        <v>0.82311039249999995</v>
      </c>
      <c r="AB536" t="str">
        <f>IF(AA536&gt;=Como_Avaliar!$B$15,"Alta",IF(AA536&gt;=Como_Avaliar!$B$16,"Média","Baixa"))</f>
        <v>Alta</v>
      </c>
    </row>
    <row r="537" spans="1:28" x14ac:dyDescent="0.25">
      <c r="A537" t="s">
        <v>841</v>
      </c>
      <c r="B537" t="s">
        <v>426</v>
      </c>
      <c r="C537" t="s">
        <v>84</v>
      </c>
      <c r="D537" t="s">
        <v>59</v>
      </c>
      <c r="E537" t="s">
        <v>96</v>
      </c>
      <c r="F537">
        <v>23</v>
      </c>
      <c r="G537">
        <v>63</v>
      </c>
      <c r="H537">
        <v>3</v>
      </c>
      <c r="I537" t="s">
        <v>68</v>
      </c>
      <c r="J537" t="s">
        <v>97</v>
      </c>
      <c r="K537" t="s">
        <v>97</v>
      </c>
      <c r="L537" t="s">
        <v>293</v>
      </c>
      <c r="M537">
        <v>1</v>
      </c>
      <c r="N537" t="str">
        <f t="shared" si="96"/>
        <v>3. 16+ anos</v>
      </c>
      <c r="O537" t="str">
        <f t="shared" si="97"/>
        <v>3. 50 a 149</v>
      </c>
      <c r="P537" t="str">
        <f t="shared" si="98"/>
        <v>2. 3 a 5</v>
      </c>
      <c r="Q537">
        <f t="shared" si="99"/>
        <v>0</v>
      </c>
      <c r="R537">
        <f t="shared" si="100"/>
        <v>0</v>
      </c>
      <c r="S537">
        <f t="shared" si="101"/>
        <v>0</v>
      </c>
      <c r="V537" s="18">
        <f t="shared" si="102"/>
        <v>0.43835616438356162</v>
      </c>
      <c r="W537" s="18">
        <f t="shared" si="103"/>
        <v>0.38095238095238093</v>
      </c>
      <c r="X537" s="18">
        <f t="shared" si="104"/>
        <v>0.58992805755395683</v>
      </c>
      <c r="Y537" s="18">
        <f t="shared" si="105"/>
        <v>0.58333333333333337</v>
      </c>
      <c r="Z537" s="18">
        <f t="shared" si="106"/>
        <v>0.56634304207119746</v>
      </c>
      <c r="AA537" s="10">
        <f t="shared" si="107"/>
        <v>0.51178259569999995</v>
      </c>
      <c r="AB537" t="str">
        <f>IF(AA537&gt;=Como_Avaliar!$B$15,"Alta",IF(AA537&gt;=Como_Avaliar!$B$16,"Média","Baixa"))</f>
        <v>Alta</v>
      </c>
    </row>
    <row r="538" spans="1:28" x14ac:dyDescent="0.25">
      <c r="A538" t="s">
        <v>842</v>
      </c>
      <c r="B538" t="s">
        <v>286</v>
      </c>
      <c r="C538" t="s">
        <v>88</v>
      </c>
      <c r="D538" t="s">
        <v>56</v>
      </c>
      <c r="E538" t="s">
        <v>94</v>
      </c>
      <c r="F538">
        <v>8</v>
      </c>
      <c r="G538">
        <v>20</v>
      </c>
      <c r="H538">
        <v>1</v>
      </c>
      <c r="I538" t="s">
        <v>63</v>
      </c>
      <c r="J538" t="s">
        <v>97</v>
      </c>
      <c r="K538" t="s">
        <v>98</v>
      </c>
      <c r="L538" t="s">
        <v>284</v>
      </c>
      <c r="M538">
        <v>0</v>
      </c>
      <c r="N538" t="str">
        <f t="shared" si="96"/>
        <v>2. 8 a 15 anos</v>
      </c>
      <c r="O538" t="str">
        <f t="shared" si="97"/>
        <v>2. 20 a 49</v>
      </c>
      <c r="P538" t="str">
        <f t="shared" si="98"/>
        <v>1. 1 a 2</v>
      </c>
      <c r="Q538">
        <f t="shared" si="99"/>
        <v>1</v>
      </c>
      <c r="R538">
        <f t="shared" si="100"/>
        <v>0</v>
      </c>
      <c r="S538">
        <f t="shared" si="101"/>
        <v>1</v>
      </c>
      <c r="T538">
        <v>2</v>
      </c>
      <c r="U538" t="s">
        <v>139</v>
      </c>
      <c r="V538" s="18">
        <f t="shared" si="102"/>
        <v>6.8273092369477914E-2</v>
      </c>
      <c r="W538" s="18">
        <f t="shared" si="103"/>
        <v>8.6792452830188674E-2</v>
      </c>
      <c r="X538" s="18">
        <f t="shared" si="104"/>
        <v>0.25294117647058822</v>
      </c>
      <c r="Y538" s="18">
        <f t="shared" si="105"/>
        <v>6.5217391304347824E-2</v>
      </c>
      <c r="Z538" s="18">
        <f t="shared" si="106"/>
        <v>0.22302158273381295</v>
      </c>
      <c r="AA538" s="10">
        <f t="shared" si="107"/>
        <v>0.1392491391</v>
      </c>
      <c r="AB538" t="str">
        <f>IF(AA538&gt;=Como_Avaliar!$B$15,"Alta",IF(AA538&gt;=Como_Avaliar!$B$16,"Média","Baixa"))</f>
        <v>Baixa</v>
      </c>
    </row>
    <row r="539" spans="1:28" x14ac:dyDescent="0.25">
      <c r="A539" t="s">
        <v>843</v>
      </c>
      <c r="B539" t="s">
        <v>283</v>
      </c>
      <c r="C539" t="s">
        <v>89</v>
      </c>
      <c r="D539" t="s">
        <v>56</v>
      </c>
      <c r="E539" t="s">
        <v>92</v>
      </c>
      <c r="F539">
        <v>20</v>
      </c>
      <c r="G539">
        <v>18</v>
      </c>
      <c r="H539">
        <v>2</v>
      </c>
      <c r="I539" t="s">
        <v>64</v>
      </c>
      <c r="J539" t="s">
        <v>97</v>
      </c>
      <c r="K539" t="s">
        <v>98</v>
      </c>
      <c r="L539" t="s">
        <v>289</v>
      </c>
      <c r="M539">
        <v>0</v>
      </c>
      <c r="N539" t="str">
        <f t="shared" si="96"/>
        <v>3. 16+ anos</v>
      </c>
      <c r="O539" t="str">
        <f t="shared" si="97"/>
        <v>1. &lt; 20</v>
      </c>
      <c r="P539" t="str">
        <f t="shared" si="98"/>
        <v>1. 1 a 2</v>
      </c>
      <c r="Q539">
        <f t="shared" si="99"/>
        <v>1</v>
      </c>
      <c r="R539">
        <f t="shared" si="100"/>
        <v>0</v>
      </c>
      <c r="S539">
        <f t="shared" si="101"/>
        <v>1</v>
      </c>
      <c r="T539">
        <v>4</v>
      </c>
      <c r="U539" t="s">
        <v>137</v>
      </c>
      <c r="V539" s="18">
        <f t="shared" si="102"/>
        <v>6.8273092369477914E-2</v>
      </c>
      <c r="W539" s="18">
        <f t="shared" si="103"/>
        <v>8.6792452830188674E-2</v>
      </c>
      <c r="X539" s="18">
        <f t="shared" si="104"/>
        <v>0.10309278350515463</v>
      </c>
      <c r="Y539" s="18">
        <f t="shared" si="105"/>
        <v>0.15625</v>
      </c>
      <c r="Z539" s="18">
        <f t="shared" si="106"/>
        <v>0.56634304207119746</v>
      </c>
      <c r="AA539" s="10">
        <f t="shared" si="107"/>
        <v>0.1961502742</v>
      </c>
      <c r="AB539" t="str">
        <f>IF(AA539&gt;=Como_Avaliar!$B$15,"Alta",IF(AA539&gt;=Como_Avaliar!$B$16,"Média","Baixa"))</f>
        <v>Baixa</v>
      </c>
    </row>
    <row r="540" spans="1:28" x14ac:dyDescent="0.25">
      <c r="A540" t="s">
        <v>844</v>
      </c>
      <c r="B540" t="s">
        <v>426</v>
      </c>
      <c r="C540" t="s">
        <v>84</v>
      </c>
      <c r="D540" t="s">
        <v>56</v>
      </c>
      <c r="E540" t="s">
        <v>91</v>
      </c>
      <c r="F540">
        <v>16</v>
      </c>
      <c r="G540">
        <v>4</v>
      </c>
      <c r="H540">
        <v>2</v>
      </c>
      <c r="I540" t="s">
        <v>62</v>
      </c>
      <c r="J540" t="s">
        <v>97</v>
      </c>
      <c r="K540" t="s">
        <v>97</v>
      </c>
      <c r="L540" t="s">
        <v>322</v>
      </c>
      <c r="M540">
        <v>0</v>
      </c>
      <c r="N540" t="str">
        <f t="shared" si="96"/>
        <v>3. 16+ anos</v>
      </c>
      <c r="O540" t="str">
        <f t="shared" si="97"/>
        <v>1. &lt; 20</v>
      </c>
      <c r="P540" t="str">
        <f t="shared" si="98"/>
        <v>1. 1 a 2</v>
      </c>
      <c r="Q540">
        <f t="shared" si="99"/>
        <v>0</v>
      </c>
      <c r="R540">
        <f t="shared" si="100"/>
        <v>0</v>
      </c>
      <c r="S540">
        <f t="shared" si="101"/>
        <v>0</v>
      </c>
      <c r="V540" s="18">
        <f t="shared" si="102"/>
        <v>6.8273092369477914E-2</v>
      </c>
      <c r="W540" s="18">
        <f t="shared" si="103"/>
        <v>8.6792452830188674E-2</v>
      </c>
      <c r="X540" s="18">
        <f t="shared" si="104"/>
        <v>0.10309278350515463</v>
      </c>
      <c r="Y540" s="18">
        <f t="shared" si="105"/>
        <v>0.37662337662337664</v>
      </c>
      <c r="Z540" s="18">
        <f t="shared" si="106"/>
        <v>0.56634304207119746</v>
      </c>
      <c r="AA540" s="10">
        <f t="shared" si="107"/>
        <v>0.24022494950000001</v>
      </c>
      <c r="AB540" t="str">
        <f>IF(AA540&gt;=Como_Avaliar!$B$15,"Alta",IF(AA540&gt;=Como_Avaliar!$B$16,"Média","Baixa"))</f>
        <v>Média</v>
      </c>
    </row>
    <row r="541" spans="1:28" x14ac:dyDescent="0.25">
      <c r="A541" t="s">
        <v>845</v>
      </c>
      <c r="B541" t="s">
        <v>286</v>
      </c>
      <c r="C541" t="s">
        <v>88</v>
      </c>
      <c r="D541" t="s">
        <v>59</v>
      </c>
      <c r="E541" t="s">
        <v>90</v>
      </c>
      <c r="F541">
        <v>13</v>
      </c>
      <c r="G541">
        <v>16</v>
      </c>
      <c r="H541">
        <v>6</v>
      </c>
      <c r="I541" t="s">
        <v>68</v>
      </c>
      <c r="J541" t="s">
        <v>97</v>
      </c>
      <c r="K541" t="s">
        <v>97</v>
      </c>
      <c r="L541" t="s">
        <v>289</v>
      </c>
      <c r="M541">
        <v>0</v>
      </c>
      <c r="N541" t="str">
        <f t="shared" si="96"/>
        <v>2. 8 a 15 anos</v>
      </c>
      <c r="O541" t="str">
        <f t="shared" si="97"/>
        <v>1. &lt; 20</v>
      </c>
      <c r="P541" t="str">
        <f t="shared" si="98"/>
        <v>3. 6 a 15</v>
      </c>
      <c r="Q541">
        <f t="shared" si="99"/>
        <v>0</v>
      </c>
      <c r="R541">
        <f t="shared" si="100"/>
        <v>0</v>
      </c>
      <c r="S541">
        <f t="shared" si="101"/>
        <v>1</v>
      </c>
      <c r="T541">
        <v>2</v>
      </c>
      <c r="U541" t="s">
        <v>139</v>
      </c>
      <c r="V541" s="18">
        <f t="shared" si="102"/>
        <v>0.43835616438356162</v>
      </c>
      <c r="W541" s="18">
        <f t="shared" si="103"/>
        <v>0.55319148936170215</v>
      </c>
      <c r="X541" s="18">
        <f t="shared" si="104"/>
        <v>0.10309278350515463</v>
      </c>
      <c r="Y541" s="18">
        <f t="shared" si="105"/>
        <v>0.58333333333333337</v>
      </c>
      <c r="Z541" s="18">
        <f t="shared" si="106"/>
        <v>0.22302158273381295</v>
      </c>
      <c r="AA541" s="10">
        <f t="shared" si="107"/>
        <v>0.38019907069999997</v>
      </c>
      <c r="AB541" t="str">
        <f>IF(AA541&gt;=Como_Avaliar!$B$15,"Alta",IF(AA541&gt;=Como_Avaliar!$B$16,"Média","Baixa"))</f>
        <v>Média</v>
      </c>
    </row>
    <row r="542" spans="1:28" x14ac:dyDescent="0.25">
      <c r="A542" t="s">
        <v>846</v>
      </c>
      <c r="B542" t="s">
        <v>327</v>
      </c>
      <c r="C542" t="s">
        <v>86</v>
      </c>
      <c r="D542" t="s">
        <v>56</v>
      </c>
      <c r="E542" t="s">
        <v>92</v>
      </c>
      <c r="F542">
        <v>18</v>
      </c>
      <c r="G542">
        <v>25</v>
      </c>
      <c r="H542">
        <v>1</v>
      </c>
      <c r="I542" t="s">
        <v>64</v>
      </c>
      <c r="J542" t="s">
        <v>97</v>
      </c>
      <c r="K542" t="s">
        <v>97</v>
      </c>
      <c r="L542" t="s">
        <v>284</v>
      </c>
      <c r="M542">
        <v>0</v>
      </c>
      <c r="N542" t="str">
        <f t="shared" si="96"/>
        <v>3. 16+ anos</v>
      </c>
      <c r="O542" t="str">
        <f t="shared" si="97"/>
        <v>2. 20 a 49</v>
      </c>
      <c r="P542" t="str">
        <f t="shared" si="98"/>
        <v>1. 1 a 2</v>
      </c>
      <c r="Q542">
        <f t="shared" si="99"/>
        <v>1</v>
      </c>
      <c r="R542">
        <f t="shared" si="100"/>
        <v>0</v>
      </c>
      <c r="S542">
        <f t="shared" si="101"/>
        <v>1</v>
      </c>
      <c r="T542">
        <v>3</v>
      </c>
      <c r="U542" t="s">
        <v>138</v>
      </c>
      <c r="V542" s="18">
        <f t="shared" si="102"/>
        <v>6.8273092369477914E-2</v>
      </c>
      <c r="W542" s="18">
        <f t="shared" si="103"/>
        <v>8.6792452830188674E-2</v>
      </c>
      <c r="X542" s="18">
        <f t="shared" si="104"/>
        <v>0.25294117647058822</v>
      </c>
      <c r="Y542" s="18">
        <f t="shared" si="105"/>
        <v>0.15625</v>
      </c>
      <c r="Z542" s="18">
        <f t="shared" si="106"/>
        <v>0.56634304207119746</v>
      </c>
      <c r="AA542" s="10">
        <f t="shared" si="107"/>
        <v>0.22611995269999999</v>
      </c>
      <c r="AB542" t="str">
        <f>IF(AA542&gt;=Como_Avaliar!$B$15,"Alta",IF(AA542&gt;=Como_Avaliar!$B$16,"Média","Baixa"))</f>
        <v>Baixa</v>
      </c>
    </row>
    <row r="543" spans="1:28" x14ac:dyDescent="0.25">
      <c r="A543" t="s">
        <v>847</v>
      </c>
      <c r="B543" t="s">
        <v>334</v>
      </c>
      <c r="C543" t="s">
        <v>87</v>
      </c>
      <c r="D543" t="s">
        <v>56</v>
      </c>
      <c r="E543" t="s">
        <v>95</v>
      </c>
      <c r="F543">
        <v>28</v>
      </c>
      <c r="G543">
        <v>8</v>
      </c>
      <c r="H543">
        <v>2</v>
      </c>
      <c r="I543" t="s">
        <v>62</v>
      </c>
      <c r="J543" t="s">
        <v>98</v>
      </c>
      <c r="K543" t="s">
        <v>98</v>
      </c>
      <c r="L543" t="s">
        <v>284</v>
      </c>
      <c r="M543">
        <v>0</v>
      </c>
      <c r="N543" t="str">
        <f t="shared" si="96"/>
        <v>3. 16+ anos</v>
      </c>
      <c r="O543" t="str">
        <f t="shared" si="97"/>
        <v>1. &lt; 20</v>
      </c>
      <c r="P543" t="str">
        <f t="shared" si="98"/>
        <v>1. 1 a 2</v>
      </c>
      <c r="Q543">
        <f t="shared" si="99"/>
        <v>0</v>
      </c>
      <c r="R543">
        <f t="shared" si="100"/>
        <v>0</v>
      </c>
      <c r="S543">
        <f t="shared" si="101"/>
        <v>1</v>
      </c>
      <c r="T543">
        <v>2</v>
      </c>
      <c r="U543" t="s">
        <v>139</v>
      </c>
      <c r="V543" s="18">
        <f t="shared" si="102"/>
        <v>6.8273092369477914E-2</v>
      </c>
      <c r="W543" s="18">
        <f t="shared" si="103"/>
        <v>8.6792452830188674E-2</v>
      </c>
      <c r="X543" s="18">
        <f t="shared" si="104"/>
        <v>0.10309278350515463</v>
      </c>
      <c r="Y543" s="18">
        <f t="shared" si="105"/>
        <v>0.37662337662337664</v>
      </c>
      <c r="Z543" s="18">
        <f t="shared" si="106"/>
        <v>0.56634304207119746</v>
      </c>
      <c r="AA543" s="10">
        <f t="shared" si="107"/>
        <v>0.24022494950000001</v>
      </c>
      <c r="AB543" t="str">
        <f>IF(AA543&gt;=Como_Avaliar!$B$15,"Alta",IF(AA543&gt;=Como_Avaliar!$B$16,"Média","Baixa"))</f>
        <v>Média</v>
      </c>
    </row>
    <row r="544" spans="1:28" x14ac:dyDescent="0.25">
      <c r="A544" t="s">
        <v>848</v>
      </c>
      <c r="B544" t="s">
        <v>286</v>
      </c>
      <c r="C544" t="s">
        <v>88</v>
      </c>
      <c r="D544" t="s">
        <v>57</v>
      </c>
      <c r="E544" t="s">
        <v>96</v>
      </c>
      <c r="F544">
        <v>10</v>
      </c>
      <c r="G544">
        <v>284</v>
      </c>
      <c r="H544">
        <v>98</v>
      </c>
      <c r="I544" t="s">
        <v>60</v>
      </c>
      <c r="J544" t="s">
        <v>98</v>
      </c>
      <c r="K544" t="s">
        <v>97</v>
      </c>
      <c r="L544" t="s">
        <v>298</v>
      </c>
      <c r="M544">
        <v>1</v>
      </c>
      <c r="N544" t="str">
        <f t="shared" si="96"/>
        <v>2. 8 a 15 anos</v>
      </c>
      <c r="O544" t="str">
        <f t="shared" si="97"/>
        <v>4. 150+</v>
      </c>
      <c r="P544" t="str">
        <f t="shared" si="98"/>
        <v>4. 16+</v>
      </c>
      <c r="Q544">
        <f t="shared" si="99"/>
        <v>0</v>
      </c>
      <c r="R544">
        <f t="shared" si="100"/>
        <v>1</v>
      </c>
      <c r="S544">
        <f t="shared" si="101"/>
        <v>0</v>
      </c>
      <c r="V544" s="18">
        <f t="shared" si="102"/>
        <v>1</v>
      </c>
      <c r="W544" s="18">
        <f t="shared" si="103"/>
        <v>0.97272727272727277</v>
      </c>
      <c r="X544" s="18">
        <f t="shared" si="104"/>
        <v>0.97938144329896903</v>
      </c>
      <c r="Y544" s="18">
        <f t="shared" si="105"/>
        <v>0.65217391304347827</v>
      </c>
      <c r="Z544" s="18">
        <f t="shared" si="106"/>
        <v>0.22302158273381295</v>
      </c>
      <c r="AA544" s="10">
        <f t="shared" si="107"/>
        <v>0.76546084240000001</v>
      </c>
      <c r="AB544" t="str">
        <f>IF(AA544&gt;=Como_Avaliar!$B$15,"Alta",IF(AA544&gt;=Como_Avaliar!$B$16,"Média","Baixa"))</f>
        <v>Alta</v>
      </c>
    </row>
    <row r="545" spans="1:28" x14ac:dyDescent="0.25">
      <c r="A545" t="s">
        <v>849</v>
      </c>
      <c r="B545" t="s">
        <v>286</v>
      </c>
      <c r="C545" t="s">
        <v>88</v>
      </c>
      <c r="D545" t="s">
        <v>58</v>
      </c>
      <c r="E545" t="s">
        <v>96</v>
      </c>
      <c r="F545">
        <v>19</v>
      </c>
      <c r="G545">
        <v>187</v>
      </c>
      <c r="H545">
        <v>28</v>
      </c>
      <c r="I545" t="s">
        <v>66</v>
      </c>
      <c r="J545" t="s">
        <v>98</v>
      </c>
      <c r="K545" t="s">
        <v>97</v>
      </c>
      <c r="L545" t="s">
        <v>322</v>
      </c>
      <c r="M545">
        <v>1</v>
      </c>
      <c r="N545" t="str">
        <f t="shared" si="96"/>
        <v>3. 16+ anos</v>
      </c>
      <c r="O545" t="str">
        <f t="shared" si="97"/>
        <v>4. 150+</v>
      </c>
      <c r="P545" t="str">
        <f t="shared" si="98"/>
        <v>4. 16+</v>
      </c>
      <c r="Q545">
        <f t="shared" si="99"/>
        <v>0</v>
      </c>
      <c r="R545">
        <f t="shared" si="100"/>
        <v>1</v>
      </c>
      <c r="S545">
        <f t="shared" si="101"/>
        <v>0</v>
      </c>
      <c r="V545" s="18">
        <f t="shared" si="102"/>
        <v>0.93975903614457834</v>
      </c>
      <c r="W545" s="18">
        <f t="shared" si="103"/>
        <v>0.97272727272727277</v>
      </c>
      <c r="X545" s="18">
        <f t="shared" si="104"/>
        <v>0.97938144329896903</v>
      </c>
      <c r="Y545" s="18">
        <f t="shared" si="105"/>
        <v>1</v>
      </c>
      <c r="Z545" s="18">
        <f t="shared" si="106"/>
        <v>0.56634304207119746</v>
      </c>
      <c r="AA545" s="10">
        <f t="shared" si="107"/>
        <v>0.89164215879999997</v>
      </c>
      <c r="AB545" t="str">
        <f>IF(AA545&gt;=Como_Avaliar!$B$15,"Alta",IF(AA545&gt;=Como_Avaliar!$B$16,"Média","Baixa"))</f>
        <v>Alta</v>
      </c>
    </row>
    <row r="546" spans="1:28" x14ac:dyDescent="0.25">
      <c r="A546" t="s">
        <v>850</v>
      </c>
      <c r="B546" t="s">
        <v>288</v>
      </c>
      <c r="C546" t="s">
        <v>88</v>
      </c>
      <c r="D546" t="s">
        <v>59</v>
      </c>
      <c r="E546" t="s">
        <v>91</v>
      </c>
      <c r="F546">
        <v>17</v>
      </c>
      <c r="G546">
        <v>70</v>
      </c>
      <c r="H546">
        <v>3</v>
      </c>
      <c r="I546" t="s">
        <v>64</v>
      </c>
      <c r="J546" t="s">
        <v>98</v>
      </c>
      <c r="K546" t="s">
        <v>97</v>
      </c>
      <c r="L546" t="s">
        <v>293</v>
      </c>
      <c r="M546">
        <v>0</v>
      </c>
      <c r="N546" t="str">
        <f t="shared" si="96"/>
        <v>3. 16+ anos</v>
      </c>
      <c r="O546" t="str">
        <f t="shared" si="97"/>
        <v>3. 50 a 149</v>
      </c>
      <c r="P546" t="str">
        <f t="shared" si="98"/>
        <v>2. 3 a 5</v>
      </c>
      <c r="Q546">
        <f t="shared" si="99"/>
        <v>1</v>
      </c>
      <c r="R546">
        <f t="shared" si="100"/>
        <v>0</v>
      </c>
      <c r="S546">
        <f t="shared" si="101"/>
        <v>1</v>
      </c>
      <c r="T546">
        <v>3</v>
      </c>
      <c r="U546" t="s">
        <v>138</v>
      </c>
      <c r="V546" s="18">
        <f t="shared" si="102"/>
        <v>0.43835616438356162</v>
      </c>
      <c r="W546" s="18">
        <f t="shared" si="103"/>
        <v>0.38095238095238093</v>
      </c>
      <c r="X546" s="18">
        <f t="shared" si="104"/>
        <v>0.58992805755395683</v>
      </c>
      <c r="Y546" s="18">
        <f t="shared" si="105"/>
        <v>0.15625</v>
      </c>
      <c r="Z546" s="18">
        <f t="shared" si="106"/>
        <v>0.56634304207119746</v>
      </c>
      <c r="AA546" s="10">
        <f t="shared" si="107"/>
        <v>0.42636592899999998</v>
      </c>
      <c r="AB546" t="str">
        <f>IF(AA546&gt;=Como_Avaliar!$B$15,"Alta",IF(AA546&gt;=Como_Avaliar!$B$16,"Média","Baixa"))</f>
        <v>Média</v>
      </c>
    </row>
    <row r="547" spans="1:28" x14ac:dyDescent="0.25">
      <c r="A547" t="s">
        <v>851</v>
      </c>
      <c r="B547" t="s">
        <v>295</v>
      </c>
      <c r="C547" t="s">
        <v>84</v>
      </c>
      <c r="D547" t="s">
        <v>57</v>
      </c>
      <c r="E547" t="s">
        <v>94</v>
      </c>
      <c r="F547">
        <v>24</v>
      </c>
      <c r="G547">
        <v>539</v>
      </c>
      <c r="H547">
        <v>88</v>
      </c>
      <c r="I547" t="s">
        <v>62</v>
      </c>
      <c r="J547" t="s">
        <v>97</v>
      </c>
      <c r="K547" t="s">
        <v>98</v>
      </c>
      <c r="L547" t="s">
        <v>284</v>
      </c>
      <c r="M547">
        <v>1</v>
      </c>
      <c r="N547" t="str">
        <f t="shared" si="96"/>
        <v>3. 16+ anos</v>
      </c>
      <c r="O547" t="str">
        <f t="shared" si="97"/>
        <v>4. 150+</v>
      </c>
      <c r="P547" t="str">
        <f t="shared" si="98"/>
        <v>4. 16+</v>
      </c>
      <c r="Q547">
        <f t="shared" si="99"/>
        <v>0</v>
      </c>
      <c r="R547">
        <f t="shared" si="100"/>
        <v>1</v>
      </c>
      <c r="S547">
        <f t="shared" si="101"/>
        <v>0</v>
      </c>
      <c r="V547" s="18">
        <f t="shared" si="102"/>
        <v>1</v>
      </c>
      <c r="W547" s="18">
        <f t="shared" si="103"/>
        <v>0.97272727272727277</v>
      </c>
      <c r="X547" s="18">
        <f t="shared" si="104"/>
        <v>0.97938144329896903</v>
      </c>
      <c r="Y547" s="18">
        <f t="shared" si="105"/>
        <v>0.37662337662337664</v>
      </c>
      <c r="Z547" s="18">
        <f t="shared" si="106"/>
        <v>0.56634304207119746</v>
      </c>
      <c r="AA547" s="10">
        <f t="shared" si="107"/>
        <v>0.77901502690000002</v>
      </c>
      <c r="AB547" t="str">
        <f>IF(AA547&gt;=Como_Avaliar!$B$15,"Alta",IF(AA547&gt;=Como_Avaliar!$B$16,"Média","Baixa"))</f>
        <v>Alta</v>
      </c>
    </row>
    <row r="548" spans="1:28" x14ac:dyDescent="0.25">
      <c r="A548" t="s">
        <v>852</v>
      </c>
      <c r="B548" t="s">
        <v>321</v>
      </c>
      <c r="C548" t="s">
        <v>86</v>
      </c>
      <c r="D548" t="s">
        <v>58</v>
      </c>
      <c r="E548" t="s">
        <v>94</v>
      </c>
      <c r="F548">
        <v>19</v>
      </c>
      <c r="G548">
        <v>204</v>
      </c>
      <c r="H548">
        <v>22</v>
      </c>
      <c r="I548" t="s">
        <v>68</v>
      </c>
      <c r="J548" t="s">
        <v>97</v>
      </c>
      <c r="K548" t="s">
        <v>98</v>
      </c>
      <c r="L548" t="s">
        <v>289</v>
      </c>
      <c r="M548">
        <v>1</v>
      </c>
      <c r="N548" t="str">
        <f t="shared" si="96"/>
        <v>3. 16+ anos</v>
      </c>
      <c r="O548" t="str">
        <f t="shared" si="97"/>
        <v>4. 150+</v>
      </c>
      <c r="P548" t="str">
        <f t="shared" si="98"/>
        <v>4. 16+</v>
      </c>
      <c r="Q548">
        <f t="shared" si="99"/>
        <v>0</v>
      </c>
      <c r="R548">
        <f t="shared" si="100"/>
        <v>1</v>
      </c>
      <c r="S548">
        <f t="shared" si="101"/>
        <v>0</v>
      </c>
      <c r="V548" s="18">
        <f t="shared" si="102"/>
        <v>0.93975903614457834</v>
      </c>
      <c r="W548" s="18">
        <f t="shared" si="103"/>
        <v>0.97272727272727277</v>
      </c>
      <c r="X548" s="18">
        <f t="shared" si="104"/>
        <v>0.97938144329896903</v>
      </c>
      <c r="Y548" s="18">
        <f t="shared" si="105"/>
        <v>0.58333333333333337</v>
      </c>
      <c r="Z548" s="18">
        <f t="shared" si="106"/>
        <v>0.56634304207119746</v>
      </c>
      <c r="AA548" s="10">
        <f t="shared" si="107"/>
        <v>0.80830882550000005</v>
      </c>
      <c r="AB548" t="str">
        <f>IF(AA548&gt;=Como_Avaliar!$B$15,"Alta",IF(AA548&gt;=Como_Avaliar!$B$16,"Média","Baixa"))</f>
        <v>Alta</v>
      </c>
    </row>
    <row r="549" spans="1:28" x14ac:dyDescent="0.25">
      <c r="A549" t="s">
        <v>853</v>
      </c>
      <c r="B549" t="s">
        <v>301</v>
      </c>
      <c r="C549" t="s">
        <v>88</v>
      </c>
      <c r="D549" t="s">
        <v>58</v>
      </c>
      <c r="E549" t="s">
        <v>92</v>
      </c>
      <c r="F549">
        <v>28</v>
      </c>
      <c r="G549">
        <v>84</v>
      </c>
      <c r="H549">
        <v>24</v>
      </c>
      <c r="I549" t="s">
        <v>68</v>
      </c>
      <c r="J549" t="s">
        <v>97</v>
      </c>
      <c r="K549" t="s">
        <v>98</v>
      </c>
      <c r="L549" t="s">
        <v>284</v>
      </c>
      <c r="M549">
        <v>1</v>
      </c>
      <c r="N549" t="str">
        <f t="shared" si="96"/>
        <v>3. 16+ anos</v>
      </c>
      <c r="O549" t="str">
        <f t="shared" si="97"/>
        <v>3. 50 a 149</v>
      </c>
      <c r="P549" t="str">
        <f t="shared" si="98"/>
        <v>4. 16+</v>
      </c>
      <c r="Q549">
        <f t="shared" si="99"/>
        <v>0</v>
      </c>
      <c r="R549">
        <f t="shared" si="100"/>
        <v>1</v>
      </c>
      <c r="S549">
        <f t="shared" si="101"/>
        <v>0</v>
      </c>
      <c r="V549" s="18">
        <f t="shared" si="102"/>
        <v>0.93975903614457834</v>
      </c>
      <c r="W549" s="18">
        <f t="shared" si="103"/>
        <v>0.97272727272727277</v>
      </c>
      <c r="X549" s="18">
        <f t="shared" si="104"/>
        <v>0.58992805755395683</v>
      </c>
      <c r="Y549" s="18">
        <f t="shared" si="105"/>
        <v>0.58333333333333337</v>
      </c>
      <c r="Z549" s="18">
        <f t="shared" si="106"/>
        <v>0.56634304207119746</v>
      </c>
      <c r="AA549" s="10">
        <f t="shared" si="107"/>
        <v>0.73041814839999997</v>
      </c>
      <c r="AB549" t="str">
        <f>IF(AA549&gt;=Como_Avaliar!$B$15,"Alta",IF(AA549&gt;=Como_Avaliar!$B$16,"Média","Baixa"))</f>
        <v>Alta</v>
      </c>
    </row>
    <row r="550" spans="1:28" x14ac:dyDescent="0.25">
      <c r="A550" t="s">
        <v>854</v>
      </c>
      <c r="B550" t="s">
        <v>292</v>
      </c>
      <c r="C550" t="s">
        <v>84</v>
      </c>
      <c r="D550" t="s">
        <v>57</v>
      </c>
      <c r="E550" t="s">
        <v>90</v>
      </c>
      <c r="F550">
        <v>26</v>
      </c>
      <c r="G550">
        <v>740</v>
      </c>
      <c r="H550">
        <v>71</v>
      </c>
      <c r="I550" t="s">
        <v>60</v>
      </c>
      <c r="J550" t="s">
        <v>98</v>
      </c>
      <c r="K550" t="s">
        <v>97</v>
      </c>
      <c r="L550" t="s">
        <v>289</v>
      </c>
      <c r="M550">
        <v>1</v>
      </c>
      <c r="N550" t="str">
        <f t="shared" si="96"/>
        <v>3. 16+ anos</v>
      </c>
      <c r="O550" t="str">
        <f t="shared" si="97"/>
        <v>4. 150+</v>
      </c>
      <c r="P550" t="str">
        <f t="shared" si="98"/>
        <v>4. 16+</v>
      </c>
      <c r="Q550">
        <f t="shared" si="99"/>
        <v>0</v>
      </c>
      <c r="R550">
        <f t="shared" si="100"/>
        <v>1</v>
      </c>
      <c r="S550">
        <f t="shared" si="101"/>
        <v>0</v>
      </c>
      <c r="V550" s="18">
        <f t="shared" si="102"/>
        <v>1</v>
      </c>
      <c r="W550" s="18">
        <f t="shared" si="103"/>
        <v>0.97272727272727277</v>
      </c>
      <c r="X550" s="18">
        <f t="shared" si="104"/>
        <v>0.97938144329896903</v>
      </c>
      <c r="Y550" s="18">
        <f t="shared" si="105"/>
        <v>0.65217391304347827</v>
      </c>
      <c r="Z550" s="18">
        <f t="shared" si="106"/>
        <v>0.56634304207119746</v>
      </c>
      <c r="AA550" s="10">
        <f t="shared" si="107"/>
        <v>0.83412513420000001</v>
      </c>
      <c r="AB550" t="str">
        <f>IF(AA550&gt;=Como_Avaliar!$B$15,"Alta",IF(AA550&gt;=Como_Avaliar!$B$16,"Média","Baixa"))</f>
        <v>Alta</v>
      </c>
    </row>
    <row r="551" spans="1:28" x14ac:dyDescent="0.25">
      <c r="A551" t="s">
        <v>855</v>
      </c>
      <c r="B551" t="s">
        <v>286</v>
      </c>
      <c r="C551" t="s">
        <v>88</v>
      </c>
      <c r="D551" t="s">
        <v>59</v>
      </c>
      <c r="E551" t="s">
        <v>94</v>
      </c>
      <c r="F551">
        <v>23</v>
      </c>
      <c r="G551">
        <v>20</v>
      </c>
      <c r="H551">
        <v>2</v>
      </c>
      <c r="I551" t="s">
        <v>68</v>
      </c>
      <c r="J551" t="s">
        <v>97</v>
      </c>
      <c r="K551" t="s">
        <v>98</v>
      </c>
      <c r="L551" t="s">
        <v>322</v>
      </c>
      <c r="M551">
        <v>1</v>
      </c>
      <c r="N551" t="str">
        <f t="shared" si="96"/>
        <v>3. 16+ anos</v>
      </c>
      <c r="O551" t="str">
        <f t="shared" si="97"/>
        <v>2. 20 a 49</v>
      </c>
      <c r="P551" t="str">
        <f t="shared" si="98"/>
        <v>1. 1 a 2</v>
      </c>
      <c r="Q551">
        <f t="shared" si="99"/>
        <v>0</v>
      </c>
      <c r="R551">
        <f t="shared" si="100"/>
        <v>0</v>
      </c>
      <c r="S551">
        <f t="shared" si="101"/>
        <v>0</v>
      </c>
      <c r="V551" s="18">
        <f t="shared" si="102"/>
        <v>0.43835616438356162</v>
      </c>
      <c r="W551" s="18">
        <f t="shared" si="103"/>
        <v>8.6792452830188674E-2</v>
      </c>
      <c r="X551" s="18">
        <f t="shared" si="104"/>
        <v>0.25294117647058822</v>
      </c>
      <c r="Y551" s="18">
        <f t="shared" si="105"/>
        <v>0.58333333333333337</v>
      </c>
      <c r="Z551" s="18">
        <f t="shared" si="106"/>
        <v>0.56634304207119746</v>
      </c>
      <c r="AA551" s="10">
        <f t="shared" si="107"/>
        <v>0.38555323380000001</v>
      </c>
      <c r="AB551" t="str">
        <f>IF(AA551&gt;=Como_Avaliar!$B$15,"Alta",IF(AA551&gt;=Como_Avaliar!$B$16,"Média","Baixa"))</f>
        <v>Média</v>
      </c>
    </row>
    <row r="552" spans="1:28" x14ac:dyDescent="0.25">
      <c r="A552" t="s">
        <v>856</v>
      </c>
      <c r="B552" t="s">
        <v>295</v>
      </c>
      <c r="C552" t="s">
        <v>84</v>
      </c>
      <c r="D552" t="s">
        <v>56</v>
      </c>
      <c r="E552" t="s">
        <v>93</v>
      </c>
      <c r="F552">
        <v>26</v>
      </c>
      <c r="G552">
        <v>10</v>
      </c>
      <c r="H552">
        <v>2</v>
      </c>
      <c r="I552" t="s">
        <v>64</v>
      </c>
      <c r="J552" t="s">
        <v>98</v>
      </c>
      <c r="K552" t="s">
        <v>98</v>
      </c>
      <c r="L552" t="s">
        <v>298</v>
      </c>
      <c r="M552">
        <v>0</v>
      </c>
      <c r="N552" t="str">
        <f t="shared" si="96"/>
        <v>3. 16+ anos</v>
      </c>
      <c r="O552" t="str">
        <f t="shared" si="97"/>
        <v>1. &lt; 20</v>
      </c>
      <c r="P552" t="str">
        <f t="shared" si="98"/>
        <v>1. 1 a 2</v>
      </c>
      <c r="Q552">
        <f t="shared" si="99"/>
        <v>1</v>
      </c>
      <c r="R552">
        <f t="shared" si="100"/>
        <v>0</v>
      </c>
      <c r="S552">
        <f t="shared" si="101"/>
        <v>1</v>
      </c>
      <c r="T552">
        <v>2</v>
      </c>
      <c r="U552" t="s">
        <v>139</v>
      </c>
      <c r="V552" s="18">
        <f t="shared" si="102"/>
        <v>6.8273092369477914E-2</v>
      </c>
      <c r="W552" s="18">
        <f t="shared" si="103"/>
        <v>8.6792452830188674E-2</v>
      </c>
      <c r="X552" s="18">
        <f t="shared" si="104"/>
        <v>0.10309278350515463</v>
      </c>
      <c r="Y552" s="18">
        <f t="shared" si="105"/>
        <v>0.15625</v>
      </c>
      <c r="Z552" s="18">
        <f t="shared" si="106"/>
        <v>0.56634304207119746</v>
      </c>
      <c r="AA552" s="10">
        <f t="shared" si="107"/>
        <v>0.1961502742</v>
      </c>
      <c r="AB552" t="str">
        <f>IF(AA552&gt;=Como_Avaliar!$B$15,"Alta",IF(AA552&gt;=Como_Avaliar!$B$16,"Média","Baixa"))</f>
        <v>Baixa</v>
      </c>
    </row>
    <row r="553" spans="1:28" x14ac:dyDescent="0.25">
      <c r="A553" t="s">
        <v>857</v>
      </c>
      <c r="B553" t="s">
        <v>283</v>
      </c>
      <c r="C553" t="s">
        <v>89</v>
      </c>
      <c r="D553" t="s">
        <v>56</v>
      </c>
      <c r="E553" t="s">
        <v>94</v>
      </c>
      <c r="F553">
        <v>5</v>
      </c>
      <c r="G553">
        <v>9</v>
      </c>
      <c r="H553">
        <v>1</v>
      </c>
      <c r="I553" t="s">
        <v>64</v>
      </c>
      <c r="J553" t="s">
        <v>98</v>
      </c>
      <c r="K553" t="s">
        <v>97</v>
      </c>
      <c r="L553" t="s">
        <v>289</v>
      </c>
      <c r="M553">
        <v>0</v>
      </c>
      <c r="N553" t="str">
        <f t="shared" si="96"/>
        <v>1. &lt; 8 anos</v>
      </c>
      <c r="O553" t="str">
        <f t="shared" si="97"/>
        <v>1. &lt; 20</v>
      </c>
      <c r="P553" t="str">
        <f t="shared" si="98"/>
        <v>1. 1 a 2</v>
      </c>
      <c r="Q553">
        <f t="shared" si="99"/>
        <v>1</v>
      </c>
      <c r="R553">
        <f t="shared" si="100"/>
        <v>0</v>
      </c>
      <c r="S553">
        <f t="shared" si="101"/>
        <v>1</v>
      </c>
      <c r="T553">
        <v>1</v>
      </c>
      <c r="U553" t="s">
        <v>139</v>
      </c>
      <c r="V553" s="18">
        <f t="shared" si="102"/>
        <v>6.8273092369477914E-2</v>
      </c>
      <c r="W553" s="18">
        <f t="shared" si="103"/>
        <v>8.6792452830188674E-2</v>
      </c>
      <c r="X553" s="18">
        <f t="shared" si="104"/>
        <v>0.10309278350515463</v>
      </c>
      <c r="Y553" s="18">
        <f t="shared" si="105"/>
        <v>0.15625</v>
      </c>
      <c r="Z553" s="18">
        <f t="shared" si="106"/>
        <v>0.22368421052631579</v>
      </c>
      <c r="AA553" s="10">
        <f t="shared" si="107"/>
        <v>0.1276185078</v>
      </c>
      <c r="AB553" t="str">
        <f>IF(AA553&gt;=Como_Avaliar!$B$15,"Alta",IF(AA553&gt;=Como_Avaliar!$B$16,"Média","Baixa"))</f>
        <v>Baixa</v>
      </c>
    </row>
    <row r="554" spans="1:28" x14ac:dyDescent="0.25">
      <c r="A554" t="s">
        <v>858</v>
      </c>
      <c r="B554" t="s">
        <v>286</v>
      </c>
      <c r="C554" t="s">
        <v>88</v>
      </c>
      <c r="D554" t="s">
        <v>57</v>
      </c>
      <c r="E554" t="s">
        <v>92</v>
      </c>
      <c r="F554">
        <v>26</v>
      </c>
      <c r="G554">
        <v>780</v>
      </c>
      <c r="H554">
        <v>72</v>
      </c>
      <c r="I554" t="s">
        <v>65</v>
      </c>
      <c r="J554" t="s">
        <v>98</v>
      </c>
      <c r="K554" t="s">
        <v>97</v>
      </c>
      <c r="L554" t="s">
        <v>298</v>
      </c>
      <c r="M554">
        <v>1</v>
      </c>
      <c r="N554" t="str">
        <f t="shared" si="96"/>
        <v>3. 16+ anos</v>
      </c>
      <c r="O554" t="str">
        <f t="shared" si="97"/>
        <v>4. 150+</v>
      </c>
      <c r="P554" t="str">
        <f t="shared" si="98"/>
        <v>4. 16+</v>
      </c>
      <c r="Q554">
        <f t="shared" si="99"/>
        <v>0</v>
      </c>
      <c r="R554">
        <f t="shared" si="100"/>
        <v>1</v>
      </c>
      <c r="S554">
        <f t="shared" si="101"/>
        <v>0</v>
      </c>
      <c r="V554" s="18">
        <f t="shared" si="102"/>
        <v>1</v>
      </c>
      <c r="W554" s="18">
        <f t="shared" si="103"/>
        <v>0.97272727272727277</v>
      </c>
      <c r="X554" s="18">
        <f t="shared" si="104"/>
        <v>0.97938144329896903</v>
      </c>
      <c r="Y554" s="18">
        <f t="shared" si="105"/>
        <v>0.39751552795031053</v>
      </c>
      <c r="Z554" s="18">
        <f t="shared" si="106"/>
        <v>0.56634304207119746</v>
      </c>
      <c r="AA554" s="10">
        <f t="shared" si="107"/>
        <v>0.7831934572</v>
      </c>
      <c r="AB554" t="str">
        <f>IF(AA554&gt;=Como_Avaliar!$B$15,"Alta",IF(AA554&gt;=Como_Avaliar!$B$16,"Média","Baixa"))</f>
        <v>Alta</v>
      </c>
    </row>
    <row r="555" spans="1:28" x14ac:dyDescent="0.25">
      <c r="A555" t="s">
        <v>859</v>
      </c>
      <c r="B555" t="s">
        <v>314</v>
      </c>
      <c r="C555" t="s">
        <v>84</v>
      </c>
      <c r="D555" t="s">
        <v>59</v>
      </c>
      <c r="E555" t="s">
        <v>96</v>
      </c>
      <c r="F555">
        <v>21</v>
      </c>
      <c r="G555">
        <v>75</v>
      </c>
      <c r="H555">
        <v>4</v>
      </c>
      <c r="I555" t="s">
        <v>60</v>
      </c>
      <c r="J555" t="s">
        <v>97</v>
      </c>
      <c r="K555" t="s">
        <v>97</v>
      </c>
      <c r="L555" t="s">
        <v>289</v>
      </c>
      <c r="M555">
        <v>1</v>
      </c>
      <c r="N555" t="str">
        <f t="shared" si="96"/>
        <v>3. 16+ anos</v>
      </c>
      <c r="O555" t="str">
        <f t="shared" si="97"/>
        <v>3. 50 a 149</v>
      </c>
      <c r="P555" t="str">
        <f t="shared" si="98"/>
        <v>2. 3 a 5</v>
      </c>
      <c r="Q555">
        <f t="shared" si="99"/>
        <v>0</v>
      </c>
      <c r="R555">
        <f t="shared" si="100"/>
        <v>0</v>
      </c>
      <c r="S555">
        <f t="shared" si="101"/>
        <v>0</v>
      </c>
      <c r="V555" s="18">
        <f t="shared" si="102"/>
        <v>0.43835616438356162</v>
      </c>
      <c r="W555" s="18">
        <f t="shared" si="103"/>
        <v>0.38095238095238093</v>
      </c>
      <c r="X555" s="18">
        <f t="shared" si="104"/>
        <v>0.58992805755395683</v>
      </c>
      <c r="Y555" s="18">
        <f t="shared" si="105"/>
        <v>0.65217391304347827</v>
      </c>
      <c r="Z555" s="18">
        <f t="shared" si="106"/>
        <v>0.56634304207119746</v>
      </c>
      <c r="AA555" s="10">
        <f t="shared" si="107"/>
        <v>0.5255507116</v>
      </c>
      <c r="AB555" t="str">
        <f>IF(AA555&gt;=Como_Avaliar!$B$15,"Alta",IF(AA555&gt;=Como_Avaliar!$B$16,"Média","Baixa"))</f>
        <v>Alta</v>
      </c>
    </row>
    <row r="556" spans="1:28" x14ac:dyDescent="0.25">
      <c r="A556" t="s">
        <v>860</v>
      </c>
      <c r="B556" t="s">
        <v>327</v>
      </c>
      <c r="C556" t="s">
        <v>86</v>
      </c>
      <c r="D556" t="s">
        <v>58</v>
      </c>
      <c r="E556" t="s">
        <v>93</v>
      </c>
      <c r="F556">
        <v>23</v>
      </c>
      <c r="G556">
        <v>129</v>
      </c>
      <c r="H556">
        <v>16</v>
      </c>
      <c r="I556" t="s">
        <v>62</v>
      </c>
      <c r="J556" t="s">
        <v>98</v>
      </c>
      <c r="K556" t="s">
        <v>97</v>
      </c>
      <c r="L556" t="s">
        <v>289</v>
      </c>
      <c r="M556">
        <v>1</v>
      </c>
      <c r="N556" t="str">
        <f t="shared" si="96"/>
        <v>3. 16+ anos</v>
      </c>
      <c r="O556" t="str">
        <f t="shared" si="97"/>
        <v>3. 50 a 149</v>
      </c>
      <c r="P556" t="str">
        <f t="shared" si="98"/>
        <v>4. 16+</v>
      </c>
      <c r="Q556">
        <f t="shared" si="99"/>
        <v>0</v>
      </c>
      <c r="R556">
        <f t="shared" si="100"/>
        <v>1</v>
      </c>
      <c r="S556">
        <f t="shared" si="101"/>
        <v>0</v>
      </c>
      <c r="V556" s="18">
        <f t="shared" si="102"/>
        <v>0.93975903614457834</v>
      </c>
      <c r="W556" s="18">
        <f t="shared" si="103"/>
        <v>0.97272727272727277</v>
      </c>
      <c r="X556" s="18">
        <f t="shared" si="104"/>
        <v>0.58992805755395683</v>
      </c>
      <c r="Y556" s="18">
        <f t="shared" si="105"/>
        <v>0.37662337662337664</v>
      </c>
      <c r="Z556" s="18">
        <f t="shared" si="106"/>
        <v>0.56634304207119746</v>
      </c>
      <c r="AA556" s="10">
        <f t="shared" si="107"/>
        <v>0.68907615700000002</v>
      </c>
      <c r="AB556" t="str">
        <f>IF(AA556&gt;=Como_Avaliar!$B$15,"Alta",IF(AA556&gt;=Como_Avaliar!$B$16,"Média","Baixa"))</f>
        <v>Alta</v>
      </c>
    </row>
    <row r="557" spans="1:28" x14ac:dyDescent="0.25">
      <c r="A557" t="s">
        <v>861</v>
      </c>
      <c r="B557" t="s">
        <v>283</v>
      </c>
      <c r="C557" t="s">
        <v>89</v>
      </c>
      <c r="D557" t="s">
        <v>59</v>
      </c>
      <c r="E557" t="s">
        <v>91</v>
      </c>
      <c r="F557">
        <v>9</v>
      </c>
      <c r="G557">
        <v>20</v>
      </c>
      <c r="H557">
        <v>3</v>
      </c>
      <c r="I557" t="s">
        <v>68</v>
      </c>
      <c r="J557" t="s">
        <v>97</v>
      </c>
      <c r="K557" t="s">
        <v>98</v>
      </c>
      <c r="L557" t="s">
        <v>298</v>
      </c>
      <c r="M557">
        <v>0</v>
      </c>
      <c r="N557" t="str">
        <f t="shared" si="96"/>
        <v>2. 8 a 15 anos</v>
      </c>
      <c r="O557" t="str">
        <f t="shared" si="97"/>
        <v>2. 20 a 49</v>
      </c>
      <c r="P557" t="str">
        <f t="shared" si="98"/>
        <v>2. 3 a 5</v>
      </c>
      <c r="Q557">
        <f t="shared" si="99"/>
        <v>0</v>
      </c>
      <c r="R557">
        <f t="shared" si="100"/>
        <v>0</v>
      </c>
      <c r="S557">
        <f t="shared" si="101"/>
        <v>1</v>
      </c>
      <c r="T557">
        <v>2</v>
      </c>
      <c r="U557" t="s">
        <v>139</v>
      </c>
      <c r="V557" s="18">
        <f t="shared" si="102"/>
        <v>0.43835616438356162</v>
      </c>
      <c r="W557" s="18">
        <f t="shared" si="103"/>
        <v>0.38095238095238093</v>
      </c>
      <c r="X557" s="18">
        <f t="shared" si="104"/>
        <v>0.25294117647058822</v>
      </c>
      <c r="Y557" s="18">
        <f t="shared" si="105"/>
        <v>0.58333333333333337</v>
      </c>
      <c r="Z557" s="18">
        <f t="shared" si="106"/>
        <v>0.22302158273381295</v>
      </c>
      <c r="AA557" s="10">
        <f t="shared" si="107"/>
        <v>0.37572092759999998</v>
      </c>
      <c r="AB557" t="str">
        <f>IF(AA557&gt;=Como_Avaliar!$B$15,"Alta",IF(AA557&gt;=Como_Avaliar!$B$16,"Média","Baixa"))</f>
        <v>Média</v>
      </c>
    </row>
    <row r="558" spans="1:28" x14ac:dyDescent="0.25">
      <c r="A558" t="s">
        <v>862</v>
      </c>
      <c r="B558" t="s">
        <v>286</v>
      </c>
      <c r="C558" t="s">
        <v>88</v>
      </c>
      <c r="D558" t="s">
        <v>56</v>
      </c>
      <c r="E558" t="s">
        <v>92</v>
      </c>
      <c r="F558">
        <v>12</v>
      </c>
      <c r="G558">
        <v>5</v>
      </c>
      <c r="H558">
        <v>1</v>
      </c>
      <c r="I558" t="s">
        <v>62</v>
      </c>
      <c r="J558" t="s">
        <v>97</v>
      </c>
      <c r="K558" t="s">
        <v>97</v>
      </c>
      <c r="L558" t="s">
        <v>284</v>
      </c>
      <c r="M558">
        <v>0</v>
      </c>
      <c r="N558" t="str">
        <f t="shared" si="96"/>
        <v>2. 8 a 15 anos</v>
      </c>
      <c r="O558" t="str">
        <f t="shared" si="97"/>
        <v>1. &lt; 20</v>
      </c>
      <c r="P558" t="str">
        <f t="shared" si="98"/>
        <v>1. 1 a 2</v>
      </c>
      <c r="Q558">
        <f t="shared" si="99"/>
        <v>0</v>
      </c>
      <c r="R558">
        <f t="shared" si="100"/>
        <v>0</v>
      </c>
      <c r="S558">
        <f t="shared" si="101"/>
        <v>1</v>
      </c>
      <c r="T558">
        <v>3</v>
      </c>
      <c r="U558" t="s">
        <v>138</v>
      </c>
      <c r="V558" s="18">
        <f t="shared" si="102"/>
        <v>6.8273092369477914E-2</v>
      </c>
      <c r="W558" s="18">
        <f t="shared" si="103"/>
        <v>8.6792452830188674E-2</v>
      </c>
      <c r="X558" s="18">
        <f t="shared" si="104"/>
        <v>0.10309278350515463</v>
      </c>
      <c r="Y558" s="18">
        <f t="shared" si="105"/>
        <v>0.37662337662337664</v>
      </c>
      <c r="Z558" s="18">
        <f t="shared" si="106"/>
        <v>0.22302158273381295</v>
      </c>
      <c r="AA558" s="10">
        <f t="shared" si="107"/>
        <v>0.1715606576</v>
      </c>
      <c r="AB558" t="str">
        <f>IF(AA558&gt;=Como_Avaliar!$B$15,"Alta",IF(AA558&gt;=Como_Avaliar!$B$16,"Média","Baixa"))</f>
        <v>Baixa</v>
      </c>
    </row>
    <row r="559" spans="1:28" x14ac:dyDescent="0.25">
      <c r="A559" t="s">
        <v>863</v>
      </c>
      <c r="B559" t="s">
        <v>363</v>
      </c>
      <c r="C559" t="s">
        <v>87</v>
      </c>
      <c r="D559" t="s">
        <v>56</v>
      </c>
      <c r="E559" t="s">
        <v>93</v>
      </c>
      <c r="F559">
        <v>21</v>
      </c>
      <c r="G559">
        <v>24</v>
      </c>
      <c r="H559">
        <v>1</v>
      </c>
      <c r="I559" t="s">
        <v>62</v>
      </c>
      <c r="J559" t="s">
        <v>98</v>
      </c>
      <c r="K559" t="s">
        <v>98</v>
      </c>
      <c r="L559" t="s">
        <v>284</v>
      </c>
      <c r="M559">
        <v>0</v>
      </c>
      <c r="N559" t="str">
        <f t="shared" si="96"/>
        <v>3. 16+ anos</v>
      </c>
      <c r="O559" t="str">
        <f t="shared" si="97"/>
        <v>2. 20 a 49</v>
      </c>
      <c r="P559" t="str">
        <f t="shared" si="98"/>
        <v>1. 1 a 2</v>
      </c>
      <c r="Q559">
        <f t="shared" si="99"/>
        <v>0</v>
      </c>
      <c r="R559">
        <f t="shared" si="100"/>
        <v>0</v>
      </c>
      <c r="S559">
        <f t="shared" si="101"/>
        <v>1</v>
      </c>
      <c r="T559">
        <v>2</v>
      </c>
      <c r="U559" t="s">
        <v>139</v>
      </c>
      <c r="V559" s="18">
        <f t="shared" si="102"/>
        <v>6.8273092369477914E-2</v>
      </c>
      <c r="W559" s="18">
        <f t="shared" si="103"/>
        <v>8.6792452830188674E-2</v>
      </c>
      <c r="X559" s="18">
        <f t="shared" si="104"/>
        <v>0.25294117647058822</v>
      </c>
      <c r="Y559" s="18">
        <f t="shared" si="105"/>
        <v>0.37662337662337664</v>
      </c>
      <c r="Z559" s="18">
        <f t="shared" si="106"/>
        <v>0.56634304207119746</v>
      </c>
      <c r="AA559" s="10">
        <f t="shared" si="107"/>
        <v>0.2701946281</v>
      </c>
      <c r="AB559" t="str">
        <f>IF(AA559&gt;=Como_Avaliar!$B$15,"Alta",IF(AA559&gt;=Como_Avaliar!$B$16,"Média","Baixa"))</f>
        <v>Média</v>
      </c>
    </row>
    <row r="560" spans="1:28" x14ac:dyDescent="0.25">
      <c r="A560" t="s">
        <v>864</v>
      </c>
      <c r="B560" t="s">
        <v>314</v>
      </c>
      <c r="C560" t="s">
        <v>84</v>
      </c>
      <c r="D560" t="s">
        <v>59</v>
      </c>
      <c r="E560" t="s">
        <v>94</v>
      </c>
      <c r="F560">
        <v>1</v>
      </c>
      <c r="G560">
        <v>50</v>
      </c>
      <c r="H560">
        <v>10</v>
      </c>
      <c r="I560" t="s">
        <v>60</v>
      </c>
      <c r="J560" t="s">
        <v>98</v>
      </c>
      <c r="K560" t="s">
        <v>97</v>
      </c>
      <c r="L560" t="s">
        <v>284</v>
      </c>
      <c r="M560">
        <v>0</v>
      </c>
      <c r="N560" t="str">
        <f t="shared" si="96"/>
        <v>1. &lt; 8 anos</v>
      </c>
      <c r="O560" t="str">
        <f t="shared" si="97"/>
        <v>3. 50 a 149</v>
      </c>
      <c r="P560" t="str">
        <f t="shared" si="98"/>
        <v>3. 6 a 15</v>
      </c>
      <c r="Q560">
        <f t="shared" si="99"/>
        <v>0</v>
      </c>
      <c r="R560">
        <f t="shared" si="100"/>
        <v>1</v>
      </c>
      <c r="S560">
        <f t="shared" si="101"/>
        <v>1</v>
      </c>
      <c r="T560">
        <v>3</v>
      </c>
      <c r="U560" t="s">
        <v>138</v>
      </c>
      <c r="V560" s="18">
        <f t="shared" si="102"/>
        <v>0.43835616438356162</v>
      </c>
      <c r="W560" s="18">
        <f t="shared" si="103"/>
        <v>0.55319148936170215</v>
      </c>
      <c r="X560" s="18">
        <f t="shared" si="104"/>
        <v>0.58992805755395683</v>
      </c>
      <c r="Y560" s="18">
        <f t="shared" si="105"/>
        <v>0.65217391304347827</v>
      </c>
      <c r="Z560" s="18">
        <f t="shared" si="106"/>
        <v>0.22368421052631579</v>
      </c>
      <c r="AA560" s="10">
        <f t="shared" si="107"/>
        <v>0.49146676700000003</v>
      </c>
      <c r="AB560" t="str">
        <f>IF(AA560&gt;=Como_Avaliar!$B$15,"Alta",IF(AA560&gt;=Como_Avaliar!$B$16,"Média","Baixa"))</f>
        <v>Alta</v>
      </c>
    </row>
    <row r="561" spans="1:28" x14ac:dyDescent="0.25">
      <c r="A561" t="s">
        <v>865</v>
      </c>
      <c r="B561" t="s">
        <v>301</v>
      </c>
      <c r="C561" t="s">
        <v>88</v>
      </c>
      <c r="D561" t="s">
        <v>56</v>
      </c>
      <c r="E561" t="s">
        <v>93</v>
      </c>
      <c r="F561">
        <v>26</v>
      </c>
      <c r="G561">
        <v>20</v>
      </c>
      <c r="H561">
        <v>1</v>
      </c>
      <c r="I561" t="s">
        <v>62</v>
      </c>
      <c r="J561" t="s">
        <v>98</v>
      </c>
      <c r="K561" t="s">
        <v>97</v>
      </c>
      <c r="L561" t="s">
        <v>298</v>
      </c>
      <c r="M561">
        <v>0</v>
      </c>
      <c r="N561" t="str">
        <f t="shared" si="96"/>
        <v>3. 16+ anos</v>
      </c>
      <c r="O561" t="str">
        <f t="shared" si="97"/>
        <v>2. 20 a 49</v>
      </c>
      <c r="P561" t="str">
        <f t="shared" si="98"/>
        <v>1. 1 a 2</v>
      </c>
      <c r="Q561">
        <f t="shared" si="99"/>
        <v>0</v>
      </c>
      <c r="R561">
        <f t="shared" si="100"/>
        <v>0</v>
      </c>
      <c r="S561">
        <f t="shared" si="101"/>
        <v>1</v>
      </c>
      <c r="T561">
        <v>2</v>
      </c>
      <c r="U561" t="s">
        <v>139</v>
      </c>
      <c r="V561" s="18">
        <f t="shared" si="102"/>
        <v>6.8273092369477914E-2</v>
      </c>
      <c r="W561" s="18">
        <f t="shared" si="103"/>
        <v>8.6792452830188674E-2</v>
      </c>
      <c r="X561" s="18">
        <f t="shared" si="104"/>
        <v>0.25294117647058822</v>
      </c>
      <c r="Y561" s="18">
        <f t="shared" si="105"/>
        <v>0.37662337662337664</v>
      </c>
      <c r="Z561" s="18">
        <f t="shared" si="106"/>
        <v>0.56634304207119746</v>
      </c>
      <c r="AA561" s="10">
        <f t="shared" si="107"/>
        <v>0.2701946281</v>
      </c>
      <c r="AB561" t="str">
        <f>IF(AA561&gt;=Como_Avaliar!$B$15,"Alta",IF(AA561&gt;=Como_Avaliar!$B$16,"Média","Baixa"))</f>
        <v>Média</v>
      </c>
    </row>
    <row r="562" spans="1:28" x14ac:dyDescent="0.25">
      <c r="A562" t="s">
        <v>866</v>
      </c>
      <c r="B562" t="s">
        <v>301</v>
      </c>
      <c r="C562" t="s">
        <v>88</v>
      </c>
      <c r="D562" t="s">
        <v>59</v>
      </c>
      <c r="E562" t="s">
        <v>94</v>
      </c>
      <c r="F562">
        <v>26</v>
      </c>
      <c r="G562">
        <v>19</v>
      </c>
      <c r="H562">
        <v>2</v>
      </c>
      <c r="I562" t="s">
        <v>68</v>
      </c>
      <c r="J562" t="s">
        <v>97</v>
      </c>
      <c r="K562" t="s">
        <v>98</v>
      </c>
      <c r="L562" t="s">
        <v>289</v>
      </c>
      <c r="M562">
        <v>1</v>
      </c>
      <c r="N562" t="str">
        <f t="shared" si="96"/>
        <v>3. 16+ anos</v>
      </c>
      <c r="O562" t="str">
        <f t="shared" si="97"/>
        <v>1. &lt; 20</v>
      </c>
      <c r="P562" t="str">
        <f t="shared" si="98"/>
        <v>1. 1 a 2</v>
      </c>
      <c r="Q562">
        <f t="shared" si="99"/>
        <v>0</v>
      </c>
      <c r="R562">
        <f t="shared" si="100"/>
        <v>0</v>
      </c>
      <c r="S562">
        <f t="shared" si="101"/>
        <v>0</v>
      </c>
      <c r="V562" s="18">
        <f t="shared" si="102"/>
        <v>0.43835616438356162</v>
      </c>
      <c r="W562" s="18">
        <f t="shared" si="103"/>
        <v>8.6792452830188674E-2</v>
      </c>
      <c r="X562" s="18">
        <f t="shared" si="104"/>
        <v>0.10309278350515463</v>
      </c>
      <c r="Y562" s="18">
        <f t="shared" si="105"/>
        <v>0.58333333333333337</v>
      </c>
      <c r="Z562" s="18">
        <f t="shared" si="106"/>
        <v>0.56634304207119746</v>
      </c>
      <c r="AA562" s="10">
        <f t="shared" si="107"/>
        <v>0.35558355520000001</v>
      </c>
      <c r="AB562" t="str">
        <f>IF(AA562&gt;=Como_Avaliar!$B$15,"Alta",IF(AA562&gt;=Como_Avaliar!$B$16,"Média","Baixa"))</f>
        <v>Média</v>
      </c>
    </row>
    <row r="563" spans="1:28" x14ac:dyDescent="0.25">
      <c r="A563" t="s">
        <v>867</v>
      </c>
      <c r="B563" t="s">
        <v>301</v>
      </c>
      <c r="C563" t="s">
        <v>88</v>
      </c>
      <c r="D563" t="s">
        <v>56</v>
      </c>
      <c r="E563" t="s">
        <v>91</v>
      </c>
      <c r="F563">
        <v>1</v>
      </c>
      <c r="G563">
        <v>8</v>
      </c>
      <c r="H563">
        <v>1</v>
      </c>
      <c r="I563" t="s">
        <v>64</v>
      </c>
      <c r="J563" t="s">
        <v>97</v>
      </c>
      <c r="K563" t="s">
        <v>97</v>
      </c>
      <c r="L563" t="s">
        <v>298</v>
      </c>
      <c r="M563">
        <v>0</v>
      </c>
      <c r="N563" t="str">
        <f t="shared" si="96"/>
        <v>1. &lt; 8 anos</v>
      </c>
      <c r="O563" t="str">
        <f t="shared" si="97"/>
        <v>1. &lt; 20</v>
      </c>
      <c r="P563" t="str">
        <f t="shared" si="98"/>
        <v>1. 1 a 2</v>
      </c>
      <c r="Q563">
        <f t="shared" si="99"/>
        <v>1</v>
      </c>
      <c r="R563">
        <f t="shared" si="100"/>
        <v>0</v>
      </c>
      <c r="S563">
        <f t="shared" si="101"/>
        <v>1</v>
      </c>
      <c r="T563">
        <v>2</v>
      </c>
      <c r="U563" t="s">
        <v>139</v>
      </c>
      <c r="V563" s="18">
        <f t="shared" si="102"/>
        <v>6.8273092369477914E-2</v>
      </c>
      <c r="W563" s="18">
        <f t="shared" si="103"/>
        <v>8.6792452830188674E-2</v>
      </c>
      <c r="X563" s="18">
        <f t="shared" si="104"/>
        <v>0.10309278350515463</v>
      </c>
      <c r="Y563" s="18">
        <f t="shared" si="105"/>
        <v>0.15625</v>
      </c>
      <c r="Z563" s="18">
        <f t="shared" si="106"/>
        <v>0.22368421052631579</v>
      </c>
      <c r="AA563" s="10">
        <f t="shared" si="107"/>
        <v>0.1276185078</v>
      </c>
      <c r="AB563" t="str">
        <f>IF(AA563&gt;=Como_Avaliar!$B$15,"Alta",IF(AA563&gt;=Como_Avaliar!$B$16,"Média","Baixa"))</f>
        <v>Baixa</v>
      </c>
    </row>
    <row r="564" spans="1:28" x14ac:dyDescent="0.25">
      <c r="A564" t="s">
        <v>868</v>
      </c>
      <c r="B564" t="s">
        <v>305</v>
      </c>
      <c r="C564" t="s">
        <v>89</v>
      </c>
      <c r="D564" t="s">
        <v>56</v>
      </c>
      <c r="E564" t="s">
        <v>96</v>
      </c>
      <c r="F564">
        <v>15</v>
      </c>
      <c r="G564">
        <v>13</v>
      </c>
      <c r="H564">
        <v>1</v>
      </c>
      <c r="I564" t="s">
        <v>62</v>
      </c>
      <c r="J564" t="s">
        <v>98</v>
      </c>
      <c r="K564" t="s">
        <v>97</v>
      </c>
      <c r="L564" t="s">
        <v>322</v>
      </c>
      <c r="M564">
        <v>0</v>
      </c>
      <c r="N564" t="str">
        <f t="shared" si="96"/>
        <v>2. 8 a 15 anos</v>
      </c>
      <c r="O564" t="str">
        <f t="shared" si="97"/>
        <v>1. &lt; 20</v>
      </c>
      <c r="P564" t="str">
        <f t="shared" si="98"/>
        <v>1. 1 a 2</v>
      </c>
      <c r="Q564">
        <f t="shared" si="99"/>
        <v>0</v>
      </c>
      <c r="R564">
        <f t="shared" si="100"/>
        <v>0</v>
      </c>
      <c r="S564">
        <f t="shared" si="101"/>
        <v>0</v>
      </c>
      <c r="V564" s="18">
        <f t="shared" si="102"/>
        <v>6.8273092369477914E-2</v>
      </c>
      <c r="W564" s="18">
        <f t="shared" si="103"/>
        <v>8.6792452830188674E-2</v>
      </c>
      <c r="X564" s="18">
        <f t="shared" si="104"/>
        <v>0.10309278350515463</v>
      </c>
      <c r="Y564" s="18">
        <f t="shared" si="105"/>
        <v>0.37662337662337664</v>
      </c>
      <c r="Z564" s="18">
        <f t="shared" si="106"/>
        <v>0.22302158273381295</v>
      </c>
      <c r="AA564" s="10">
        <f t="shared" si="107"/>
        <v>0.1715606576</v>
      </c>
      <c r="AB564" t="str">
        <f>IF(AA564&gt;=Como_Avaliar!$B$15,"Alta",IF(AA564&gt;=Como_Avaliar!$B$16,"Média","Baixa"))</f>
        <v>Baixa</v>
      </c>
    </row>
    <row r="565" spans="1:28" x14ac:dyDescent="0.25">
      <c r="A565" t="s">
        <v>869</v>
      </c>
      <c r="B565" t="s">
        <v>301</v>
      </c>
      <c r="C565" t="s">
        <v>88</v>
      </c>
      <c r="D565" t="s">
        <v>59</v>
      </c>
      <c r="E565" t="s">
        <v>95</v>
      </c>
      <c r="F565">
        <v>2</v>
      </c>
      <c r="G565">
        <v>17</v>
      </c>
      <c r="H565">
        <v>2</v>
      </c>
      <c r="I565" t="s">
        <v>62</v>
      </c>
      <c r="J565" t="s">
        <v>98</v>
      </c>
      <c r="K565" t="s">
        <v>97</v>
      </c>
      <c r="L565" t="s">
        <v>284</v>
      </c>
      <c r="M565">
        <v>0</v>
      </c>
      <c r="N565" t="str">
        <f t="shared" si="96"/>
        <v>1. &lt; 8 anos</v>
      </c>
      <c r="O565" t="str">
        <f t="shared" si="97"/>
        <v>1. &lt; 20</v>
      </c>
      <c r="P565" t="str">
        <f t="shared" si="98"/>
        <v>1. 1 a 2</v>
      </c>
      <c r="Q565">
        <f t="shared" si="99"/>
        <v>0</v>
      </c>
      <c r="R565">
        <f t="shared" si="100"/>
        <v>0</v>
      </c>
      <c r="S565">
        <f t="shared" si="101"/>
        <v>1</v>
      </c>
      <c r="T565">
        <v>4</v>
      </c>
      <c r="U565" t="s">
        <v>137</v>
      </c>
      <c r="V565" s="18">
        <f t="shared" si="102"/>
        <v>0.43835616438356162</v>
      </c>
      <c r="W565" s="18">
        <f t="shared" si="103"/>
        <v>8.6792452830188674E-2</v>
      </c>
      <c r="X565" s="18">
        <f t="shared" si="104"/>
        <v>0.10309278350515463</v>
      </c>
      <c r="Y565" s="18">
        <f t="shared" si="105"/>
        <v>0.37662337662337664</v>
      </c>
      <c r="Z565" s="18">
        <f t="shared" si="106"/>
        <v>0.22368421052631579</v>
      </c>
      <c r="AA565" s="10">
        <f t="shared" si="107"/>
        <v>0.2457097976</v>
      </c>
      <c r="AB565" t="str">
        <f>IF(AA565&gt;=Como_Avaliar!$B$15,"Alta",IF(AA565&gt;=Como_Avaliar!$B$16,"Média","Baixa"))</f>
        <v>Média</v>
      </c>
    </row>
    <row r="566" spans="1:28" x14ac:dyDescent="0.25">
      <c r="A566" t="s">
        <v>870</v>
      </c>
      <c r="B566" t="s">
        <v>327</v>
      </c>
      <c r="C566" t="s">
        <v>86</v>
      </c>
      <c r="D566" t="s">
        <v>58</v>
      </c>
      <c r="E566" t="s">
        <v>94</v>
      </c>
      <c r="F566">
        <v>22</v>
      </c>
      <c r="G566">
        <v>113</v>
      </c>
      <c r="H566">
        <v>23</v>
      </c>
      <c r="I566" t="s">
        <v>62</v>
      </c>
      <c r="J566" t="s">
        <v>98</v>
      </c>
      <c r="K566" t="s">
        <v>97</v>
      </c>
      <c r="L566" t="s">
        <v>284</v>
      </c>
      <c r="M566">
        <v>1</v>
      </c>
      <c r="N566" t="str">
        <f t="shared" si="96"/>
        <v>3. 16+ anos</v>
      </c>
      <c r="O566" t="str">
        <f t="shared" si="97"/>
        <v>3. 50 a 149</v>
      </c>
      <c r="P566" t="str">
        <f t="shared" si="98"/>
        <v>4. 16+</v>
      </c>
      <c r="Q566">
        <f t="shared" si="99"/>
        <v>0</v>
      </c>
      <c r="R566">
        <f t="shared" si="100"/>
        <v>1</v>
      </c>
      <c r="S566">
        <f t="shared" si="101"/>
        <v>0</v>
      </c>
      <c r="V566" s="18">
        <f t="shared" si="102"/>
        <v>0.93975903614457834</v>
      </c>
      <c r="W566" s="18">
        <f t="shared" si="103"/>
        <v>0.97272727272727277</v>
      </c>
      <c r="X566" s="18">
        <f t="shared" si="104"/>
        <v>0.58992805755395683</v>
      </c>
      <c r="Y566" s="18">
        <f t="shared" si="105"/>
        <v>0.37662337662337664</v>
      </c>
      <c r="Z566" s="18">
        <f t="shared" si="106"/>
        <v>0.56634304207119746</v>
      </c>
      <c r="AA566" s="10">
        <f t="shared" si="107"/>
        <v>0.68907615700000002</v>
      </c>
      <c r="AB566" t="str">
        <f>IF(AA566&gt;=Como_Avaliar!$B$15,"Alta",IF(AA566&gt;=Como_Avaliar!$B$16,"Média","Baixa"))</f>
        <v>Alta</v>
      </c>
    </row>
    <row r="567" spans="1:28" x14ac:dyDescent="0.25">
      <c r="A567" t="s">
        <v>871</v>
      </c>
      <c r="B567" t="s">
        <v>327</v>
      </c>
      <c r="C567" t="s">
        <v>86</v>
      </c>
      <c r="D567" t="s">
        <v>59</v>
      </c>
      <c r="E567" t="s">
        <v>92</v>
      </c>
      <c r="F567">
        <v>16</v>
      </c>
      <c r="G567">
        <v>33</v>
      </c>
      <c r="H567">
        <v>7</v>
      </c>
      <c r="I567" t="s">
        <v>62</v>
      </c>
      <c r="J567" t="s">
        <v>97</v>
      </c>
      <c r="K567" t="s">
        <v>97</v>
      </c>
      <c r="L567" t="s">
        <v>298</v>
      </c>
      <c r="M567">
        <v>1</v>
      </c>
      <c r="N567" t="str">
        <f t="shared" si="96"/>
        <v>3. 16+ anos</v>
      </c>
      <c r="O567" t="str">
        <f t="shared" si="97"/>
        <v>2. 20 a 49</v>
      </c>
      <c r="P567" t="str">
        <f t="shared" si="98"/>
        <v>3. 6 a 15</v>
      </c>
      <c r="Q567">
        <f t="shared" si="99"/>
        <v>0</v>
      </c>
      <c r="R567">
        <f t="shared" si="100"/>
        <v>0</v>
      </c>
      <c r="S567">
        <f t="shared" si="101"/>
        <v>0</v>
      </c>
      <c r="V567" s="18">
        <f t="shared" si="102"/>
        <v>0.43835616438356162</v>
      </c>
      <c r="W567" s="18">
        <f t="shared" si="103"/>
        <v>0.55319148936170215</v>
      </c>
      <c r="X567" s="18">
        <f t="shared" si="104"/>
        <v>0.25294117647058822</v>
      </c>
      <c r="Y567" s="18">
        <f t="shared" si="105"/>
        <v>0.37662337662337664</v>
      </c>
      <c r="Z567" s="18">
        <f t="shared" si="106"/>
        <v>0.56634304207119746</v>
      </c>
      <c r="AA567" s="10">
        <f t="shared" si="107"/>
        <v>0.43749104979999998</v>
      </c>
      <c r="AB567" t="str">
        <f>IF(AA567&gt;=Como_Avaliar!$B$15,"Alta",IF(AA567&gt;=Como_Avaliar!$B$16,"Média","Baixa"))</f>
        <v>Média</v>
      </c>
    </row>
    <row r="568" spans="1:28" x14ac:dyDescent="0.25">
      <c r="A568" t="s">
        <v>872</v>
      </c>
      <c r="B568" t="s">
        <v>286</v>
      </c>
      <c r="C568" t="s">
        <v>88</v>
      </c>
      <c r="D568" t="s">
        <v>56</v>
      </c>
      <c r="E568" t="s">
        <v>93</v>
      </c>
      <c r="F568">
        <v>25</v>
      </c>
      <c r="G568">
        <v>25</v>
      </c>
      <c r="H568">
        <v>2</v>
      </c>
      <c r="I568" t="s">
        <v>65</v>
      </c>
      <c r="J568" t="s">
        <v>97</v>
      </c>
      <c r="K568" t="s">
        <v>97</v>
      </c>
      <c r="L568" t="s">
        <v>284</v>
      </c>
      <c r="M568">
        <v>1</v>
      </c>
      <c r="N568" t="str">
        <f t="shared" si="96"/>
        <v>3. 16+ anos</v>
      </c>
      <c r="O568" t="str">
        <f t="shared" si="97"/>
        <v>2. 20 a 49</v>
      </c>
      <c r="P568" t="str">
        <f t="shared" si="98"/>
        <v>1. 1 a 2</v>
      </c>
      <c r="Q568">
        <f t="shared" si="99"/>
        <v>0</v>
      </c>
      <c r="R568">
        <f t="shared" si="100"/>
        <v>0</v>
      </c>
      <c r="S568">
        <f t="shared" si="101"/>
        <v>0</v>
      </c>
      <c r="V568" s="18">
        <f t="shared" si="102"/>
        <v>6.8273092369477914E-2</v>
      </c>
      <c r="W568" s="18">
        <f t="shared" si="103"/>
        <v>8.6792452830188674E-2</v>
      </c>
      <c r="X568" s="18">
        <f t="shared" si="104"/>
        <v>0.25294117647058822</v>
      </c>
      <c r="Y568" s="18">
        <f t="shared" si="105"/>
        <v>0.39751552795031053</v>
      </c>
      <c r="Z568" s="18">
        <f t="shared" si="106"/>
        <v>0.56634304207119746</v>
      </c>
      <c r="AA568" s="10">
        <f t="shared" si="107"/>
        <v>0.27437305829999997</v>
      </c>
      <c r="AB568" t="str">
        <f>IF(AA568&gt;=Como_Avaliar!$B$15,"Alta",IF(AA568&gt;=Como_Avaliar!$B$16,"Média","Baixa"))</f>
        <v>Média</v>
      </c>
    </row>
    <row r="569" spans="1:28" x14ac:dyDescent="0.25">
      <c r="A569" t="s">
        <v>873</v>
      </c>
      <c r="B569" t="s">
        <v>334</v>
      </c>
      <c r="C569" t="s">
        <v>87</v>
      </c>
      <c r="D569" t="s">
        <v>56</v>
      </c>
      <c r="E569" t="s">
        <v>93</v>
      </c>
      <c r="F569">
        <v>8</v>
      </c>
      <c r="G569">
        <v>15</v>
      </c>
      <c r="H569">
        <v>1</v>
      </c>
      <c r="I569" t="s">
        <v>61</v>
      </c>
      <c r="J569" t="s">
        <v>97</v>
      </c>
      <c r="K569" t="s">
        <v>97</v>
      </c>
      <c r="L569" t="s">
        <v>289</v>
      </c>
      <c r="M569">
        <v>0</v>
      </c>
      <c r="N569" t="str">
        <f t="shared" si="96"/>
        <v>2. 8 a 15 anos</v>
      </c>
      <c r="O569" t="str">
        <f t="shared" si="97"/>
        <v>1. &lt; 20</v>
      </c>
      <c r="P569" t="str">
        <f t="shared" si="98"/>
        <v>1. 1 a 2</v>
      </c>
      <c r="Q569">
        <f t="shared" si="99"/>
        <v>1</v>
      </c>
      <c r="R569">
        <f t="shared" si="100"/>
        <v>0</v>
      </c>
      <c r="S569">
        <f t="shared" si="101"/>
        <v>1</v>
      </c>
      <c r="T569">
        <v>2</v>
      </c>
      <c r="U569" t="s">
        <v>139</v>
      </c>
      <c r="V569" s="18">
        <f t="shared" si="102"/>
        <v>6.8273092369477914E-2</v>
      </c>
      <c r="W569" s="18">
        <f t="shared" si="103"/>
        <v>8.6792452830188674E-2</v>
      </c>
      <c r="X569" s="18">
        <f t="shared" si="104"/>
        <v>0.10309278350515463</v>
      </c>
      <c r="Y569" s="18">
        <f t="shared" si="105"/>
        <v>0</v>
      </c>
      <c r="Z569" s="18">
        <f t="shared" si="106"/>
        <v>0.22302158273381295</v>
      </c>
      <c r="AA569" s="10">
        <f t="shared" si="107"/>
        <v>9.6235982299999995E-2</v>
      </c>
      <c r="AB569" t="str">
        <f>IF(AA569&gt;=Como_Avaliar!$B$15,"Alta",IF(AA569&gt;=Como_Avaliar!$B$16,"Média","Baixa"))</f>
        <v>Baixa</v>
      </c>
    </row>
    <row r="570" spans="1:28" x14ac:dyDescent="0.25">
      <c r="A570" t="s">
        <v>874</v>
      </c>
      <c r="B570" t="s">
        <v>283</v>
      </c>
      <c r="C570" t="s">
        <v>89</v>
      </c>
      <c r="D570" t="s">
        <v>56</v>
      </c>
      <c r="E570" t="s">
        <v>94</v>
      </c>
      <c r="F570">
        <v>13</v>
      </c>
      <c r="G570">
        <v>5</v>
      </c>
      <c r="H570">
        <v>1</v>
      </c>
      <c r="I570" t="s">
        <v>62</v>
      </c>
      <c r="J570" t="s">
        <v>98</v>
      </c>
      <c r="K570" t="s">
        <v>97</v>
      </c>
      <c r="L570" t="s">
        <v>322</v>
      </c>
      <c r="M570">
        <v>0</v>
      </c>
      <c r="N570" t="str">
        <f t="shared" si="96"/>
        <v>2. 8 a 15 anos</v>
      </c>
      <c r="O570" t="str">
        <f t="shared" si="97"/>
        <v>1. &lt; 20</v>
      </c>
      <c r="P570" t="str">
        <f t="shared" si="98"/>
        <v>1. 1 a 2</v>
      </c>
      <c r="Q570">
        <f t="shared" si="99"/>
        <v>0</v>
      </c>
      <c r="R570">
        <f t="shared" si="100"/>
        <v>0</v>
      </c>
      <c r="S570">
        <f t="shared" si="101"/>
        <v>0</v>
      </c>
      <c r="V570" s="18">
        <f t="shared" si="102"/>
        <v>6.8273092369477914E-2</v>
      </c>
      <c r="W570" s="18">
        <f t="shared" si="103"/>
        <v>8.6792452830188674E-2</v>
      </c>
      <c r="X570" s="18">
        <f t="shared" si="104"/>
        <v>0.10309278350515463</v>
      </c>
      <c r="Y570" s="18">
        <f t="shared" si="105"/>
        <v>0.37662337662337664</v>
      </c>
      <c r="Z570" s="18">
        <f t="shared" si="106"/>
        <v>0.22302158273381295</v>
      </c>
      <c r="AA570" s="10">
        <f t="shared" si="107"/>
        <v>0.1715606576</v>
      </c>
      <c r="AB570" t="str">
        <f>IF(AA570&gt;=Como_Avaliar!$B$15,"Alta",IF(AA570&gt;=Como_Avaliar!$B$16,"Média","Baixa"))</f>
        <v>Baixa</v>
      </c>
    </row>
    <row r="571" spans="1:28" x14ac:dyDescent="0.25">
      <c r="A571" t="s">
        <v>875</v>
      </c>
      <c r="B571" t="s">
        <v>327</v>
      </c>
      <c r="C571" t="s">
        <v>86</v>
      </c>
      <c r="D571" t="s">
        <v>56</v>
      </c>
      <c r="E571" t="s">
        <v>91</v>
      </c>
      <c r="F571">
        <v>21</v>
      </c>
      <c r="G571">
        <v>12</v>
      </c>
      <c r="H571">
        <v>1</v>
      </c>
      <c r="I571" t="s">
        <v>62</v>
      </c>
      <c r="J571" t="s">
        <v>97</v>
      </c>
      <c r="K571" t="s">
        <v>98</v>
      </c>
      <c r="L571" t="s">
        <v>298</v>
      </c>
      <c r="M571">
        <v>0</v>
      </c>
      <c r="N571" t="str">
        <f t="shared" si="96"/>
        <v>3. 16+ anos</v>
      </c>
      <c r="O571" t="str">
        <f t="shared" si="97"/>
        <v>1. &lt; 20</v>
      </c>
      <c r="P571" t="str">
        <f t="shared" si="98"/>
        <v>1. 1 a 2</v>
      </c>
      <c r="Q571">
        <f t="shared" si="99"/>
        <v>0</v>
      </c>
      <c r="R571">
        <f t="shared" si="100"/>
        <v>0</v>
      </c>
      <c r="S571">
        <f t="shared" si="101"/>
        <v>1</v>
      </c>
      <c r="T571">
        <v>1</v>
      </c>
      <c r="U571" t="s">
        <v>139</v>
      </c>
      <c r="V571" s="18">
        <f t="shared" si="102"/>
        <v>6.8273092369477914E-2</v>
      </c>
      <c r="W571" s="18">
        <f t="shared" si="103"/>
        <v>8.6792452830188674E-2</v>
      </c>
      <c r="X571" s="18">
        <f t="shared" si="104"/>
        <v>0.10309278350515463</v>
      </c>
      <c r="Y571" s="18">
        <f t="shared" si="105"/>
        <v>0.37662337662337664</v>
      </c>
      <c r="Z571" s="18">
        <f t="shared" si="106"/>
        <v>0.56634304207119746</v>
      </c>
      <c r="AA571" s="10">
        <f t="shared" si="107"/>
        <v>0.24022494950000001</v>
      </c>
      <c r="AB571" t="str">
        <f>IF(AA571&gt;=Como_Avaliar!$B$15,"Alta",IF(AA571&gt;=Como_Avaliar!$B$16,"Média","Baixa"))</f>
        <v>Média</v>
      </c>
    </row>
    <row r="572" spans="1:28" x14ac:dyDescent="0.25">
      <c r="A572" t="s">
        <v>876</v>
      </c>
      <c r="B572" t="s">
        <v>295</v>
      </c>
      <c r="C572" t="s">
        <v>84</v>
      </c>
      <c r="D572" t="s">
        <v>56</v>
      </c>
      <c r="E572" t="s">
        <v>91</v>
      </c>
      <c r="F572">
        <v>1</v>
      </c>
      <c r="G572">
        <v>8</v>
      </c>
      <c r="H572">
        <v>2</v>
      </c>
      <c r="I572" t="s">
        <v>65</v>
      </c>
      <c r="J572" t="s">
        <v>97</v>
      </c>
      <c r="K572" t="s">
        <v>98</v>
      </c>
      <c r="L572" t="s">
        <v>322</v>
      </c>
      <c r="M572">
        <v>0</v>
      </c>
      <c r="N572" t="str">
        <f t="shared" si="96"/>
        <v>1. &lt; 8 anos</v>
      </c>
      <c r="O572" t="str">
        <f t="shared" si="97"/>
        <v>1. &lt; 20</v>
      </c>
      <c r="P572" t="str">
        <f t="shared" si="98"/>
        <v>1. 1 a 2</v>
      </c>
      <c r="Q572">
        <f t="shared" si="99"/>
        <v>0</v>
      </c>
      <c r="R572">
        <f t="shared" si="100"/>
        <v>0</v>
      </c>
      <c r="S572">
        <f t="shared" si="101"/>
        <v>0</v>
      </c>
      <c r="V572" s="18">
        <f t="shared" si="102"/>
        <v>6.8273092369477914E-2</v>
      </c>
      <c r="W572" s="18">
        <f t="shared" si="103"/>
        <v>8.6792452830188674E-2</v>
      </c>
      <c r="X572" s="18">
        <f t="shared" si="104"/>
        <v>0.10309278350515463</v>
      </c>
      <c r="Y572" s="18">
        <f t="shared" si="105"/>
        <v>0.39751552795031053</v>
      </c>
      <c r="Z572" s="18">
        <f t="shared" si="106"/>
        <v>0.22368421052631579</v>
      </c>
      <c r="AA572" s="10">
        <f t="shared" si="107"/>
        <v>0.17587161339999999</v>
      </c>
      <c r="AB572" t="str">
        <f>IF(AA572&gt;=Como_Avaliar!$B$15,"Alta",IF(AA572&gt;=Como_Avaliar!$B$16,"Média","Baixa"))</f>
        <v>Baixa</v>
      </c>
    </row>
    <row r="573" spans="1:28" x14ac:dyDescent="0.25">
      <c r="A573" t="s">
        <v>877</v>
      </c>
      <c r="B573" t="s">
        <v>301</v>
      </c>
      <c r="C573" t="s">
        <v>88</v>
      </c>
      <c r="D573" t="s">
        <v>56</v>
      </c>
      <c r="E573" t="s">
        <v>90</v>
      </c>
      <c r="F573">
        <v>16</v>
      </c>
      <c r="G573">
        <v>21</v>
      </c>
      <c r="H573">
        <v>1</v>
      </c>
      <c r="I573" t="s">
        <v>62</v>
      </c>
      <c r="J573" t="s">
        <v>97</v>
      </c>
      <c r="K573" t="s">
        <v>98</v>
      </c>
      <c r="L573" t="s">
        <v>298</v>
      </c>
      <c r="M573">
        <v>0</v>
      </c>
      <c r="N573" t="str">
        <f t="shared" si="96"/>
        <v>3. 16+ anos</v>
      </c>
      <c r="O573" t="str">
        <f t="shared" si="97"/>
        <v>2. 20 a 49</v>
      </c>
      <c r="P573" t="str">
        <f t="shared" si="98"/>
        <v>1. 1 a 2</v>
      </c>
      <c r="Q573">
        <f t="shared" si="99"/>
        <v>0</v>
      </c>
      <c r="R573">
        <f t="shared" si="100"/>
        <v>0</v>
      </c>
      <c r="S573">
        <f t="shared" si="101"/>
        <v>1</v>
      </c>
      <c r="T573">
        <v>2</v>
      </c>
      <c r="U573" t="s">
        <v>139</v>
      </c>
      <c r="V573" s="18">
        <f t="shared" si="102"/>
        <v>6.8273092369477914E-2</v>
      </c>
      <c r="W573" s="18">
        <f t="shared" si="103"/>
        <v>8.6792452830188674E-2</v>
      </c>
      <c r="X573" s="18">
        <f t="shared" si="104"/>
        <v>0.25294117647058822</v>
      </c>
      <c r="Y573" s="18">
        <f t="shared" si="105"/>
        <v>0.37662337662337664</v>
      </c>
      <c r="Z573" s="18">
        <f t="shared" si="106"/>
        <v>0.56634304207119746</v>
      </c>
      <c r="AA573" s="10">
        <f t="shared" si="107"/>
        <v>0.2701946281</v>
      </c>
      <c r="AB573" t="str">
        <f>IF(AA573&gt;=Como_Avaliar!$B$15,"Alta",IF(AA573&gt;=Como_Avaliar!$B$16,"Média","Baixa"))</f>
        <v>Média</v>
      </c>
    </row>
    <row r="574" spans="1:28" x14ac:dyDescent="0.25">
      <c r="A574" t="s">
        <v>878</v>
      </c>
      <c r="B574" t="s">
        <v>292</v>
      </c>
      <c r="C574" t="s">
        <v>84</v>
      </c>
      <c r="D574" t="s">
        <v>59</v>
      </c>
      <c r="E574" t="s">
        <v>96</v>
      </c>
      <c r="F574">
        <v>29</v>
      </c>
      <c r="G574">
        <v>45</v>
      </c>
      <c r="H574">
        <v>7</v>
      </c>
      <c r="I574" t="s">
        <v>62</v>
      </c>
      <c r="J574" t="s">
        <v>97</v>
      </c>
      <c r="K574" t="s">
        <v>98</v>
      </c>
      <c r="L574" t="s">
        <v>289</v>
      </c>
      <c r="M574">
        <v>1</v>
      </c>
      <c r="N574" t="str">
        <f t="shared" si="96"/>
        <v>3. 16+ anos</v>
      </c>
      <c r="O574" t="str">
        <f t="shared" si="97"/>
        <v>2. 20 a 49</v>
      </c>
      <c r="P574" t="str">
        <f t="shared" si="98"/>
        <v>3. 6 a 15</v>
      </c>
      <c r="Q574">
        <f t="shared" si="99"/>
        <v>0</v>
      </c>
      <c r="R574">
        <f t="shared" si="100"/>
        <v>0</v>
      </c>
      <c r="S574">
        <f t="shared" si="101"/>
        <v>0</v>
      </c>
      <c r="V574" s="18">
        <f t="shared" si="102"/>
        <v>0.43835616438356162</v>
      </c>
      <c r="W574" s="18">
        <f t="shared" si="103"/>
        <v>0.55319148936170215</v>
      </c>
      <c r="X574" s="18">
        <f t="shared" si="104"/>
        <v>0.25294117647058822</v>
      </c>
      <c r="Y574" s="18">
        <f t="shared" si="105"/>
        <v>0.37662337662337664</v>
      </c>
      <c r="Z574" s="18">
        <f t="shared" si="106"/>
        <v>0.56634304207119746</v>
      </c>
      <c r="AA574" s="10">
        <f t="shared" si="107"/>
        <v>0.43749104979999998</v>
      </c>
      <c r="AB574" t="str">
        <f>IF(AA574&gt;=Como_Avaliar!$B$15,"Alta",IF(AA574&gt;=Como_Avaliar!$B$16,"Média","Baixa"))</f>
        <v>Média</v>
      </c>
    </row>
    <row r="575" spans="1:28" x14ac:dyDescent="0.25">
      <c r="A575" t="s">
        <v>879</v>
      </c>
      <c r="B575" t="s">
        <v>334</v>
      </c>
      <c r="C575" t="s">
        <v>87</v>
      </c>
      <c r="D575" t="s">
        <v>56</v>
      </c>
      <c r="E575" t="s">
        <v>90</v>
      </c>
      <c r="F575">
        <v>7</v>
      </c>
      <c r="G575">
        <v>21</v>
      </c>
      <c r="H575">
        <v>1</v>
      </c>
      <c r="I575" t="s">
        <v>63</v>
      </c>
      <c r="J575" t="s">
        <v>98</v>
      </c>
      <c r="K575" t="s">
        <v>97</v>
      </c>
      <c r="L575" t="s">
        <v>289</v>
      </c>
      <c r="M575">
        <v>0</v>
      </c>
      <c r="N575" t="str">
        <f t="shared" si="96"/>
        <v>1. &lt; 8 anos</v>
      </c>
      <c r="O575" t="str">
        <f t="shared" si="97"/>
        <v>2. 20 a 49</v>
      </c>
      <c r="P575" t="str">
        <f t="shared" si="98"/>
        <v>1. 1 a 2</v>
      </c>
      <c r="Q575">
        <f t="shared" si="99"/>
        <v>1</v>
      </c>
      <c r="R575">
        <f t="shared" si="100"/>
        <v>0</v>
      </c>
      <c r="S575">
        <f t="shared" si="101"/>
        <v>1</v>
      </c>
      <c r="T575">
        <v>2</v>
      </c>
      <c r="U575" t="s">
        <v>139</v>
      </c>
      <c r="V575" s="18">
        <f t="shared" si="102"/>
        <v>6.8273092369477914E-2</v>
      </c>
      <c r="W575" s="18">
        <f t="shared" si="103"/>
        <v>8.6792452830188674E-2</v>
      </c>
      <c r="X575" s="18">
        <f t="shared" si="104"/>
        <v>0.25294117647058822</v>
      </c>
      <c r="Y575" s="18">
        <f t="shared" si="105"/>
        <v>6.5217391304347824E-2</v>
      </c>
      <c r="Z575" s="18">
        <f t="shared" si="106"/>
        <v>0.22368421052631579</v>
      </c>
      <c r="AA575" s="10">
        <f t="shared" si="107"/>
        <v>0.13938166469999999</v>
      </c>
      <c r="AB575" t="str">
        <f>IF(AA575&gt;=Como_Avaliar!$B$15,"Alta",IF(AA575&gt;=Como_Avaliar!$B$16,"Média","Baixa"))</f>
        <v>Baixa</v>
      </c>
    </row>
    <row r="576" spans="1:28" x14ac:dyDescent="0.25">
      <c r="A576" t="s">
        <v>880</v>
      </c>
      <c r="B576" t="s">
        <v>288</v>
      </c>
      <c r="C576" t="s">
        <v>88</v>
      </c>
      <c r="D576" t="s">
        <v>56</v>
      </c>
      <c r="E576" t="s">
        <v>92</v>
      </c>
      <c r="F576">
        <v>5</v>
      </c>
      <c r="G576">
        <v>15</v>
      </c>
      <c r="H576">
        <v>2</v>
      </c>
      <c r="I576" t="s">
        <v>64</v>
      </c>
      <c r="J576" t="s">
        <v>98</v>
      </c>
      <c r="K576" t="s">
        <v>97</v>
      </c>
      <c r="L576" t="s">
        <v>329</v>
      </c>
      <c r="M576">
        <v>0</v>
      </c>
      <c r="N576" t="str">
        <f t="shared" si="96"/>
        <v>1. &lt; 8 anos</v>
      </c>
      <c r="O576" t="str">
        <f t="shared" si="97"/>
        <v>1. &lt; 20</v>
      </c>
      <c r="P576" t="str">
        <f t="shared" si="98"/>
        <v>1. 1 a 2</v>
      </c>
      <c r="Q576">
        <f t="shared" si="99"/>
        <v>1</v>
      </c>
      <c r="R576">
        <f t="shared" si="100"/>
        <v>0</v>
      </c>
      <c r="S576">
        <f t="shared" si="101"/>
        <v>1</v>
      </c>
      <c r="T576">
        <v>2</v>
      </c>
      <c r="U576" t="s">
        <v>139</v>
      </c>
      <c r="V576" s="18">
        <f t="shared" si="102"/>
        <v>6.8273092369477914E-2</v>
      </c>
      <c r="W576" s="18">
        <f t="shared" si="103"/>
        <v>8.6792452830188674E-2</v>
      </c>
      <c r="X576" s="18">
        <f t="shared" si="104"/>
        <v>0.10309278350515463</v>
      </c>
      <c r="Y576" s="18">
        <f t="shared" si="105"/>
        <v>0.15625</v>
      </c>
      <c r="Z576" s="18">
        <f t="shared" si="106"/>
        <v>0.22368421052631579</v>
      </c>
      <c r="AA576" s="10">
        <f t="shared" si="107"/>
        <v>0.1276185078</v>
      </c>
      <c r="AB576" t="str">
        <f>IF(AA576&gt;=Como_Avaliar!$B$15,"Alta",IF(AA576&gt;=Como_Avaliar!$B$16,"Média","Baixa"))</f>
        <v>Baixa</v>
      </c>
    </row>
    <row r="577" spans="1:28" x14ac:dyDescent="0.25">
      <c r="A577" t="s">
        <v>881</v>
      </c>
      <c r="B577" t="s">
        <v>314</v>
      </c>
      <c r="C577" t="s">
        <v>84</v>
      </c>
      <c r="D577" t="s">
        <v>59</v>
      </c>
      <c r="E577" t="s">
        <v>92</v>
      </c>
      <c r="F577">
        <v>22</v>
      </c>
      <c r="G577">
        <v>57</v>
      </c>
      <c r="H577">
        <v>7</v>
      </c>
      <c r="I577" t="s">
        <v>62</v>
      </c>
      <c r="J577" t="s">
        <v>98</v>
      </c>
      <c r="K577" t="s">
        <v>97</v>
      </c>
      <c r="L577" t="s">
        <v>289</v>
      </c>
      <c r="M577">
        <v>1</v>
      </c>
      <c r="N577" t="str">
        <f t="shared" si="96"/>
        <v>3. 16+ anos</v>
      </c>
      <c r="O577" t="str">
        <f t="shared" si="97"/>
        <v>3. 50 a 149</v>
      </c>
      <c r="P577" t="str">
        <f t="shared" si="98"/>
        <v>3. 6 a 15</v>
      </c>
      <c r="Q577">
        <f t="shared" si="99"/>
        <v>0</v>
      </c>
      <c r="R577">
        <f t="shared" si="100"/>
        <v>1</v>
      </c>
      <c r="S577">
        <f t="shared" si="101"/>
        <v>0</v>
      </c>
      <c r="V577" s="18">
        <f t="shared" si="102"/>
        <v>0.43835616438356162</v>
      </c>
      <c r="W577" s="18">
        <f t="shared" si="103"/>
        <v>0.55319148936170215</v>
      </c>
      <c r="X577" s="18">
        <f t="shared" si="104"/>
        <v>0.58992805755395683</v>
      </c>
      <c r="Y577" s="18">
        <f t="shared" si="105"/>
        <v>0.37662337662337664</v>
      </c>
      <c r="Z577" s="18">
        <f t="shared" si="106"/>
        <v>0.56634304207119746</v>
      </c>
      <c r="AA577" s="10">
        <f t="shared" si="107"/>
        <v>0.50488842599999995</v>
      </c>
      <c r="AB577" t="str">
        <f>IF(AA577&gt;=Como_Avaliar!$B$15,"Alta",IF(AA577&gt;=Como_Avaliar!$B$16,"Média","Baixa"))</f>
        <v>Alta</v>
      </c>
    </row>
    <row r="578" spans="1:28" x14ac:dyDescent="0.25">
      <c r="A578" t="s">
        <v>882</v>
      </c>
      <c r="B578" t="s">
        <v>305</v>
      </c>
      <c r="C578" t="s">
        <v>89</v>
      </c>
      <c r="D578" t="s">
        <v>56</v>
      </c>
      <c r="E578" t="s">
        <v>96</v>
      </c>
      <c r="F578">
        <v>29</v>
      </c>
      <c r="G578">
        <v>15</v>
      </c>
      <c r="H578">
        <v>2</v>
      </c>
      <c r="I578" t="s">
        <v>62</v>
      </c>
      <c r="J578" t="s">
        <v>97</v>
      </c>
      <c r="K578" t="s">
        <v>98</v>
      </c>
      <c r="L578" t="s">
        <v>284</v>
      </c>
      <c r="M578">
        <v>0</v>
      </c>
      <c r="N578" t="str">
        <f t="shared" ref="N578:N601" si="108">IF(F578&lt;8,"1. &lt; 8 anos",IF(F578&lt;16,"2. 8 a 15 anos","3. 16+ anos"))</f>
        <v>3. 16+ anos</v>
      </c>
      <c r="O578" t="str">
        <f t="shared" ref="O578:O601" si="109">IF(G578&lt;20,"1. &lt; 20",IF(G578&lt;50,"2. 20 a 49",IF(G578&lt;150,"3. 50 a 149","4. 150+")))</f>
        <v>1. &lt; 20</v>
      </c>
      <c r="P578" t="str">
        <f t="shared" ref="P578:P601" si="110">IF(H578&lt;=2,"1. 1 a 2",IF(H578&lt;=5,"2. 3 a 5",IF(H578&lt;=15,"3. 6 a 15","4. 16+")))</f>
        <v>1. 1 a 2</v>
      </c>
      <c r="Q578">
        <f t="shared" ref="Q578:Q601" si="111">IF(OR(I578="Nenhum",I578="Planilha",I578="ContaAzul"),1,0)</f>
        <v>0</v>
      </c>
      <c r="R578">
        <f t="shared" ref="R578:R641" si="112">IF(AND(G578&gt;=50,H578&gt;=6,Q578=0),1,0)</f>
        <v>0</v>
      </c>
      <c r="S578">
        <f t="shared" ref="S578:S601" si="113">IF(AND(L578&lt;&gt;"Cliente Ativo",M578=0),1,0)</f>
        <v>1</v>
      </c>
      <c r="T578">
        <v>4</v>
      </c>
      <c r="U578" t="s">
        <v>137</v>
      </c>
      <c r="V578" s="18">
        <f t="shared" ref="V578:V601" si="114">AVERAGEIF($D$2:$D$601,D578,$M$2:$M$601)</f>
        <v>6.8273092369477914E-2</v>
      </c>
      <c r="W578" s="18">
        <f t="shared" ref="W578:W601" si="115">AVERAGEIF($P$2:$P$601,P578,$M$2:$M$601)</f>
        <v>8.6792452830188674E-2</v>
      </c>
      <c r="X578" s="18">
        <f t="shared" ref="X578:X601" si="116">AVERAGEIF($O$2:$O$601,O578,$M$2:$M$601)</f>
        <v>0.10309278350515463</v>
      </c>
      <c r="Y578" s="18">
        <f t="shared" ref="Y578:Y601" si="117">AVERAGEIF($I$2:$I$601,I578,$M$2:$M$601)</f>
        <v>0.37662337662337664</v>
      </c>
      <c r="Z578" s="18">
        <f t="shared" ref="Z578:Z601" si="118">AVERAGEIF($N$2:$N$601,N578,$M$2:$M$601)</f>
        <v>0.56634304207119746</v>
      </c>
      <c r="AA578" s="10">
        <f t="shared" ref="AA578:AA641" si="119">ROUND(AVERAGE(V578:Z578),10)</f>
        <v>0.24022494950000001</v>
      </c>
      <c r="AB578" t="str">
        <f>IF(AA578&gt;=Como_Avaliar!$B$15,"Alta",IF(AA578&gt;=Como_Avaliar!$B$16,"Média","Baixa"))</f>
        <v>Média</v>
      </c>
    </row>
    <row r="579" spans="1:28" x14ac:dyDescent="0.25">
      <c r="A579" t="s">
        <v>883</v>
      </c>
      <c r="B579" t="s">
        <v>305</v>
      </c>
      <c r="C579" t="s">
        <v>89</v>
      </c>
      <c r="D579" t="s">
        <v>56</v>
      </c>
      <c r="E579" t="s">
        <v>95</v>
      </c>
      <c r="F579">
        <v>23</v>
      </c>
      <c r="G579">
        <v>7</v>
      </c>
      <c r="H579">
        <v>1</v>
      </c>
      <c r="I579" t="s">
        <v>63</v>
      </c>
      <c r="J579" t="s">
        <v>97</v>
      </c>
      <c r="K579" t="s">
        <v>97</v>
      </c>
      <c r="L579" t="s">
        <v>284</v>
      </c>
      <c r="M579">
        <v>1</v>
      </c>
      <c r="N579" t="str">
        <f t="shared" si="108"/>
        <v>3. 16+ anos</v>
      </c>
      <c r="O579" t="str">
        <f t="shared" si="109"/>
        <v>1. &lt; 20</v>
      </c>
      <c r="P579" t="str">
        <f t="shared" si="110"/>
        <v>1. 1 a 2</v>
      </c>
      <c r="Q579">
        <f t="shared" si="111"/>
        <v>1</v>
      </c>
      <c r="R579">
        <f t="shared" si="112"/>
        <v>0</v>
      </c>
      <c r="S579">
        <f t="shared" si="113"/>
        <v>0</v>
      </c>
      <c r="V579" s="18">
        <f t="shared" si="114"/>
        <v>6.8273092369477914E-2</v>
      </c>
      <c r="W579" s="18">
        <f t="shared" si="115"/>
        <v>8.6792452830188674E-2</v>
      </c>
      <c r="X579" s="18">
        <f t="shared" si="116"/>
        <v>0.10309278350515463</v>
      </c>
      <c r="Y579" s="18">
        <f t="shared" si="117"/>
        <v>6.5217391304347824E-2</v>
      </c>
      <c r="Z579" s="18">
        <f t="shared" si="118"/>
        <v>0.56634304207119746</v>
      </c>
      <c r="AA579" s="10">
        <f t="shared" si="119"/>
        <v>0.17794375239999999</v>
      </c>
      <c r="AB579" t="str">
        <f>IF(AA579&gt;=Como_Avaliar!$B$15,"Alta",IF(AA579&gt;=Como_Avaliar!$B$16,"Média","Baixa"))</f>
        <v>Baixa</v>
      </c>
    </row>
    <row r="580" spans="1:28" x14ac:dyDescent="0.25">
      <c r="A580" t="s">
        <v>884</v>
      </c>
      <c r="B580" t="s">
        <v>301</v>
      </c>
      <c r="C580" t="s">
        <v>88</v>
      </c>
      <c r="D580" t="s">
        <v>56</v>
      </c>
      <c r="E580" t="s">
        <v>93</v>
      </c>
      <c r="F580">
        <v>3</v>
      </c>
      <c r="G580">
        <v>25</v>
      </c>
      <c r="H580">
        <v>2</v>
      </c>
      <c r="I580" t="s">
        <v>65</v>
      </c>
      <c r="J580" t="s">
        <v>97</v>
      </c>
      <c r="K580" t="s">
        <v>98</v>
      </c>
      <c r="L580" t="s">
        <v>284</v>
      </c>
      <c r="M580">
        <v>0</v>
      </c>
      <c r="N580" t="str">
        <f t="shared" si="108"/>
        <v>1. &lt; 8 anos</v>
      </c>
      <c r="O580" t="str">
        <f t="shared" si="109"/>
        <v>2. 20 a 49</v>
      </c>
      <c r="P580" t="str">
        <f t="shared" si="110"/>
        <v>1. 1 a 2</v>
      </c>
      <c r="Q580">
        <f t="shared" si="111"/>
        <v>0</v>
      </c>
      <c r="R580">
        <f t="shared" si="112"/>
        <v>0</v>
      </c>
      <c r="S580">
        <f t="shared" si="113"/>
        <v>1</v>
      </c>
      <c r="T580">
        <v>3</v>
      </c>
      <c r="U580" t="s">
        <v>138</v>
      </c>
      <c r="V580" s="18">
        <f t="shared" si="114"/>
        <v>6.8273092369477914E-2</v>
      </c>
      <c r="W580" s="18">
        <f t="shared" si="115"/>
        <v>8.6792452830188674E-2</v>
      </c>
      <c r="X580" s="18">
        <f t="shared" si="116"/>
        <v>0.25294117647058822</v>
      </c>
      <c r="Y580" s="18">
        <f t="shared" si="117"/>
        <v>0.39751552795031053</v>
      </c>
      <c r="Z580" s="18">
        <f t="shared" si="118"/>
        <v>0.22368421052631579</v>
      </c>
      <c r="AA580" s="10">
        <f t="shared" si="119"/>
        <v>0.20584129200000001</v>
      </c>
      <c r="AB580" t="str">
        <f>IF(AA580&gt;=Como_Avaliar!$B$15,"Alta",IF(AA580&gt;=Como_Avaliar!$B$16,"Média","Baixa"))</f>
        <v>Baixa</v>
      </c>
    </row>
    <row r="581" spans="1:28" x14ac:dyDescent="0.25">
      <c r="A581" t="s">
        <v>885</v>
      </c>
      <c r="B581" t="s">
        <v>292</v>
      </c>
      <c r="C581" t="s">
        <v>84</v>
      </c>
      <c r="D581" t="s">
        <v>59</v>
      </c>
      <c r="E581" t="s">
        <v>94</v>
      </c>
      <c r="F581">
        <v>12</v>
      </c>
      <c r="G581">
        <v>25</v>
      </c>
      <c r="H581">
        <v>3</v>
      </c>
      <c r="I581" t="s">
        <v>68</v>
      </c>
      <c r="J581" t="s">
        <v>97</v>
      </c>
      <c r="K581" t="s">
        <v>97</v>
      </c>
      <c r="L581" t="s">
        <v>284</v>
      </c>
      <c r="M581">
        <v>0</v>
      </c>
      <c r="N581" t="str">
        <f t="shared" si="108"/>
        <v>2. 8 a 15 anos</v>
      </c>
      <c r="O581" t="str">
        <f t="shared" si="109"/>
        <v>2. 20 a 49</v>
      </c>
      <c r="P581" t="str">
        <f t="shared" si="110"/>
        <v>2. 3 a 5</v>
      </c>
      <c r="Q581">
        <f t="shared" si="111"/>
        <v>0</v>
      </c>
      <c r="R581">
        <f t="shared" si="112"/>
        <v>0</v>
      </c>
      <c r="S581">
        <f t="shared" si="113"/>
        <v>1</v>
      </c>
      <c r="T581">
        <v>3</v>
      </c>
      <c r="U581" t="s">
        <v>138</v>
      </c>
      <c r="V581" s="18">
        <f t="shared" si="114"/>
        <v>0.43835616438356162</v>
      </c>
      <c r="W581" s="18">
        <f t="shared" si="115"/>
        <v>0.38095238095238093</v>
      </c>
      <c r="X581" s="18">
        <f t="shared" si="116"/>
        <v>0.25294117647058822</v>
      </c>
      <c r="Y581" s="18">
        <f t="shared" si="117"/>
        <v>0.58333333333333337</v>
      </c>
      <c r="Z581" s="18">
        <f t="shared" si="118"/>
        <v>0.22302158273381295</v>
      </c>
      <c r="AA581" s="10">
        <f t="shared" si="119"/>
        <v>0.37572092759999998</v>
      </c>
      <c r="AB581" t="str">
        <f>IF(AA581&gt;=Como_Avaliar!$B$15,"Alta",IF(AA581&gt;=Como_Avaliar!$B$16,"Média","Baixa"))</f>
        <v>Média</v>
      </c>
    </row>
    <row r="582" spans="1:28" x14ac:dyDescent="0.25">
      <c r="A582" t="s">
        <v>886</v>
      </c>
      <c r="B582" t="s">
        <v>288</v>
      </c>
      <c r="C582" t="s">
        <v>88</v>
      </c>
      <c r="D582" t="s">
        <v>59</v>
      </c>
      <c r="E582" t="s">
        <v>90</v>
      </c>
      <c r="F582">
        <v>26</v>
      </c>
      <c r="G582">
        <v>79</v>
      </c>
      <c r="H582">
        <v>10</v>
      </c>
      <c r="I582" t="s">
        <v>65</v>
      </c>
      <c r="J582" t="s">
        <v>97</v>
      </c>
      <c r="K582" t="s">
        <v>98</v>
      </c>
      <c r="L582" t="s">
        <v>284</v>
      </c>
      <c r="M582">
        <v>1</v>
      </c>
      <c r="N582" t="str">
        <f t="shared" si="108"/>
        <v>3. 16+ anos</v>
      </c>
      <c r="O582" t="str">
        <f t="shared" si="109"/>
        <v>3. 50 a 149</v>
      </c>
      <c r="P582" t="str">
        <f t="shared" si="110"/>
        <v>3. 6 a 15</v>
      </c>
      <c r="Q582">
        <f t="shared" si="111"/>
        <v>0</v>
      </c>
      <c r="R582">
        <f t="shared" si="112"/>
        <v>1</v>
      </c>
      <c r="S582">
        <f t="shared" si="113"/>
        <v>0</v>
      </c>
      <c r="V582" s="18">
        <f t="shared" si="114"/>
        <v>0.43835616438356162</v>
      </c>
      <c r="W582" s="18">
        <f t="shared" si="115"/>
        <v>0.55319148936170215</v>
      </c>
      <c r="X582" s="18">
        <f t="shared" si="116"/>
        <v>0.58992805755395683</v>
      </c>
      <c r="Y582" s="18">
        <f t="shared" si="117"/>
        <v>0.39751552795031053</v>
      </c>
      <c r="Z582" s="18">
        <f t="shared" si="118"/>
        <v>0.56634304207119746</v>
      </c>
      <c r="AA582" s="10">
        <f t="shared" si="119"/>
        <v>0.50906685630000004</v>
      </c>
      <c r="AB582" t="str">
        <f>IF(AA582&gt;=Como_Avaliar!$B$15,"Alta",IF(AA582&gt;=Como_Avaliar!$B$16,"Média","Baixa"))</f>
        <v>Alta</v>
      </c>
    </row>
    <row r="583" spans="1:28" x14ac:dyDescent="0.25">
      <c r="A583" t="s">
        <v>887</v>
      </c>
      <c r="B583" t="s">
        <v>327</v>
      </c>
      <c r="C583" t="s">
        <v>86</v>
      </c>
      <c r="D583" t="s">
        <v>58</v>
      </c>
      <c r="E583" t="s">
        <v>96</v>
      </c>
      <c r="F583">
        <v>16</v>
      </c>
      <c r="G583">
        <v>250</v>
      </c>
      <c r="H583">
        <v>29</v>
      </c>
      <c r="I583" t="s">
        <v>66</v>
      </c>
      <c r="J583" t="s">
        <v>97</v>
      </c>
      <c r="K583" t="s">
        <v>98</v>
      </c>
      <c r="L583" t="s">
        <v>298</v>
      </c>
      <c r="M583">
        <v>1</v>
      </c>
      <c r="N583" t="str">
        <f t="shared" si="108"/>
        <v>3. 16+ anos</v>
      </c>
      <c r="O583" t="str">
        <f t="shared" si="109"/>
        <v>4. 150+</v>
      </c>
      <c r="P583" t="str">
        <f t="shared" si="110"/>
        <v>4. 16+</v>
      </c>
      <c r="Q583">
        <f t="shared" si="111"/>
        <v>0</v>
      </c>
      <c r="R583">
        <f t="shared" si="112"/>
        <v>1</v>
      </c>
      <c r="S583">
        <f t="shared" si="113"/>
        <v>0</v>
      </c>
      <c r="V583" s="18">
        <f t="shared" si="114"/>
        <v>0.93975903614457834</v>
      </c>
      <c r="W583" s="18">
        <f t="shared" si="115"/>
        <v>0.97272727272727277</v>
      </c>
      <c r="X583" s="18">
        <f t="shared" si="116"/>
        <v>0.97938144329896903</v>
      </c>
      <c r="Y583" s="18">
        <f t="shared" si="117"/>
        <v>1</v>
      </c>
      <c r="Z583" s="18">
        <f t="shared" si="118"/>
        <v>0.56634304207119746</v>
      </c>
      <c r="AA583" s="10">
        <f t="shared" si="119"/>
        <v>0.89164215879999997</v>
      </c>
      <c r="AB583" t="str">
        <f>IF(AA583&gt;=Como_Avaliar!$B$15,"Alta",IF(AA583&gt;=Como_Avaliar!$B$16,"Média","Baixa"))</f>
        <v>Alta</v>
      </c>
    </row>
    <row r="584" spans="1:28" x14ac:dyDescent="0.25">
      <c r="A584" t="s">
        <v>888</v>
      </c>
      <c r="B584" t="s">
        <v>327</v>
      </c>
      <c r="C584" t="s">
        <v>86</v>
      </c>
      <c r="D584" t="s">
        <v>59</v>
      </c>
      <c r="E584" t="s">
        <v>91</v>
      </c>
      <c r="F584">
        <v>19</v>
      </c>
      <c r="G584">
        <v>59</v>
      </c>
      <c r="H584">
        <v>2</v>
      </c>
      <c r="I584" t="s">
        <v>65</v>
      </c>
      <c r="J584" t="s">
        <v>98</v>
      </c>
      <c r="K584" t="s">
        <v>97</v>
      </c>
      <c r="L584" t="s">
        <v>322</v>
      </c>
      <c r="M584">
        <v>0</v>
      </c>
      <c r="N584" t="str">
        <f t="shared" si="108"/>
        <v>3. 16+ anos</v>
      </c>
      <c r="O584" t="str">
        <f t="shared" si="109"/>
        <v>3. 50 a 149</v>
      </c>
      <c r="P584" t="str">
        <f t="shared" si="110"/>
        <v>1. 1 a 2</v>
      </c>
      <c r="Q584">
        <f t="shared" si="111"/>
        <v>0</v>
      </c>
      <c r="R584">
        <f t="shared" si="112"/>
        <v>0</v>
      </c>
      <c r="S584">
        <f t="shared" si="113"/>
        <v>0</v>
      </c>
      <c r="V584" s="18">
        <f t="shared" si="114"/>
        <v>0.43835616438356162</v>
      </c>
      <c r="W584" s="18">
        <f t="shared" si="115"/>
        <v>8.6792452830188674E-2</v>
      </c>
      <c r="X584" s="18">
        <f t="shared" si="116"/>
        <v>0.58992805755395683</v>
      </c>
      <c r="Y584" s="18">
        <f t="shared" si="117"/>
        <v>0.39751552795031053</v>
      </c>
      <c r="Z584" s="18">
        <f t="shared" si="118"/>
        <v>0.56634304207119746</v>
      </c>
      <c r="AA584" s="10">
        <f t="shared" si="119"/>
        <v>0.41578704900000002</v>
      </c>
      <c r="AB584" t="str">
        <f>IF(AA584&gt;=Como_Avaliar!$B$15,"Alta",IF(AA584&gt;=Como_Avaliar!$B$16,"Média","Baixa"))</f>
        <v>Média</v>
      </c>
    </row>
    <row r="585" spans="1:28" x14ac:dyDescent="0.25">
      <c r="A585" t="s">
        <v>889</v>
      </c>
      <c r="B585" t="s">
        <v>286</v>
      </c>
      <c r="C585" t="s">
        <v>88</v>
      </c>
      <c r="D585" t="s">
        <v>59</v>
      </c>
      <c r="E585" t="s">
        <v>95</v>
      </c>
      <c r="F585">
        <v>5</v>
      </c>
      <c r="G585">
        <v>21</v>
      </c>
      <c r="H585">
        <v>4</v>
      </c>
      <c r="I585" t="s">
        <v>68</v>
      </c>
      <c r="J585" t="s">
        <v>97</v>
      </c>
      <c r="K585" t="s">
        <v>97</v>
      </c>
      <c r="L585" t="s">
        <v>284</v>
      </c>
      <c r="M585">
        <v>0</v>
      </c>
      <c r="N585" t="str">
        <f t="shared" si="108"/>
        <v>1. &lt; 8 anos</v>
      </c>
      <c r="O585" t="str">
        <f t="shared" si="109"/>
        <v>2. 20 a 49</v>
      </c>
      <c r="P585" t="str">
        <f t="shared" si="110"/>
        <v>2. 3 a 5</v>
      </c>
      <c r="Q585">
        <f t="shared" si="111"/>
        <v>0</v>
      </c>
      <c r="R585">
        <f t="shared" si="112"/>
        <v>0</v>
      </c>
      <c r="S585">
        <f t="shared" si="113"/>
        <v>1</v>
      </c>
      <c r="T585">
        <v>2</v>
      </c>
      <c r="U585" t="s">
        <v>139</v>
      </c>
      <c r="V585" s="18">
        <f t="shared" si="114"/>
        <v>0.43835616438356162</v>
      </c>
      <c r="W585" s="18">
        <f t="shared" si="115"/>
        <v>0.38095238095238093</v>
      </c>
      <c r="X585" s="18">
        <f t="shared" si="116"/>
        <v>0.25294117647058822</v>
      </c>
      <c r="Y585" s="18">
        <f t="shared" si="117"/>
        <v>0.58333333333333337</v>
      </c>
      <c r="Z585" s="18">
        <f t="shared" si="118"/>
        <v>0.22368421052631579</v>
      </c>
      <c r="AA585" s="10">
        <f t="shared" si="119"/>
        <v>0.37585345310000001</v>
      </c>
      <c r="AB585" t="str">
        <f>IF(AA585&gt;=Como_Avaliar!$B$15,"Alta",IF(AA585&gt;=Como_Avaliar!$B$16,"Média","Baixa"))</f>
        <v>Média</v>
      </c>
    </row>
    <row r="586" spans="1:28" x14ac:dyDescent="0.25">
      <c r="A586" t="s">
        <v>890</v>
      </c>
      <c r="B586" t="s">
        <v>297</v>
      </c>
      <c r="C586" t="s">
        <v>86</v>
      </c>
      <c r="D586" t="s">
        <v>56</v>
      </c>
      <c r="E586" t="s">
        <v>92</v>
      </c>
      <c r="F586">
        <v>22</v>
      </c>
      <c r="G586">
        <v>6</v>
      </c>
      <c r="H586">
        <v>1</v>
      </c>
      <c r="I586" t="s">
        <v>62</v>
      </c>
      <c r="J586" t="s">
        <v>97</v>
      </c>
      <c r="K586" t="s">
        <v>97</v>
      </c>
      <c r="L586" t="s">
        <v>284</v>
      </c>
      <c r="M586">
        <v>0</v>
      </c>
      <c r="N586" t="str">
        <f t="shared" si="108"/>
        <v>3. 16+ anos</v>
      </c>
      <c r="O586" t="str">
        <f t="shared" si="109"/>
        <v>1. &lt; 20</v>
      </c>
      <c r="P586" t="str">
        <f t="shared" si="110"/>
        <v>1. 1 a 2</v>
      </c>
      <c r="Q586">
        <f t="shared" si="111"/>
        <v>0</v>
      </c>
      <c r="R586">
        <f t="shared" si="112"/>
        <v>0</v>
      </c>
      <c r="S586">
        <f t="shared" si="113"/>
        <v>1</v>
      </c>
      <c r="T586">
        <v>3</v>
      </c>
      <c r="U586" t="s">
        <v>138</v>
      </c>
      <c r="V586" s="18">
        <f t="shared" si="114"/>
        <v>6.8273092369477914E-2</v>
      </c>
      <c r="W586" s="18">
        <f t="shared" si="115"/>
        <v>8.6792452830188674E-2</v>
      </c>
      <c r="X586" s="18">
        <f t="shared" si="116"/>
        <v>0.10309278350515463</v>
      </c>
      <c r="Y586" s="18">
        <f t="shared" si="117"/>
        <v>0.37662337662337664</v>
      </c>
      <c r="Z586" s="18">
        <f t="shared" si="118"/>
        <v>0.56634304207119746</v>
      </c>
      <c r="AA586" s="10">
        <f t="shared" si="119"/>
        <v>0.24022494950000001</v>
      </c>
      <c r="AB586" t="str">
        <f>IF(AA586&gt;=Como_Avaliar!$B$15,"Alta",IF(AA586&gt;=Como_Avaliar!$B$16,"Média","Baixa"))</f>
        <v>Média</v>
      </c>
    </row>
    <row r="587" spans="1:28" x14ac:dyDescent="0.25">
      <c r="A587" t="s">
        <v>891</v>
      </c>
      <c r="B587" t="s">
        <v>288</v>
      </c>
      <c r="C587" t="s">
        <v>88</v>
      </c>
      <c r="D587" t="s">
        <v>56</v>
      </c>
      <c r="E587" t="s">
        <v>94</v>
      </c>
      <c r="F587">
        <v>25</v>
      </c>
      <c r="G587">
        <v>16</v>
      </c>
      <c r="H587">
        <v>1</v>
      </c>
      <c r="I587" t="s">
        <v>65</v>
      </c>
      <c r="J587" t="s">
        <v>97</v>
      </c>
      <c r="K587" t="s">
        <v>98</v>
      </c>
      <c r="L587" t="s">
        <v>289</v>
      </c>
      <c r="M587">
        <v>0</v>
      </c>
      <c r="N587" t="str">
        <f t="shared" si="108"/>
        <v>3. 16+ anos</v>
      </c>
      <c r="O587" t="str">
        <f t="shared" si="109"/>
        <v>1. &lt; 20</v>
      </c>
      <c r="P587" t="str">
        <f t="shared" si="110"/>
        <v>1. 1 a 2</v>
      </c>
      <c r="Q587">
        <f t="shared" si="111"/>
        <v>0</v>
      </c>
      <c r="R587">
        <f t="shared" si="112"/>
        <v>0</v>
      </c>
      <c r="S587">
        <f t="shared" si="113"/>
        <v>1</v>
      </c>
      <c r="T587">
        <v>2</v>
      </c>
      <c r="U587" t="s">
        <v>139</v>
      </c>
      <c r="V587" s="18">
        <f t="shared" si="114"/>
        <v>6.8273092369477914E-2</v>
      </c>
      <c r="W587" s="18">
        <f t="shared" si="115"/>
        <v>8.6792452830188674E-2</v>
      </c>
      <c r="X587" s="18">
        <f t="shared" si="116"/>
        <v>0.10309278350515463</v>
      </c>
      <c r="Y587" s="18">
        <f t="shared" si="117"/>
        <v>0.39751552795031053</v>
      </c>
      <c r="Z587" s="18">
        <f t="shared" si="118"/>
        <v>0.56634304207119746</v>
      </c>
      <c r="AA587" s="10">
        <f t="shared" si="119"/>
        <v>0.24440337970000001</v>
      </c>
      <c r="AB587" t="str">
        <f>IF(AA587&gt;=Como_Avaliar!$B$15,"Alta",IF(AA587&gt;=Como_Avaliar!$B$16,"Média","Baixa"))</f>
        <v>Média</v>
      </c>
    </row>
    <row r="588" spans="1:28" x14ac:dyDescent="0.25">
      <c r="A588" t="s">
        <v>892</v>
      </c>
      <c r="B588" t="s">
        <v>381</v>
      </c>
      <c r="C588" t="s">
        <v>88</v>
      </c>
      <c r="D588" t="s">
        <v>56</v>
      </c>
      <c r="E588" t="s">
        <v>93</v>
      </c>
      <c r="F588">
        <v>29</v>
      </c>
      <c r="G588">
        <v>10</v>
      </c>
      <c r="H588">
        <v>2</v>
      </c>
      <c r="I588" t="s">
        <v>63</v>
      </c>
      <c r="J588" t="s">
        <v>97</v>
      </c>
      <c r="K588" t="s">
        <v>98</v>
      </c>
      <c r="L588" t="s">
        <v>284</v>
      </c>
      <c r="M588">
        <v>0</v>
      </c>
      <c r="N588" t="str">
        <f t="shared" si="108"/>
        <v>3. 16+ anos</v>
      </c>
      <c r="O588" t="str">
        <f t="shared" si="109"/>
        <v>1. &lt; 20</v>
      </c>
      <c r="P588" t="str">
        <f t="shared" si="110"/>
        <v>1. 1 a 2</v>
      </c>
      <c r="Q588">
        <f t="shared" si="111"/>
        <v>1</v>
      </c>
      <c r="R588">
        <f t="shared" si="112"/>
        <v>0</v>
      </c>
      <c r="S588">
        <f t="shared" si="113"/>
        <v>1</v>
      </c>
      <c r="T588">
        <v>1</v>
      </c>
      <c r="U588" t="s">
        <v>139</v>
      </c>
      <c r="V588" s="18">
        <f t="shared" si="114"/>
        <v>6.8273092369477914E-2</v>
      </c>
      <c r="W588" s="18">
        <f t="shared" si="115"/>
        <v>8.6792452830188674E-2</v>
      </c>
      <c r="X588" s="18">
        <f t="shared" si="116"/>
        <v>0.10309278350515463</v>
      </c>
      <c r="Y588" s="18">
        <f t="shared" si="117"/>
        <v>6.5217391304347824E-2</v>
      </c>
      <c r="Z588" s="18">
        <f t="shared" si="118"/>
        <v>0.56634304207119746</v>
      </c>
      <c r="AA588" s="10">
        <f t="shared" si="119"/>
        <v>0.17794375239999999</v>
      </c>
      <c r="AB588" t="str">
        <f>IF(AA588&gt;=Como_Avaliar!$B$15,"Alta",IF(AA588&gt;=Como_Avaliar!$B$16,"Média","Baixa"))</f>
        <v>Baixa</v>
      </c>
    </row>
    <row r="589" spans="1:28" x14ac:dyDescent="0.25">
      <c r="A589" t="s">
        <v>893</v>
      </c>
      <c r="B589" t="s">
        <v>283</v>
      </c>
      <c r="C589" t="s">
        <v>89</v>
      </c>
      <c r="D589" t="s">
        <v>57</v>
      </c>
      <c r="E589" t="s">
        <v>95</v>
      </c>
      <c r="F589">
        <v>14</v>
      </c>
      <c r="G589">
        <v>277</v>
      </c>
      <c r="H589">
        <v>33</v>
      </c>
      <c r="I589" t="s">
        <v>65</v>
      </c>
      <c r="J589" t="s">
        <v>98</v>
      </c>
      <c r="K589" t="s">
        <v>97</v>
      </c>
      <c r="L589" t="s">
        <v>298</v>
      </c>
      <c r="M589">
        <v>1</v>
      </c>
      <c r="N589" t="str">
        <f t="shared" si="108"/>
        <v>2. 8 a 15 anos</v>
      </c>
      <c r="O589" t="str">
        <f t="shared" si="109"/>
        <v>4. 150+</v>
      </c>
      <c r="P589" t="str">
        <f t="shared" si="110"/>
        <v>4. 16+</v>
      </c>
      <c r="Q589">
        <f t="shared" si="111"/>
        <v>0</v>
      </c>
      <c r="R589">
        <f t="shared" si="112"/>
        <v>1</v>
      </c>
      <c r="S589">
        <f t="shared" si="113"/>
        <v>0</v>
      </c>
      <c r="V589" s="18">
        <f t="shared" si="114"/>
        <v>1</v>
      </c>
      <c r="W589" s="18">
        <f t="shared" si="115"/>
        <v>0.97272727272727277</v>
      </c>
      <c r="X589" s="18">
        <f t="shared" si="116"/>
        <v>0.97938144329896903</v>
      </c>
      <c r="Y589" s="18">
        <f t="shared" si="117"/>
        <v>0.39751552795031053</v>
      </c>
      <c r="Z589" s="18">
        <f t="shared" si="118"/>
        <v>0.22302158273381295</v>
      </c>
      <c r="AA589" s="10">
        <f t="shared" si="119"/>
        <v>0.71452916529999999</v>
      </c>
      <c r="AB589" t="str">
        <f>IF(AA589&gt;=Como_Avaliar!$B$15,"Alta",IF(AA589&gt;=Como_Avaliar!$B$16,"Média","Baixa"))</f>
        <v>Alta</v>
      </c>
    </row>
    <row r="590" spans="1:28" x14ac:dyDescent="0.25">
      <c r="A590" t="s">
        <v>894</v>
      </c>
      <c r="B590" t="s">
        <v>301</v>
      </c>
      <c r="C590" t="s">
        <v>88</v>
      </c>
      <c r="D590" t="s">
        <v>59</v>
      </c>
      <c r="E590" t="s">
        <v>95</v>
      </c>
      <c r="F590">
        <v>28</v>
      </c>
      <c r="G590">
        <v>58</v>
      </c>
      <c r="H590">
        <v>9</v>
      </c>
      <c r="I590" t="s">
        <v>62</v>
      </c>
      <c r="J590" t="s">
        <v>97</v>
      </c>
      <c r="K590" t="s">
        <v>98</v>
      </c>
      <c r="L590" t="s">
        <v>289</v>
      </c>
      <c r="M590">
        <v>1</v>
      </c>
      <c r="N590" t="str">
        <f t="shared" si="108"/>
        <v>3. 16+ anos</v>
      </c>
      <c r="O590" t="str">
        <f t="shared" si="109"/>
        <v>3. 50 a 149</v>
      </c>
      <c r="P590" t="str">
        <f t="shared" si="110"/>
        <v>3. 6 a 15</v>
      </c>
      <c r="Q590">
        <f t="shared" si="111"/>
        <v>0</v>
      </c>
      <c r="R590">
        <f t="shared" si="112"/>
        <v>1</v>
      </c>
      <c r="S590">
        <f t="shared" si="113"/>
        <v>0</v>
      </c>
      <c r="V590" s="18">
        <f t="shared" si="114"/>
        <v>0.43835616438356162</v>
      </c>
      <c r="W590" s="18">
        <f t="shared" si="115"/>
        <v>0.55319148936170215</v>
      </c>
      <c r="X590" s="18">
        <f t="shared" si="116"/>
        <v>0.58992805755395683</v>
      </c>
      <c r="Y590" s="18">
        <f t="shared" si="117"/>
        <v>0.37662337662337664</v>
      </c>
      <c r="Z590" s="18">
        <f t="shared" si="118"/>
        <v>0.56634304207119746</v>
      </c>
      <c r="AA590" s="10">
        <f t="shared" si="119"/>
        <v>0.50488842599999995</v>
      </c>
      <c r="AB590" t="str">
        <f>IF(AA590&gt;=Como_Avaliar!$B$15,"Alta",IF(AA590&gt;=Como_Avaliar!$B$16,"Média","Baixa"))</f>
        <v>Alta</v>
      </c>
    </row>
    <row r="591" spans="1:28" x14ac:dyDescent="0.25">
      <c r="A591" t="s">
        <v>895</v>
      </c>
      <c r="B591" t="s">
        <v>286</v>
      </c>
      <c r="C591" t="s">
        <v>88</v>
      </c>
      <c r="D591" t="s">
        <v>56</v>
      </c>
      <c r="E591" t="s">
        <v>95</v>
      </c>
      <c r="F591">
        <v>5</v>
      </c>
      <c r="G591">
        <v>22</v>
      </c>
      <c r="H591">
        <v>2</v>
      </c>
      <c r="I591" t="s">
        <v>63</v>
      </c>
      <c r="J591" t="s">
        <v>98</v>
      </c>
      <c r="K591" t="s">
        <v>98</v>
      </c>
      <c r="L591" t="s">
        <v>289</v>
      </c>
      <c r="M591">
        <v>0</v>
      </c>
      <c r="N591" t="str">
        <f t="shared" si="108"/>
        <v>1. &lt; 8 anos</v>
      </c>
      <c r="O591" t="str">
        <f t="shared" si="109"/>
        <v>2. 20 a 49</v>
      </c>
      <c r="P591" t="str">
        <f t="shared" si="110"/>
        <v>1. 1 a 2</v>
      </c>
      <c r="Q591">
        <f t="shared" si="111"/>
        <v>1</v>
      </c>
      <c r="R591">
        <f t="shared" si="112"/>
        <v>0</v>
      </c>
      <c r="S591">
        <f t="shared" si="113"/>
        <v>1</v>
      </c>
      <c r="T591">
        <v>2</v>
      </c>
      <c r="U591" t="s">
        <v>139</v>
      </c>
      <c r="V591" s="18">
        <f t="shared" si="114"/>
        <v>6.8273092369477914E-2</v>
      </c>
      <c r="W591" s="18">
        <f t="shared" si="115"/>
        <v>8.6792452830188674E-2</v>
      </c>
      <c r="X591" s="18">
        <f t="shared" si="116"/>
        <v>0.25294117647058822</v>
      </c>
      <c r="Y591" s="18">
        <f t="shared" si="117"/>
        <v>6.5217391304347824E-2</v>
      </c>
      <c r="Z591" s="18">
        <f t="shared" si="118"/>
        <v>0.22368421052631579</v>
      </c>
      <c r="AA591" s="10">
        <f t="shared" si="119"/>
        <v>0.13938166469999999</v>
      </c>
      <c r="AB591" t="str">
        <f>IF(AA591&gt;=Como_Avaliar!$B$15,"Alta",IF(AA591&gt;=Como_Avaliar!$B$16,"Média","Baixa"))</f>
        <v>Baixa</v>
      </c>
    </row>
    <row r="592" spans="1:28" x14ac:dyDescent="0.25">
      <c r="A592" t="s">
        <v>896</v>
      </c>
      <c r="B592" t="s">
        <v>327</v>
      </c>
      <c r="C592" t="s">
        <v>86</v>
      </c>
      <c r="D592" t="s">
        <v>56</v>
      </c>
      <c r="E592" t="s">
        <v>94</v>
      </c>
      <c r="F592">
        <v>15</v>
      </c>
      <c r="G592">
        <v>22</v>
      </c>
      <c r="H592">
        <v>2</v>
      </c>
      <c r="I592" t="s">
        <v>65</v>
      </c>
      <c r="J592" t="s">
        <v>97</v>
      </c>
      <c r="K592" t="s">
        <v>97</v>
      </c>
      <c r="L592" t="s">
        <v>289</v>
      </c>
      <c r="M592">
        <v>0</v>
      </c>
      <c r="N592" t="str">
        <f t="shared" si="108"/>
        <v>2. 8 a 15 anos</v>
      </c>
      <c r="O592" t="str">
        <f t="shared" si="109"/>
        <v>2. 20 a 49</v>
      </c>
      <c r="P592" t="str">
        <f t="shared" si="110"/>
        <v>1. 1 a 2</v>
      </c>
      <c r="Q592">
        <f t="shared" si="111"/>
        <v>0</v>
      </c>
      <c r="R592">
        <f t="shared" si="112"/>
        <v>0</v>
      </c>
      <c r="S592">
        <f t="shared" si="113"/>
        <v>1</v>
      </c>
      <c r="T592">
        <v>2</v>
      </c>
      <c r="U592" t="s">
        <v>139</v>
      </c>
      <c r="V592" s="18">
        <f t="shared" si="114"/>
        <v>6.8273092369477914E-2</v>
      </c>
      <c r="W592" s="18">
        <f t="shared" si="115"/>
        <v>8.6792452830188674E-2</v>
      </c>
      <c r="X592" s="18">
        <f t="shared" si="116"/>
        <v>0.25294117647058822</v>
      </c>
      <c r="Y592" s="18">
        <f t="shared" si="117"/>
        <v>0.39751552795031053</v>
      </c>
      <c r="Z592" s="18">
        <f t="shared" si="118"/>
        <v>0.22302158273381295</v>
      </c>
      <c r="AA592" s="10">
        <f t="shared" si="119"/>
        <v>0.2057087665</v>
      </c>
      <c r="AB592" t="str">
        <f>IF(AA592&gt;=Como_Avaliar!$B$15,"Alta",IF(AA592&gt;=Como_Avaliar!$B$16,"Média","Baixa"))</f>
        <v>Baixa</v>
      </c>
    </row>
    <row r="593" spans="1:28" x14ac:dyDescent="0.25">
      <c r="A593" t="s">
        <v>897</v>
      </c>
      <c r="B593" t="s">
        <v>286</v>
      </c>
      <c r="C593" t="s">
        <v>88</v>
      </c>
      <c r="D593" t="s">
        <v>59</v>
      </c>
      <c r="E593" t="s">
        <v>91</v>
      </c>
      <c r="F593">
        <v>17</v>
      </c>
      <c r="G593">
        <v>65</v>
      </c>
      <c r="H593">
        <v>7</v>
      </c>
      <c r="I593" t="s">
        <v>68</v>
      </c>
      <c r="J593" t="s">
        <v>97</v>
      </c>
      <c r="K593" t="s">
        <v>98</v>
      </c>
      <c r="L593" t="s">
        <v>284</v>
      </c>
      <c r="M593">
        <v>1</v>
      </c>
      <c r="N593" t="str">
        <f t="shared" si="108"/>
        <v>3. 16+ anos</v>
      </c>
      <c r="O593" t="str">
        <f t="shared" si="109"/>
        <v>3. 50 a 149</v>
      </c>
      <c r="P593" t="str">
        <f t="shared" si="110"/>
        <v>3. 6 a 15</v>
      </c>
      <c r="Q593">
        <f t="shared" si="111"/>
        <v>0</v>
      </c>
      <c r="R593">
        <f t="shared" si="112"/>
        <v>1</v>
      </c>
      <c r="S593">
        <f t="shared" si="113"/>
        <v>0</v>
      </c>
      <c r="V593" s="18">
        <f t="shared" si="114"/>
        <v>0.43835616438356162</v>
      </c>
      <c r="W593" s="18">
        <f t="shared" si="115"/>
        <v>0.55319148936170215</v>
      </c>
      <c r="X593" s="18">
        <f t="shared" si="116"/>
        <v>0.58992805755395683</v>
      </c>
      <c r="Y593" s="18">
        <f t="shared" si="117"/>
        <v>0.58333333333333337</v>
      </c>
      <c r="Z593" s="18">
        <f t="shared" si="118"/>
        <v>0.56634304207119746</v>
      </c>
      <c r="AA593" s="10">
        <f t="shared" si="119"/>
        <v>0.54623041729999999</v>
      </c>
      <c r="AB593" t="str">
        <f>IF(AA593&gt;=Como_Avaliar!$B$15,"Alta",IF(AA593&gt;=Como_Avaliar!$B$16,"Média","Baixa"))</f>
        <v>Alta</v>
      </c>
    </row>
    <row r="594" spans="1:28" x14ac:dyDescent="0.25">
      <c r="A594" t="s">
        <v>898</v>
      </c>
      <c r="B594" t="s">
        <v>286</v>
      </c>
      <c r="C594" t="s">
        <v>88</v>
      </c>
      <c r="D594" t="s">
        <v>59</v>
      </c>
      <c r="E594" t="s">
        <v>94</v>
      </c>
      <c r="F594">
        <v>14</v>
      </c>
      <c r="G594">
        <v>56</v>
      </c>
      <c r="H594">
        <v>3</v>
      </c>
      <c r="I594" t="s">
        <v>65</v>
      </c>
      <c r="J594" t="s">
        <v>98</v>
      </c>
      <c r="K594" t="s">
        <v>98</v>
      </c>
      <c r="L594" t="s">
        <v>289</v>
      </c>
      <c r="M594">
        <v>0</v>
      </c>
      <c r="N594" t="str">
        <f t="shared" si="108"/>
        <v>2. 8 a 15 anos</v>
      </c>
      <c r="O594" t="str">
        <f t="shared" si="109"/>
        <v>3. 50 a 149</v>
      </c>
      <c r="P594" t="str">
        <f t="shared" si="110"/>
        <v>2. 3 a 5</v>
      </c>
      <c r="Q594">
        <f t="shared" si="111"/>
        <v>0</v>
      </c>
      <c r="R594">
        <f t="shared" si="112"/>
        <v>0</v>
      </c>
      <c r="S594">
        <f t="shared" si="113"/>
        <v>1</v>
      </c>
      <c r="T594">
        <v>3</v>
      </c>
      <c r="U594" t="s">
        <v>138</v>
      </c>
      <c r="V594" s="18">
        <f t="shared" si="114"/>
        <v>0.43835616438356162</v>
      </c>
      <c r="W594" s="18">
        <f t="shared" si="115"/>
        <v>0.38095238095238093</v>
      </c>
      <c r="X594" s="18">
        <f t="shared" si="116"/>
        <v>0.58992805755395683</v>
      </c>
      <c r="Y594" s="18">
        <f t="shared" si="117"/>
        <v>0.39751552795031053</v>
      </c>
      <c r="Z594" s="18">
        <f t="shared" si="118"/>
        <v>0.22302158273381295</v>
      </c>
      <c r="AA594" s="10">
        <f t="shared" si="119"/>
        <v>0.40595474269999998</v>
      </c>
      <c r="AB594" t="str">
        <f>IF(AA594&gt;=Como_Avaliar!$B$15,"Alta",IF(AA594&gt;=Como_Avaliar!$B$16,"Média","Baixa"))</f>
        <v>Média</v>
      </c>
    </row>
    <row r="595" spans="1:28" x14ac:dyDescent="0.25">
      <c r="A595" t="s">
        <v>899</v>
      </c>
      <c r="B595" t="s">
        <v>314</v>
      </c>
      <c r="C595" t="s">
        <v>84</v>
      </c>
      <c r="D595" t="s">
        <v>56</v>
      </c>
      <c r="E595" t="s">
        <v>90</v>
      </c>
      <c r="F595">
        <v>20</v>
      </c>
      <c r="G595">
        <v>3</v>
      </c>
      <c r="H595">
        <v>2</v>
      </c>
      <c r="I595" t="s">
        <v>65</v>
      </c>
      <c r="J595" t="s">
        <v>98</v>
      </c>
      <c r="K595" t="s">
        <v>97</v>
      </c>
      <c r="L595" t="s">
        <v>284</v>
      </c>
      <c r="M595">
        <v>0</v>
      </c>
      <c r="N595" t="str">
        <f t="shared" si="108"/>
        <v>3. 16+ anos</v>
      </c>
      <c r="O595" t="str">
        <f t="shared" si="109"/>
        <v>1. &lt; 20</v>
      </c>
      <c r="P595" t="str">
        <f t="shared" si="110"/>
        <v>1. 1 a 2</v>
      </c>
      <c r="Q595">
        <f t="shared" si="111"/>
        <v>0</v>
      </c>
      <c r="R595">
        <f t="shared" si="112"/>
        <v>0</v>
      </c>
      <c r="S595">
        <f t="shared" si="113"/>
        <v>1</v>
      </c>
      <c r="T595">
        <v>1</v>
      </c>
      <c r="U595" t="s">
        <v>139</v>
      </c>
      <c r="V595" s="18">
        <f t="shared" si="114"/>
        <v>6.8273092369477914E-2</v>
      </c>
      <c r="W595" s="18">
        <f t="shared" si="115"/>
        <v>8.6792452830188674E-2</v>
      </c>
      <c r="X595" s="18">
        <f t="shared" si="116"/>
        <v>0.10309278350515463</v>
      </c>
      <c r="Y595" s="18">
        <f t="shared" si="117"/>
        <v>0.39751552795031053</v>
      </c>
      <c r="Z595" s="18">
        <f t="shared" si="118"/>
        <v>0.56634304207119746</v>
      </c>
      <c r="AA595" s="10">
        <f t="shared" si="119"/>
        <v>0.24440337970000001</v>
      </c>
      <c r="AB595" t="str">
        <f>IF(AA595&gt;=Como_Avaliar!$B$15,"Alta",IF(AA595&gt;=Como_Avaliar!$B$16,"Média","Baixa"))</f>
        <v>Média</v>
      </c>
    </row>
    <row r="596" spans="1:28" x14ac:dyDescent="0.25">
      <c r="A596" t="s">
        <v>900</v>
      </c>
      <c r="B596" t="s">
        <v>301</v>
      </c>
      <c r="C596" t="s">
        <v>88</v>
      </c>
      <c r="D596" t="s">
        <v>56</v>
      </c>
      <c r="E596" t="s">
        <v>95</v>
      </c>
      <c r="F596">
        <v>5</v>
      </c>
      <c r="G596">
        <v>23</v>
      </c>
      <c r="H596">
        <v>1</v>
      </c>
      <c r="I596" t="s">
        <v>63</v>
      </c>
      <c r="J596" t="s">
        <v>97</v>
      </c>
      <c r="K596" t="s">
        <v>97</v>
      </c>
      <c r="L596" t="s">
        <v>284</v>
      </c>
      <c r="M596">
        <v>0</v>
      </c>
      <c r="N596" t="str">
        <f t="shared" si="108"/>
        <v>1. &lt; 8 anos</v>
      </c>
      <c r="O596" t="str">
        <f t="shared" si="109"/>
        <v>2. 20 a 49</v>
      </c>
      <c r="P596" t="str">
        <f t="shared" si="110"/>
        <v>1. 1 a 2</v>
      </c>
      <c r="Q596">
        <f t="shared" si="111"/>
        <v>1</v>
      </c>
      <c r="R596">
        <f t="shared" si="112"/>
        <v>0</v>
      </c>
      <c r="S596">
        <f t="shared" si="113"/>
        <v>1</v>
      </c>
      <c r="T596">
        <v>2</v>
      </c>
      <c r="U596" t="s">
        <v>139</v>
      </c>
      <c r="V596" s="18">
        <f t="shared" si="114"/>
        <v>6.8273092369477914E-2</v>
      </c>
      <c r="W596" s="18">
        <f t="shared" si="115"/>
        <v>8.6792452830188674E-2</v>
      </c>
      <c r="X596" s="18">
        <f t="shared" si="116"/>
        <v>0.25294117647058822</v>
      </c>
      <c r="Y596" s="18">
        <f t="shared" si="117"/>
        <v>6.5217391304347824E-2</v>
      </c>
      <c r="Z596" s="18">
        <f t="shared" si="118"/>
        <v>0.22368421052631579</v>
      </c>
      <c r="AA596" s="10">
        <f t="shared" si="119"/>
        <v>0.13938166469999999</v>
      </c>
      <c r="AB596" t="str">
        <f>IF(AA596&gt;=Como_Avaliar!$B$15,"Alta",IF(AA596&gt;=Como_Avaliar!$B$16,"Média","Baixa"))</f>
        <v>Baixa</v>
      </c>
    </row>
    <row r="597" spans="1:28" x14ac:dyDescent="0.25">
      <c r="A597" t="s">
        <v>901</v>
      </c>
      <c r="B597" t="s">
        <v>297</v>
      </c>
      <c r="C597" t="s">
        <v>86</v>
      </c>
      <c r="D597" t="s">
        <v>59</v>
      </c>
      <c r="E597" t="s">
        <v>92</v>
      </c>
      <c r="F597">
        <v>12</v>
      </c>
      <c r="G597">
        <v>49</v>
      </c>
      <c r="H597">
        <v>7</v>
      </c>
      <c r="I597" t="s">
        <v>65</v>
      </c>
      <c r="J597" t="s">
        <v>98</v>
      </c>
      <c r="K597" t="s">
        <v>97</v>
      </c>
      <c r="L597" t="s">
        <v>298</v>
      </c>
      <c r="M597">
        <v>0</v>
      </c>
      <c r="N597" t="str">
        <f t="shared" si="108"/>
        <v>2. 8 a 15 anos</v>
      </c>
      <c r="O597" t="str">
        <f t="shared" si="109"/>
        <v>2. 20 a 49</v>
      </c>
      <c r="P597" t="str">
        <f t="shared" si="110"/>
        <v>3. 6 a 15</v>
      </c>
      <c r="Q597">
        <f t="shared" si="111"/>
        <v>0</v>
      </c>
      <c r="R597">
        <f t="shared" si="112"/>
        <v>0</v>
      </c>
      <c r="S597">
        <f t="shared" si="113"/>
        <v>1</v>
      </c>
      <c r="T597">
        <v>3</v>
      </c>
      <c r="U597" t="s">
        <v>138</v>
      </c>
      <c r="V597" s="18">
        <f t="shared" si="114"/>
        <v>0.43835616438356162</v>
      </c>
      <c r="W597" s="18">
        <f t="shared" si="115"/>
        <v>0.55319148936170215</v>
      </c>
      <c r="X597" s="18">
        <f t="shared" si="116"/>
        <v>0.25294117647058822</v>
      </c>
      <c r="Y597" s="18">
        <f t="shared" si="117"/>
        <v>0.39751552795031053</v>
      </c>
      <c r="Z597" s="18">
        <f t="shared" si="118"/>
        <v>0.22302158273381295</v>
      </c>
      <c r="AA597" s="10">
        <f t="shared" si="119"/>
        <v>0.3730051882</v>
      </c>
      <c r="AB597" t="str">
        <f>IF(AA597&gt;=Como_Avaliar!$B$15,"Alta",IF(AA597&gt;=Como_Avaliar!$B$16,"Média","Baixa"))</f>
        <v>Média</v>
      </c>
    </row>
    <row r="598" spans="1:28" x14ac:dyDescent="0.25">
      <c r="A598" t="s">
        <v>902</v>
      </c>
      <c r="B598" t="s">
        <v>295</v>
      </c>
      <c r="C598" t="s">
        <v>84</v>
      </c>
      <c r="D598" t="s">
        <v>58</v>
      </c>
      <c r="E598" t="s">
        <v>93</v>
      </c>
      <c r="F598">
        <v>16</v>
      </c>
      <c r="G598">
        <v>175</v>
      </c>
      <c r="H598">
        <v>14</v>
      </c>
      <c r="I598" t="s">
        <v>68</v>
      </c>
      <c r="J598" t="s">
        <v>98</v>
      </c>
      <c r="K598" t="s">
        <v>97</v>
      </c>
      <c r="L598" t="s">
        <v>284</v>
      </c>
      <c r="M598">
        <v>1</v>
      </c>
      <c r="N598" t="str">
        <f t="shared" si="108"/>
        <v>3. 16+ anos</v>
      </c>
      <c r="O598" t="str">
        <f t="shared" si="109"/>
        <v>4. 150+</v>
      </c>
      <c r="P598" t="str">
        <f t="shared" si="110"/>
        <v>3. 6 a 15</v>
      </c>
      <c r="Q598">
        <f t="shared" si="111"/>
        <v>0</v>
      </c>
      <c r="R598">
        <f t="shared" si="112"/>
        <v>1</v>
      </c>
      <c r="S598">
        <f t="shared" si="113"/>
        <v>0</v>
      </c>
      <c r="V598" s="18">
        <f t="shared" si="114"/>
        <v>0.93975903614457834</v>
      </c>
      <c r="W598" s="18">
        <f t="shared" si="115"/>
        <v>0.55319148936170215</v>
      </c>
      <c r="X598" s="18">
        <f t="shared" si="116"/>
        <v>0.97938144329896903</v>
      </c>
      <c r="Y598" s="18">
        <f t="shared" si="117"/>
        <v>0.58333333333333337</v>
      </c>
      <c r="Z598" s="18">
        <f t="shared" si="118"/>
        <v>0.56634304207119746</v>
      </c>
      <c r="AA598" s="10">
        <f t="shared" si="119"/>
        <v>0.72440166880000001</v>
      </c>
      <c r="AB598" t="str">
        <f>IF(AA598&gt;=Como_Avaliar!$B$15,"Alta",IF(AA598&gt;=Como_Avaliar!$B$16,"Média","Baixa"))</f>
        <v>Alta</v>
      </c>
    </row>
    <row r="599" spans="1:28" x14ac:dyDescent="0.25">
      <c r="A599" t="s">
        <v>903</v>
      </c>
      <c r="B599" t="s">
        <v>288</v>
      </c>
      <c r="C599" t="s">
        <v>88</v>
      </c>
      <c r="D599" t="s">
        <v>59</v>
      </c>
      <c r="E599" t="s">
        <v>91</v>
      </c>
      <c r="F599">
        <v>26</v>
      </c>
      <c r="G599">
        <v>77</v>
      </c>
      <c r="H599">
        <v>6</v>
      </c>
      <c r="I599" t="s">
        <v>65</v>
      </c>
      <c r="J599" t="s">
        <v>97</v>
      </c>
      <c r="K599" t="s">
        <v>97</v>
      </c>
      <c r="L599" t="s">
        <v>284</v>
      </c>
      <c r="M599">
        <v>1</v>
      </c>
      <c r="N599" t="str">
        <f t="shared" si="108"/>
        <v>3. 16+ anos</v>
      </c>
      <c r="O599" t="str">
        <f t="shared" si="109"/>
        <v>3. 50 a 149</v>
      </c>
      <c r="P599" t="str">
        <f t="shared" si="110"/>
        <v>3. 6 a 15</v>
      </c>
      <c r="Q599">
        <f t="shared" si="111"/>
        <v>0</v>
      </c>
      <c r="R599">
        <f t="shared" si="112"/>
        <v>1</v>
      </c>
      <c r="S599">
        <f t="shared" si="113"/>
        <v>0</v>
      </c>
      <c r="V599" s="18">
        <f t="shared" si="114"/>
        <v>0.43835616438356162</v>
      </c>
      <c r="W599" s="18">
        <f t="shared" si="115"/>
        <v>0.55319148936170215</v>
      </c>
      <c r="X599" s="18">
        <f t="shared" si="116"/>
        <v>0.58992805755395683</v>
      </c>
      <c r="Y599" s="18">
        <f t="shared" si="117"/>
        <v>0.39751552795031053</v>
      </c>
      <c r="Z599" s="18">
        <f t="shared" si="118"/>
        <v>0.56634304207119746</v>
      </c>
      <c r="AA599" s="10">
        <f t="shared" si="119"/>
        <v>0.50906685630000004</v>
      </c>
      <c r="AB599" t="str">
        <f>IF(AA599&gt;=Como_Avaliar!$B$15,"Alta",IF(AA599&gt;=Como_Avaliar!$B$16,"Média","Baixa"))</f>
        <v>Alta</v>
      </c>
    </row>
    <row r="600" spans="1:28" x14ac:dyDescent="0.25">
      <c r="A600" t="s">
        <v>904</v>
      </c>
      <c r="B600" t="s">
        <v>286</v>
      </c>
      <c r="C600" t="s">
        <v>88</v>
      </c>
      <c r="D600" t="s">
        <v>56</v>
      </c>
      <c r="E600" t="s">
        <v>96</v>
      </c>
      <c r="F600">
        <v>26</v>
      </c>
      <c r="G600">
        <v>10</v>
      </c>
      <c r="H600">
        <v>2</v>
      </c>
      <c r="I600" t="s">
        <v>62</v>
      </c>
      <c r="J600" t="s">
        <v>98</v>
      </c>
      <c r="K600" t="s">
        <v>98</v>
      </c>
      <c r="L600" t="s">
        <v>289</v>
      </c>
      <c r="M600">
        <v>1</v>
      </c>
      <c r="N600" t="str">
        <f t="shared" si="108"/>
        <v>3. 16+ anos</v>
      </c>
      <c r="O600" t="str">
        <f t="shared" si="109"/>
        <v>1. &lt; 20</v>
      </c>
      <c r="P600" t="str">
        <f t="shared" si="110"/>
        <v>1. 1 a 2</v>
      </c>
      <c r="Q600">
        <f t="shared" si="111"/>
        <v>0</v>
      </c>
      <c r="R600">
        <f t="shared" si="112"/>
        <v>0</v>
      </c>
      <c r="S600">
        <f t="shared" si="113"/>
        <v>0</v>
      </c>
      <c r="V600" s="18">
        <f t="shared" si="114"/>
        <v>6.8273092369477914E-2</v>
      </c>
      <c r="W600" s="18">
        <f t="shared" si="115"/>
        <v>8.6792452830188674E-2</v>
      </c>
      <c r="X600" s="18">
        <f t="shared" si="116"/>
        <v>0.10309278350515463</v>
      </c>
      <c r="Y600" s="18">
        <f t="shared" si="117"/>
        <v>0.37662337662337664</v>
      </c>
      <c r="Z600" s="18">
        <f t="shared" si="118"/>
        <v>0.56634304207119746</v>
      </c>
      <c r="AA600" s="10">
        <f t="shared" si="119"/>
        <v>0.24022494950000001</v>
      </c>
      <c r="AB600" t="str">
        <f>IF(AA600&gt;=Como_Avaliar!$B$15,"Alta",IF(AA600&gt;=Como_Avaliar!$B$16,"Média","Baixa"))</f>
        <v>Média</v>
      </c>
    </row>
    <row r="601" spans="1:28" x14ac:dyDescent="0.25">
      <c r="A601" t="s">
        <v>905</v>
      </c>
      <c r="B601" t="s">
        <v>321</v>
      </c>
      <c r="C601" t="s">
        <v>86</v>
      </c>
      <c r="D601" t="s">
        <v>58</v>
      </c>
      <c r="E601" t="s">
        <v>92</v>
      </c>
      <c r="F601">
        <v>16</v>
      </c>
      <c r="G601">
        <v>151</v>
      </c>
      <c r="H601">
        <v>27</v>
      </c>
      <c r="I601" t="s">
        <v>68</v>
      </c>
      <c r="J601" t="s">
        <v>97</v>
      </c>
      <c r="K601" t="s">
        <v>98</v>
      </c>
      <c r="L601" t="s">
        <v>298</v>
      </c>
      <c r="M601">
        <v>1</v>
      </c>
      <c r="N601" t="str">
        <f t="shared" si="108"/>
        <v>3. 16+ anos</v>
      </c>
      <c r="O601" t="str">
        <f t="shared" si="109"/>
        <v>4. 150+</v>
      </c>
      <c r="P601" t="str">
        <f t="shared" si="110"/>
        <v>4. 16+</v>
      </c>
      <c r="Q601">
        <f t="shared" si="111"/>
        <v>0</v>
      </c>
      <c r="R601">
        <f t="shared" si="112"/>
        <v>1</v>
      </c>
      <c r="S601">
        <f t="shared" si="113"/>
        <v>0</v>
      </c>
      <c r="V601" s="18">
        <f t="shared" si="114"/>
        <v>0.93975903614457834</v>
      </c>
      <c r="W601" s="18">
        <f t="shared" si="115"/>
        <v>0.97272727272727277</v>
      </c>
      <c r="X601" s="18">
        <f t="shared" si="116"/>
        <v>0.97938144329896903</v>
      </c>
      <c r="Y601" s="18">
        <f t="shared" si="117"/>
        <v>0.58333333333333337</v>
      </c>
      <c r="Z601" s="18">
        <f t="shared" si="118"/>
        <v>0.56634304207119746</v>
      </c>
      <c r="AA601" s="10">
        <f t="shared" si="119"/>
        <v>0.80830882550000005</v>
      </c>
      <c r="AB601" t="str">
        <f>IF(AA601&gt;=Como_Avaliar!$B$15,"Alta",IF(AA601&gt;=Como_Avaliar!$B$16,"Média","Baixa"))</f>
        <v>Alta</v>
      </c>
    </row>
  </sheetData>
  <autoFilter ref="A1:AB6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ht="60" x14ac:dyDescent="0.25">
      <c r="A1" s="12" t="s">
        <v>906</v>
      </c>
      <c r="B1" s="12" t="s">
        <v>254</v>
      </c>
      <c r="C1" s="12" t="s">
        <v>907</v>
      </c>
      <c r="D1" s="12" t="s">
        <v>908</v>
      </c>
      <c r="E1" s="12" t="s">
        <v>909</v>
      </c>
      <c r="F1" s="12" t="s">
        <v>910</v>
      </c>
      <c r="G1" s="12" t="s">
        <v>257</v>
      </c>
      <c r="H1" s="12" t="s">
        <v>256</v>
      </c>
      <c r="I1" s="12" t="s">
        <v>266</v>
      </c>
      <c r="J1" s="12" t="s">
        <v>911</v>
      </c>
      <c r="K1" s="12" t="s">
        <v>912</v>
      </c>
      <c r="L1" s="12" t="s">
        <v>913</v>
      </c>
      <c r="M1" s="12" t="s">
        <v>271</v>
      </c>
      <c r="N1" s="12" t="s">
        <v>914</v>
      </c>
      <c r="O1" s="12" t="s">
        <v>915</v>
      </c>
      <c r="P1" s="12" t="s">
        <v>916</v>
      </c>
    </row>
    <row r="2" spans="1:16" x14ac:dyDescent="0.25">
      <c r="A2" t="s">
        <v>917</v>
      </c>
      <c r="B2" t="s">
        <v>687</v>
      </c>
      <c r="C2" t="s">
        <v>918</v>
      </c>
      <c r="D2" t="s">
        <v>919</v>
      </c>
      <c r="F2">
        <v>1</v>
      </c>
      <c r="G2" t="str">
        <f>INDEX(Base!$D$2:$D$601,MATCH(B2,Base!$A$2:$A$601,0))</f>
        <v>Autônomo</v>
      </c>
      <c r="H2" t="str">
        <f>INDEX(Base!$C$2:$C$601,MATCH(B2,Base!$A$2:$A$601,0))</f>
        <v>Sudeste</v>
      </c>
      <c r="I2">
        <f>INDEX(Base!$M$2:$M$601,MATCH(B2,Base!$A$2:$A$601,0))</f>
        <v>0</v>
      </c>
      <c r="J2">
        <f t="shared" ref="J2:J65" si="0">IF(OR(D2="Ganho",D2="Perdido"),1,0)</f>
        <v>1</v>
      </c>
      <c r="K2">
        <f t="shared" ref="K2:K65" si="1">IF(D2="Ganho",1,0)</f>
        <v>0</v>
      </c>
      <c r="L2" t="str">
        <f>IF(INDEX(Base!$U$2:$U$601,MATCH(B2,Base!$A$2:$A$601,0))="","",INDEX(Base!$U$2:$U$601,MATCH(B2,Base!$A$2:$A$601,0)))</f>
        <v>Alta</v>
      </c>
      <c r="M2">
        <f>INDEX(Base!$R$2:$R$601,MATCH(B2,Base!$A$2:$A$601,0))</f>
        <v>0</v>
      </c>
      <c r="N2" t="str">
        <f>INDEX(Base!$AB$2:$AB$601,MATCH(B2,Base!$A$2:$A$601,0))</f>
        <v>Baixa</v>
      </c>
      <c r="O2">
        <v>25</v>
      </c>
    </row>
    <row r="3" spans="1:16" x14ac:dyDescent="0.25">
      <c r="A3" t="s">
        <v>920</v>
      </c>
      <c r="B3" t="s">
        <v>890</v>
      </c>
      <c r="C3" t="s">
        <v>921</v>
      </c>
      <c r="D3" t="s">
        <v>922</v>
      </c>
      <c r="E3">
        <v>1186.79</v>
      </c>
      <c r="F3">
        <v>5</v>
      </c>
      <c r="G3" t="str">
        <f>INDEX(Base!$D$2:$D$601,MATCH(B3,Base!$A$2:$A$601,0))</f>
        <v>Autônomo</v>
      </c>
      <c r="H3" t="str">
        <f>INDEX(Base!$C$2:$C$601,MATCH(B3,Base!$A$2:$A$601,0))</f>
        <v>Nordeste</v>
      </c>
      <c r="I3">
        <f>INDEX(Base!$M$2:$M$601,MATCH(B3,Base!$A$2:$A$601,0))</f>
        <v>0</v>
      </c>
      <c r="J3">
        <f t="shared" si="0"/>
        <v>1</v>
      </c>
      <c r="K3">
        <f t="shared" si="1"/>
        <v>1</v>
      </c>
      <c r="L3" t="str">
        <f>IF(INDEX(Base!$U$2:$U$601,MATCH(B3,Base!$A$2:$A$601,0))="","",INDEX(Base!$U$2:$U$601,MATCH(B3,Base!$A$2:$A$601,0)))</f>
        <v>Média</v>
      </c>
      <c r="M3">
        <f>INDEX(Base!$R$2:$R$601,MATCH(B3,Base!$A$2:$A$601,0))</f>
        <v>0</v>
      </c>
      <c r="N3" t="str">
        <f>INDEX(Base!$AB$2:$AB$601,MATCH(B3,Base!$A$2:$A$601,0))</f>
        <v>Média</v>
      </c>
      <c r="O3">
        <v>58</v>
      </c>
      <c r="P3" s="33">
        <v>46074</v>
      </c>
    </row>
    <row r="4" spans="1:16" x14ac:dyDescent="0.25">
      <c r="A4" t="s">
        <v>923</v>
      </c>
      <c r="B4" t="s">
        <v>346</v>
      </c>
      <c r="C4" t="s">
        <v>921</v>
      </c>
      <c r="D4" t="s">
        <v>218</v>
      </c>
      <c r="F4">
        <v>1</v>
      </c>
      <c r="G4" t="str">
        <f>INDEX(Base!$D$2:$D$601,MATCH(B4,Base!$A$2:$A$601,0))</f>
        <v>Grande Escritório</v>
      </c>
      <c r="H4" t="str">
        <f>INDEX(Base!$C$2:$C$601,MATCH(B4,Base!$A$2:$A$601,0))</f>
        <v>Sudeste</v>
      </c>
      <c r="I4">
        <f>INDEX(Base!$M$2:$M$601,MATCH(B4,Base!$A$2:$A$601,0))</f>
        <v>1</v>
      </c>
      <c r="J4">
        <f t="shared" si="0"/>
        <v>0</v>
      </c>
      <c r="K4">
        <f t="shared" si="1"/>
        <v>0</v>
      </c>
      <c r="L4" t="str">
        <f>IF(INDEX(Base!$U$2:$U$601,MATCH(B4,Base!$A$2:$A$601,0))="","",INDEX(Base!$U$2:$U$601,MATCH(B4,Base!$A$2:$A$601,0)))</f>
        <v/>
      </c>
      <c r="M4">
        <f>INDEX(Base!$R$2:$R$601,MATCH(B4,Base!$A$2:$A$601,0))</f>
        <v>1</v>
      </c>
      <c r="N4" t="str">
        <f>INDEX(Base!$AB$2:$AB$601,MATCH(B4,Base!$A$2:$A$601,0))</f>
        <v>Alta</v>
      </c>
      <c r="O4">
        <v>172</v>
      </c>
    </row>
    <row r="5" spans="1:16" x14ac:dyDescent="0.25">
      <c r="A5" t="s">
        <v>924</v>
      </c>
      <c r="B5" t="s">
        <v>816</v>
      </c>
      <c r="C5" t="s">
        <v>921</v>
      </c>
      <c r="D5" t="s">
        <v>218</v>
      </c>
      <c r="F5">
        <v>12</v>
      </c>
      <c r="G5" t="str">
        <f>INDEX(Base!$D$2:$D$601,MATCH(B5,Base!$A$2:$A$601,0))</f>
        <v>Autônomo</v>
      </c>
      <c r="H5" t="str">
        <f>INDEX(Base!$C$2:$C$601,MATCH(B5,Base!$A$2:$A$601,0))</f>
        <v>Sudeste</v>
      </c>
      <c r="I5">
        <f>INDEX(Base!$M$2:$M$601,MATCH(B5,Base!$A$2:$A$601,0))</f>
        <v>0</v>
      </c>
      <c r="J5">
        <f t="shared" si="0"/>
        <v>0</v>
      </c>
      <c r="K5">
        <f t="shared" si="1"/>
        <v>0</v>
      </c>
      <c r="L5" t="str">
        <f>IF(INDEX(Base!$U$2:$U$601,MATCH(B5,Base!$A$2:$A$601,0))="","",INDEX(Base!$U$2:$U$601,MATCH(B5,Base!$A$2:$A$601,0)))</f>
        <v>Baixa</v>
      </c>
      <c r="M5">
        <f>INDEX(Base!$R$2:$R$601,MATCH(B5,Base!$A$2:$A$601,0))</f>
        <v>0</v>
      </c>
      <c r="N5" t="str">
        <f>INDEX(Base!$AB$2:$AB$601,MATCH(B5,Base!$A$2:$A$601,0))</f>
        <v>Média</v>
      </c>
      <c r="O5">
        <v>150</v>
      </c>
    </row>
    <row r="6" spans="1:16" x14ac:dyDescent="0.25">
      <c r="A6" t="s">
        <v>925</v>
      </c>
      <c r="B6" t="s">
        <v>434</v>
      </c>
      <c r="C6" t="s">
        <v>918</v>
      </c>
      <c r="D6" t="s">
        <v>919</v>
      </c>
      <c r="F6">
        <v>6</v>
      </c>
      <c r="G6" t="str">
        <f>INDEX(Base!$D$2:$D$601,MATCH(B6,Base!$A$2:$A$601,0))</f>
        <v>Médio Escritório</v>
      </c>
      <c r="H6" t="str">
        <f>INDEX(Base!$C$2:$C$601,MATCH(B6,Base!$A$2:$A$601,0))</f>
        <v>Nordeste</v>
      </c>
      <c r="I6">
        <f>INDEX(Base!$M$2:$M$601,MATCH(B6,Base!$A$2:$A$601,0))</f>
        <v>1</v>
      </c>
      <c r="J6">
        <f t="shared" si="0"/>
        <v>1</v>
      </c>
      <c r="K6">
        <f t="shared" si="1"/>
        <v>0</v>
      </c>
      <c r="L6" t="str">
        <f>IF(INDEX(Base!$U$2:$U$601,MATCH(B6,Base!$A$2:$A$601,0))="","",INDEX(Base!$U$2:$U$601,MATCH(B6,Base!$A$2:$A$601,0)))</f>
        <v/>
      </c>
      <c r="M6">
        <f>INDEX(Base!$R$2:$R$601,MATCH(B6,Base!$A$2:$A$601,0))</f>
        <v>1</v>
      </c>
      <c r="N6" t="str">
        <f>INDEX(Base!$AB$2:$AB$601,MATCH(B6,Base!$A$2:$A$601,0))</f>
        <v>Alta</v>
      </c>
      <c r="O6">
        <v>19</v>
      </c>
    </row>
    <row r="7" spans="1:16" x14ac:dyDescent="0.25">
      <c r="A7" t="s">
        <v>926</v>
      </c>
      <c r="B7" t="s">
        <v>465</v>
      </c>
      <c r="C7" t="s">
        <v>927</v>
      </c>
      <c r="D7" t="s">
        <v>221</v>
      </c>
      <c r="F7">
        <v>7</v>
      </c>
      <c r="G7" t="str">
        <f>INDEX(Base!$D$2:$D$601,MATCH(B7,Base!$A$2:$A$601,0))</f>
        <v>Grande Escritório</v>
      </c>
      <c r="H7" t="str">
        <f>INDEX(Base!$C$2:$C$601,MATCH(B7,Base!$A$2:$A$601,0))</f>
        <v>Sudeste</v>
      </c>
      <c r="I7">
        <f>INDEX(Base!$M$2:$M$601,MATCH(B7,Base!$A$2:$A$601,0))</f>
        <v>1</v>
      </c>
      <c r="J7">
        <f t="shared" si="0"/>
        <v>0</v>
      </c>
      <c r="K7">
        <f t="shared" si="1"/>
        <v>0</v>
      </c>
      <c r="L7" t="str">
        <f>IF(INDEX(Base!$U$2:$U$601,MATCH(B7,Base!$A$2:$A$601,0))="","",INDEX(Base!$U$2:$U$601,MATCH(B7,Base!$A$2:$A$601,0)))</f>
        <v/>
      </c>
      <c r="M7">
        <f>INDEX(Base!$R$2:$R$601,MATCH(B7,Base!$A$2:$A$601,0))</f>
        <v>1</v>
      </c>
      <c r="N7" t="str">
        <f>INDEX(Base!$AB$2:$AB$601,MATCH(B7,Base!$A$2:$A$601,0))</f>
        <v>Alta</v>
      </c>
      <c r="O7">
        <v>28</v>
      </c>
    </row>
    <row r="8" spans="1:16" x14ac:dyDescent="0.25">
      <c r="A8" t="s">
        <v>928</v>
      </c>
      <c r="B8" t="s">
        <v>484</v>
      </c>
      <c r="C8" t="s">
        <v>918</v>
      </c>
      <c r="D8" t="s">
        <v>221</v>
      </c>
      <c r="F8">
        <v>7</v>
      </c>
      <c r="G8" t="str">
        <f>INDEX(Base!$D$2:$D$601,MATCH(B8,Base!$A$2:$A$601,0))</f>
        <v>Autônomo</v>
      </c>
      <c r="H8" t="str">
        <f>INDEX(Base!$C$2:$C$601,MATCH(B8,Base!$A$2:$A$601,0))</f>
        <v>Sudeste</v>
      </c>
      <c r="I8">
        <f>INDEX(Base!$M$2:$M$601,MATCH(B8,Base!$A$2:$A$601,0))</f>
        <v>0</v>
      </c>
      <c r="J8">
        <f t="shared" si="0"/>
        <v>0</v>
      </c>
      <c r="K8">
        <f t="shared" si="1"/>
        <v>0</v>
      </c>
      <c r="L8" t="str">
        <f>IF(INDEX(Base!$U$2:$U$601,MATCH(B8,Base!$A$2:$A$601,0))="","",INDEX(Base!$U$2:$U$601,MATCH(B8,Base!$A$2:$A$601,0)))</f>
        <v>Baixa</v>
      </c>
      <c r="M8">
        <f>INDEX(Base!$R$2:$R$601,MATCH(B8,Base!$A$2:$A$601,0))</f>
        <v>0</v>
      </c>
      <c r="N8" t="str">
        <f>INDEX(Base!$AB$2:$AB$601,MATCH(B8,Base!$A$2:$A$601,0))</f>
        <v>Baixa</v>
      </c>
      <c r="O8">
        <v>27</v>
      </c>
    </row>
    <row r="9" spans="1:16" x14ac:dyDescent="0.25">
      <c r="A9" t="s">
        <v>929</v>
      </c>
      <c r="B9" t="s">
        <v>650</v>
      </c>
      <c r="C9" t="s">
        <v>918</v>
      </c>
      <c r="D9" t="s">
        <v>216</v>
      </c>
      <c r="F9">
        <v>7</v>
      </c>
      <c r="G9" t="str">
        <f>INDEX(Base!$D$2:$D$601,MATCH(B9,Base!$A$2:$A$601,0))</f>
        <v>Autônomo</v>
      </c>
      <c r="H9" t="str">
        <f>INDEX(Base!$C$2:$C$601,MATCH(B9,Base!$A$2:$A$601,0))</f>
        <v>Sudeste</v>
      </c>
      <c r="I9">
        <f>INDEX(Base!$M$2:$M$601,MATCH(B9,Base!$A$2:$A$601,0))</f>
        <v>0</v>
      </c>
      <c r="J9">
        <f t="shared" si="0"/>
        <v>0</v>
      </c>
      <c r="K9">
        <f t="shared" si="1"/>
        <v>0</v>
      </c>
      <c r="L9" t="str">
        <f>IF(INDEX(Base!$U$2:$U$601,MATCH(B9,Base!$A$2:$A$601,0))="","",INDEX(Base!$U$2:$U$601,MATCH(B9,Base!$A$2:$A$601,0)))</f>
        <v>Média</v>
      </c>
      <c r="M9">
        <f>INDEX(Base!$R$2:$R$601,MATCH(B9,Base!$A$2:$A$601,0))</f>
        <v>0</v>
      </c>
      <c r="N9" t="str">
        <f>INDEX(Base!$AB$2:$AB$601,MATCH(B9,Base!$A$2:$A$601,0))</f>
        <v>Baixa</v>
      </c>
      <c r="O9">
        <v>77</v>
      </c>
    </row>
    <row r="10" spans="1:16" x14ac:dyDescent="0.25">
      <c r="A10" t="s">
        <v>930</v>
      </c>
      <c r="B10" t="s">
        <v>788</v>
      </c>
      <c r="C10" t="s">
        <v>921</v>
      </c>
      <c r="D10" t="s">
        <v>218</v>
      </c>
      <c r="F10">
        <v>5</v>
      </c>
      <c r="G10" t="str">
        <f>INDEX(Base!$D$2:$D$601,MATCH(B10,Base!$A$2:$A$601,0))</f>
        <v>Pequeno Escritório</v>
      </c>
      <c r="H10" t="str">
        <f>INDEX(Base!$C$2:$C$601,MATCH(B10,Base!$A$2:$A$601,0))</f>
        <v>Sudeste</v>
      </c>
      <c r="I10">
        <f>INDEX(Base!$M$2:$M$601,MATCH(B10,Base!$A$2:$A$601,0))</f>
        <v>0</v>
      </c>
      <c r="J10">
        <f t="shared" si="0"/>
        <v>0</v>
      </c>
      <c r="K10">
        <f t="shared" si="1"/>
        <v>0</v>
      </c>
      <c r="L10" t="str">
        <f>IF(INDEX(Base!$U$2:$U$601,MATCH(B10,Base!$A$2:$A$601,0))="","",INDEX(Base!$U$2:$U$601,MATCH(B10,Base!$A$2:$A$601,0)))</f>
        <v>Média</v>
      </c>
      <c r="M10">
        <f>INDEX(Base!$R$2:$R$601,MATCH(B10,Base!$A$2:$A$601,0))</f>
        <v>0</v>
      </c>
      <c r="N10" t="str">
        <f>INDEX(Base!$AB$2:$AB$601,MATCH(B10,Base!$A$2:$A$601,0))</f>
        <v>Média</v>
      </c>
      <c r="O10">
        <v>130</v>
      </c>
    </row>
    <row r="11" spans="1:16" x14ac:dyDescent="0.25">
      <c r="A11" t="s">
        <v>931</v>
      </c>
      <c r="B11" t="s">
        <v>680</v>
      </c>
      <c r="C11" t="s">
        <v>927</v>
      </c>
      <c r="D11" t="s">
        <v>919</v>
      </c>
      <c r="F11">
        <v>3</v>
      </c>
      <c r="G11" t="str">
        <f>INDEX(Base!$D$2:$D$601,MATCH(B11,Base!$A$2:$A$601,0))</f>
        <v>Autônomo</v>
      </c>
      <c r="H11" t="str">
        <f>INDEX(Base!$C$2:$C$601,MATCH(B11,Base!$A$2:$A$601,0))</f>
        <v>Sudeste</v>
      </c>
      <c r="I11">
        <f>INDEX(Base!$M$2:$M$601,MATCH(B11,Base!$A$2:$A$601,0))</f>
        <v>0</v>
      </c>
      <c r="J11">
        <f t="shared" si="0"/>
        <v>1</v>
      </c>
      <c r="K11">
        <f t="shared" si="1"/>
        <v>0</v>
      </c>
      <c r="L11" t="str">
        <f>IF(INDEX(Base!$U$2:$U$601,MATCH(B11,Base!$A$2:$A$601,0))="","",INDEX(Base!$U$2:$U$601,MATCH(B11,Base!$A$2:$A$601,0)))</f>
        <v>Baixa</v>
      </c>
      <c r="M11">
        <f>INDEX(Base!$R$2:$R$601,MATCH(B11,Base!$A$2:$A$601,0))</f>
        <v>0</v>
      </c>
      <c r="N11" t="str">
        <f>INDEX(Base!$AB$2:$AB$601,MATCH(B11,Base!$A$2:$A$601,0))</f>
        <v>Baixa</v>
      </c>
      <c r="O11">
        <v>96</v>
      </c>
    </row>
    <row r="12" spans="1:16" x14ac:dyDescent="0.25">
      <c r="A12" t="s">
        <v>932</v>
      </c>
      <c r="B12" t="s">
        <v>880</v>
      </c>
      <c r="C12" t="s">
        <v>927</v>
      </c>
      <c r="D12" t="s">
        <v>215</v>
      </c>
      <c r="F12">
        <v>8</v>
      </c>
      <c r="G12" t="str">
        <f>INDEX(Base!$D$2:$D$601,MATCH(B12,Base!$A$2:$A$601,0))</f>
        <v>Autônomo</v>
      </c>
      <c r="H12" t="str">
        <f>INDEX(Base!$C$2:$C$601,MATCH(B12,Base!$A$2:$A$601,0))</f>
        <v>Sudeste</v>
      </c>
      <c r="I12">
        <f>INDEX(Base!$M$2:$M$601,MATCH(B12,Base!$A$2:$A$601,0))</f>
        <v>0</v>
      </c>
      <c r="J12">
        <f t="shared" si="0"/>
        <v>0</v>
      </c>
      <c r="K12">
        <f t="shared" si="1"/>
        <v>0</v>
      </c>
      <c r="L12" t="str">
        <f>IF(INDEX(Base!$U$2:$U$601,MATCH(B12,Base!$A$2:$A$601,0))="","",INDEX(Base!$U$2:$U$601,MATCH(B12,Base!$A$2:$A$601,0)))</f>
        <v>Baixa</v>
      </c>
      <c r="M12">
        <f>INDEX(Base!$R$2:$R$601,MATCH(B12,Base!$A$2:$A$601,0))</f>
        <v>0</v>
      </c>
      <c r="N12" t="str">
        <f>INDEX(Base!$AB$2:$AB$601,MATCH(B12,Base!$A$2:$A$601,0))</f>
        <v>Baixa</v>
      </c>
      <c r="O12">
        <v>119</v>
      </c>
    </row>
    <row r="13" spans="1:16" x14ac:dyDescent="0.25">
      <c r="A13" t="s">
        <v>933</v>
      </c>
      <c r="B13" t="s">
        <v>736</v>
      </c>
      <c r="C13" t="s">
        <v>934</v>
      </c>
      <c r="D13" t="s">
        <v>218</v>
      </c>
      <c r="F13">
        <v>10</v>
      </c>
      <c r="G13" t="str">
        <f>INDEX(Base!$D$2:$D$601,MATCH(B13,Base!$A$2:$A$601,0))</f>
        <v>Grande Escritório</v>
      </c>
      <c r="H13" t="str">
        <f>INDEX(Base!$C$2:$C$601,MATCH(B13,Base!$A$2:$A$601,0))</f>
        <v>Sudeste</v>
      </c>
      <c r="I13">
        <f>INDEX(Base!$M$2:$M$601,MATCH(B13,Base!$A$2:$A$601,0))</f>
        <v>1</v>
      </c>
      <c r="J13">
        <f t="shared" si="0"/>
        <v>0</v>
      </c>
      <c r="K13">
        <f t="shared" si="1"/>
        <v>0</v>
      </c>
      <c r="L13" t="str">
        <f>IF(INDEX(Base!$U$2:$U$601,MATCH(B13,Base!$A$2:$A$601,0))="","",INDEX(Base!$U$2:$U$601,MATCH(B13,Base!$A$2:$A$601,0)))</f>
        <v/>
      </c>
      <c r="M13">
        <f>INDEX(Base!$R$2:$R$601,MATCH(B13,Base!$A$2:$A$601,0))</f>
        <v>1</v>
      </c>
      <c r="N13" t="str">
        <f>INDEX(Base!$AB$2:$AB$601,MATCH(B13,Base!$A$2:$A$601,0))</f>
        <v>Alta</v>
      </c>
      <c r="O13">
        <v>113</v>
      </c>
    </row>
    <row r="14" spans="1:16" x14ac:dyDescent="0.25">
      <c r="A14" t="s">
        <v>935</v>
      </c>
      <c r="B14" t="s">
        <v>652</v>
      </c>
      <c r="C14" t="s">
        <v>918</v>
      </c>
      <c r="D14" t="s">
        <v>215</v>
      </c>
      <c r="F14">
        <v>7</v>
      </c>
      <c r="G14" t="str">
        <f>INDEX(Base!$D$2:$D$601,MATCH(B14,Base!$A$2:$A$601,0))</f>
        <v>Grande Escritório</v>
      </c>
      <c r="H14" t="str">
        <f>INDEX(Base!$C$2:$C$601,MATCH(B14,Base!$A$2:$A$601,0))</f>
        <v>Norte</v>
      </c>
      <c r="I14">
        <f>INDEX(Base!$M$2:$M$601,MATCH(B14,Base!$A$2:$A$601,0))</f>
        <v>1</v>
      </c>
      <c r="J14">
        <f t="shared" si="0"/>
        <v>0</v>
      </c>
      <c r="K14">
        <f t="shared" si="1"/>
        <v>0</v>
      </c>
      <c r="L14" t="str">
        <f>IF(INDEX(Base!$U$2:$U$601,MATCH(B14,Base!$A$2:$A$601,0))="","",INDEX(Base!$U$2:$U$601,MATCH(B14,Base!$A$2:$A$601,0)))</f>
        <v/>
      </c>
      <c r="M14">
        <f>INDEX(Base!$R$2:$R$601,MATCH(B14,Base!$A$2:$A$601,0))</f>
        <v>1</v>
      </c>
      <c r="N14" t="str">
        <f>INDEX(Base!$AB$2:$AB$601,MATCH(B14,Base!$A$2:$A$601,0))</f>
        <v>Alta</v>
      </c>
      <c r="O14">
        <v>166</v>
      </c>
    </row>
    <row r="15" spans="1:16" x14ac:dyDescent="0.25">
      <c r="A15" t="s">
        <v>936</v>
      </c>
      <c r="B15" t="s">
        <v>661</v>
      </c>
      <c r="C15" t="s">
        <v>921</v>
      </c>
      <c r="D15" t="s">
        <v>215</v>
      </c>
      <c r="F15">
        <v>8</v>
      </c>
      <c r="G15" t="str">
        <f>INDEX(Base!$D$2:$D$601,MATCH(B15,Base!$A$2:$A$601,0))</f>
        <v>Pequeno Escritório</v>
      </c>
      <c r="H15" t="str">
        <f>INDEX(Base!$C$2:$C$601,MATCH(B15,Base!$A$2:$A$601,0))</f>
        <v>Sudeste</v>
      </c>
      <c r="I15">
        <f>INDEX(Base!$M$2:$M$601,MATCH(B15,Base!$A$2:$A$601,0))</f>
        <v>1</v>
      </c>
      <c r="J15">
        <f t="shared" si="0"/>
        <v>0</v>
      </c>
      <c r="K15">
        <f t="shared" si="1"/>
        <v>0</v>
      </c>
      <c r="L15" t="str">
        <f>IF(INDEX(Base!$U$2:$U$601,MATCH(B15,Base!$A$2:$A$601,0))="","",INDEX(Base!$U$2:$U$601,MATCH(B15,Base!$A$2:$A$601,0)))</f>
        <v/>
      </c>
      <c r="M15">
        <f>INDEX(Base!$R$2:$R$601,MATCH(B15,Base!$A$2:$A$601,0))</f>
        <v>0</v>
      </c>
      <c r="N15" t="str">
        <f>INDEX(Base!$AB$2:$AB$601,MATCH(B15,Base!$A$2:$A$601,0))</f>
        <v>Média</v>
      </c>
      <c r="O15">
        <v>178</v>
      </c>
    </row>
    <row r="16" spans="1:16" x14ac:dyDescent="0.25">
      <c r="A16" t="s">
        <v>937</v>
      </c>
      <c r="B16" t="s">
        <v>470</v>
      </c>
      <c r="C16" t="s">
        <v>918</v>
      </c>
      <c r="D16" t="s">
        <v>218</v>
      </c>
      <c r="F16">
        <v>8</v>
      </c>
      <c r="G16" t="str">
        <f>INDEX(Base!$D$2:$D$601,MATCH(B16,Base!$A$2:$A$601,0))</f>
        <v>Autônomo</v>
      </c>
      <c r="H16" t="str">
        <f>INDEX(Base!$C$2:$C$601,MATCH(B16,Base!$A$2:$A$601,0))</f>
        <v>Nordeste</v>
      </c>
      <c r="I16">
        <f>INDEX(Base!$M$2:$M$601,MATCH(B16,Base!$A$2:$A$601,0))</f>
        <v>0</v>
      </c>
      <c r="J16">
        <f t="shared" si="0"/>
        <v>0</v>
      </c>
      <c r="K16">
        <f t="shared" si="1"/>
        <v>0</v>
      </c>
      <c r="L16" t="str">
        <f>IF(INDEX(Base!$U$2:$U$601,MATCH(B16,Base!$A$2:$A$601,0))="","",INDEX(Base!$U$2:$U$601,MATCH(B16,Base!$A$2:$A$601,0)))</f>
        <v>Média</v>
      </c>
      <c r="M16">
        <f>INDEX(Base!$R$2:$R$601,MATCH(B16,Base!$A$2:$A$601,0))</f>
        <v>0</v>
      </c>
      <c r="N16" t="str">
        <f>INDEX(Base!$AB$2:$AB$601,MATCH(B16,Base!$A$2:$A$601,0))</f>
        <v>Baixa</v>
      </c>
      <c r="O16">
        <v>139</v>
      </c>
    </row>
    <row r="17" spans="1:16" x14ac:dyDescent="0.25">
      <c r="A17" t="s">
        <v>938</v>
      </c>
      <c r="B17" t="s">
        <v>645</v>
      </c>
      <c r="C17" t="s">
        <v>921</v>
      </c>
      <c r="D17" t="s">
        <v>220</v>
      </c>
      <c r="F17">
        <v>8</v>
      </c>
      <c r="G17" t="str">
        <f>INDEX(Base!$D$2:$D$601,MATCH(B17,Base!$A$2:$A$601,0))</f>
        <v>Médio Escritório</v>
      </c>
      <c r="H17" t="str">
        <f>INDEX(Base!$C$2:$C$601,MATCH(B17,Base!$A$2:$A$601,0))</f>
        <v>Sudeste</v>
      </c>
      <c r="I17">
        <f>INDEX(Base!$M$2:$M$601,MATCH(B17,Base!$A$2:$A$601,0))</f>
        <v>0</v>
      </c>
      <c r="J17">
        <f t="shared" si="0"/>
        <v>0</v>
      </c>
      <c r="K17">
        <f t="shared" si="1"/>
        <v>0</v>
      </c>
      <c r="L17" t="str">
        <f>IF(INDEX(Base!$U$2:$U$601,MATCH(B17,Base!$A$2:$A$601,0))="","",INDEX(Base!$U$2:$U$601,MATCH(B17,Base!$A$2:$A$601,0)))</f>
        <v>Média</v>
      </c>
      <c r="M17">
        <f>INDEX(Base!$R$2:$R$601,MATCH(B17,Base!$A$2:$A$601,0))</f>
        <v>1</v>
      </c>
      <c r="N17" t="str">
        <f>INDEX(Base!$AB$2:$AB$601,MATCH(B17,Base!$A$2:$A$601,0))</f>
        <v>Alta</v>
      </c>
      <c r="O17">
        <v>116</v>
      </c>
    </row>
    <row r="18" spans="1:16" x14ac:dyDescent="0.25">
      <c r="A18" t="s">
        <v>939</v>
      </c>
      <c r="B18" t="s">
        <v>624</v>
      </c>
      <c r="C18" t="s">
        <v>918</v>
      </c>
      <c r="D18" t="s">
        <v>218</v>
      </c>
      <c r="F18">
        <v>3</v>
      </c>
      <c r="G18" t="str">
        <f>INDEX(Base!$D$2:$D$601,MATCH(B18,Base!$A$2:$A$601,0))</f>
        <v>Grande Escritório</v>
      </c>
      <c r="H18" t="str">
        <f>INDEX(Base!$C$2:$C$601,MATCH(B18,Base!$A$2:$A$601,0))</f>
        <v>Sudeste</v>
      </c>
      <c r="I18">
        <f>INDEX(Base!$M$2:$M$601,MATCH(B18,Base!$A$2:$A$601,0))</f>
        <v>1</v>
      </c>
      <c r="J18">
        <f t="shared" si="0"/>
        <v>0</v>
      </c>
      <c r="K18">
        <f t="shared" si="1"/>
        <v>0</v>
      </c>
      <c r="L18" t="str">
        <f>IF(INDEX(Base!$U$2:$U$601,MATCH(B18,Base!$A$2:$A$601,0))="","",INDEX(Base!$U$2:$U$601,MATCH(B18,Base!$A$2:$A$601,0)))</f>
        <v/>
      </c>
      <c r="M18">
        <f>INDEX(Base!$R$2:$R$601,MATCH(B18,Base!$A$2:$A$601,0))</f>
        <v>1</v>
      </c>
      <c r="N18" t="str">
        <f>INDEX(Base!$AB$2:$AB$601,MATCH(B18,Base!$A$2:$A$601,0))</f>
        <v>Alta</v>
      </c>
      <c r="O18">
        <v>180</v>
      </c>
    </row>
    <row r="19" spans="1:16" x14ac:dyDescent="0.25">
      <c r="A19" t="s">
        <v>940</v>
      </c>
      <c r="B19" t="s">
        <v>562</v>
      </c>
      <c r="C19" t="s">
        <v>934</v>
      </c>
      <c r="D19" t="s">
        <v>215</v>
      </c>
      <c r="F19">
        <v>5</v>
      </c>
      <c r="G19" t="str">
        <f>INDEX(Base!$D$2:$D$601,MATCH(B19,Base!$A$2:$A$601,0))</f>
        <v>Pequeno Escritório</v>
      </c>
      <c r="H19" t="str">
        <f>INDEX(Base!$C$2:$C$601,MATCH(B19,Base!$A$2:$A$601,0))</f>
        <v>Sudeste</v>
      </c>
      <c r="I19">
        <f>INDEX(Base!$M$2:$M$601,MATCH(B19,Base!$A$2:$A$601,0))</f>
        <v>1</v>
      </c>
      <c r="J19">
        <f t="shared" si="0"/>
        <v>0</v>
      </c>
      <c r="K19">
        <f t="shared" si="1"/>
        <v>0</v>
      </c>
      <c r="L19" t="str">
        <f>IF(INDEX(Base!$U$2:$U$601,MATCH(B19,Base!$A$2:$A$601,0))="","",INDEX(Base!$U$2:$U$601,MATCH(B19,Base!$A$2:$A$601,0)))</f>
        <v/>
      </c>
      <c r="M19">
        <f>INDEX(Base!$R$2:$R$601,MATCH(B19,Base!$A$2:$A$601,0))</f>
        <v>0</v>
      </c>
      <c r="N19" t="str">
        <f>INDEX(Base!$AB$2:$AB$601,MATCH(B19,Base!$A$2:$A$601,0))</f>
        <v>Média</v>
      </c>
      <c r="O19">
        <v>150</v>
      </c>
    </row>
    <row r="20" spans="1:16" x14ac:dyDescent="0.25">
      <c r="A20" t="s">
        <v>941</v>
      </c>
      <c r="B20" t="s">
        <v>514</v>
      </c>
      <c r="C20" t="s">
        <v>918</v>
      </c>
      <c r="D20" t="s">
        <v>215</v>
      </c>
      <c r="F20">
        <v>9</v>
      </c>
      <c r="G20" t="str">
        <f>INDEX(Base!$D$2:$D$601,MATCH(B20,Base!$A$2:$A$601,0))</f>
        <v>Autônomo</v>
      </c>
      <c r="H20" t="str">
        <f>INDEX(Base!$C$2:$C$601,MATCH(B20,Base!$A$2:$A$601,0))</f>
        <v>Sudeste</v>
      </c>
      <c r="I20">
        <f>INDEX(Base!$M$2:$M$601,MATCH(B20,Base!$A$2:$A$601,0))</f>
        <v>0</v>
      </c>
      <c r="J20">
        <f t="shared" si="0"/>
        <v>0</v>
      </c>
      <c r="K20">
        <f t="shared" si="1"/>
        <v>0</v>
      </c>
      <c r="L20" t="str">
        <f>IF(INDEX(Base!$U$2:$U$601,MATCH(B20,Base!$A$2:$A$601,0))="","",INDEX(Base!$U$2:$U$601,MATCH(B20,Base!$A$2:$A$601,0)))</f>
        <v>Baixa</v>
      </c>
      <c r="M20">
        <f>INDEX(Base!$R$2:$R$601,MATCH(B20,Base!$A$2:$A$601,0))</f>
        <v>0</v>
      </c>
      <c r="N20" t="str">
        <f>INDEX(Base!$AB$2:$AB$601,MATCH(B20,Base!$A$2:$A$601,0))</f>
        <v>Baixa</v>
      </c>
      <c r="O20">
        <v>113</v>
      </c>
    </row>
    <row r="21" spans="1:16" x14ac:dyDescent="0.25">
      <c r="A21" t="s">
        <v>942</v>
      </c>
      <c r="B21" t="s">
        <v>346</v>
      </c>
      <c r="C21" t="s">
        <v>921</v>
      </c>
      <c r="D21" t="s">
        <v>922</v>
      </c>
      <c r="E21">
        <v>1491.16</v>
      </c>
      <c r="F21">
        <v>6</v>
      </c>
      <c r="G21" t="str">
        <f>INDEX(Base!$D$2:$D$601,MATCH(B21,Base!$A$2:$A$601,0))</f>
        <v>Grande Escritório</v>
      </c>
      <c r="H21" t="str">
        <f>INDEX(Base!$C$2:$C$601,MATCH(B21,Base!$A$2:$A$601,0))</f>
        <v>Sudeste</v>
      </c>
      <c r="I21">
        <f>INDEX(Base!$M$2:$M$601,MATCH(B21,Base!$A$2:$A$601,0))</f>
        <v>1</v>
      </c>
      <c r="J21">
        <f t="shared" si="0"/>
        <v>1</v>
      </c>
      <c r="K21">
        <f t="shared" si="1"/>
        <v>1</v>
      </c>
      <c r="L21" t="str">
        <f>IF(INDEX(Base!$U$2:$U$601,MATCH(B21,Base!$A$2:$A$601,0))="","",INDEX(Base!$U$2:$U$601,MATCH(B21,Base!$A$2:$A$601,0)))</f>
        <v/>
      </c>
      <c r="M21">
        <f>INDEX(Base!$R$2:$R$601,MATCH(B21,Base!$A$2:$A$601,0))</f>
        <v>1</v>
      </c>
      <c r="N21" t="str">
        <f>INDEX(Base!$AB$2:$AB$601,MATCH(B21,Base!$A$2:$A$601,0))</f>
        <v>Alta</v>
      </c>
      <c r="O21">
        <v>72</v>
      </c>
      <c r="P21" s="33">
        <v>45839</v>
      </c>
    </row>
    <row r="22" spans="1:16" x14ac:dyDescent="0.25">
      <c r="A22" t="s">
        <v>943</v>
      </c>
      <c r="B22" t="s">
        <v>800</v>
      </c>
      <c r="C22" t="s">
        <v>918</v>
      </c>
      <c r="D22" t="s">
        <v>220</v>
      </c>
      <c r="F22">
        <v>12</v>
      </c>
      <c r="G22" t="str">
        <f>INDEX(Base!$D$2:$D$601,MATCH(B22,Base!$A$2:$A$601,0))</f>
        <v>Pequeno Escritório</v>
      </c>
      <c r="H22" t="str">
        <f>INDEX(Base!$C$2:$C$601,MATCH(B22,Base!$A$2:$A$601,0))</f>
        <v>Sudeste</v>
      </c>
      <c r="I22">
        <f>INDEX(Base!$M$2:$M$601,MATCH(B22,Base!$A$2:$A$601,0))</f>
        <v>0</v>
      </c>
      <c r="J22">
        <f t="shared" si="0"/>
        <v>0</v>
      </c>
      <c r="K22">
        <f t="shared" si="1"/>
        <v>0</v>
      </c>
      <c r="L22" t="str">
        <f>IF(INDEX(Base!$U$2:$U$601,MATCH(B22,Base!$A$2:$A$601,0))="","",INDEX(Base!$U$2:$U$601,MATCH(B22,Base!$A$2:$A$601,0)))</f>
        <v/>
      </c>
      <c r="M22">
        <f>INDEX(Base!$R$2:$R$601,MATCH(B22,Base!$A$2:$A$601,0))</f>
        <v>1</v>
      </c>
      <c r="N22" t="str">
        <f>INDEX(Base!$AB$2:$AB$601,MATCH(B22,Base!$A$2:$A$601,0))</f>
        <v>Média</v>
      </c>
      <c r="O22">
        <v>174</v>
      </c>
    </row>
    <row r="23" spans="1:16" x14ac:dyDescent="0.25">
      <c r="A23" t="s">
        <v>944</v>
      </c>
      <c r="B23" t="s">
        <v>608</v>
      </c>
      <c r="C23" t="s">
        <v>921</v>
      </c>
      <c r="D23" t="s">
        <v>919</v>
      </c>
      <c r="F23">
        <v>2</v>
      </c>
      <c r="G23" t="str">
        <f>INDEX(Base!$D$2:$D$601,MATCH(B23,Base!$A$2:$A$601,0))</f>
        <v>Pequeno Escritório</v>
      </c>
      <c r="H23" t="str">
        <f>INDEX(Base!$C$2:$C$601,MATCH(B23,Base!$A$2:$A$601,0))</f>
        <v>Nordeste</v>
      </c>
      <c r="I23">
        <f>INDEX(Base!$M$2:$M$601,MATCH(B23,Base!$A$2:$A$601,0))</f>
        <v>0</v>
      </c>
      <c r="J23">
        <f t="shared" si="0"/>
        <v>1</v>
      </c>
      <c r="K23">
        <f t="shared" si="1"/>
        <v>0</v>
      </c>
      <c r="L23" t="str">
        <f>IF(INDEX(Base!$U$2:$U$601,MATCH(B23,Base!$A$2:$A$601,0))="","",INDEX(Base!$U$2:$U$601,MATCH(B23,Base!$A$2:$A$601,0)))</f>
        <v>Média</v>
      </c>
      <c r="M23">
        <f>INDEX(Base!$R$2:$R$601,MATCH(B23,Base!$A$2:$A$601,0))</f>
        <v>0</v>
      </c>
      <c r="N23" t="str">
        <f>INDEX(Base!$AB$2:$AB$601,MATCH(B23,Base!$A$2:$A$601,0))</f>
        <v>Alta</v>
      </c>
      <c r="O23">
        <v>111</v>
      </c>
    </row>
    <row r="24" spans="1:16" x14ac:dyDescent="0.25">
      <c r="A24" t="s">
        <v>945</v>
      </c>
      <c r="B24" t="s">
        <v>485</v>
      </c>
      <c r="C24" t="s">
        <v>934</v>
      </c>
      <c r="D24" t="s">
        <v>218</v>
      </c>
      <c r="F24">
        <v>12</v>
      </c>
      <c r="G24" t="str">
        <f>INDEX(Base!$D$2:$D$601,MATCH(B24,Base!$A$2:$A$601,0))</f>
        <v>Autônomo</v>
      </c>
      <c r="H24" t="str">
        <f>INDEX(Base!$C$2:$C$601,MATCH(B24,Base!$A$2:$A$601,0))</f>
        <v>Sudeste</v>
      </c>
      <c r="I24">
        <f>INDEX(Base!$M$2:$M$601,MATCH(B24,Base!$A$2:$A$601,0))</f>
        <v>0</v>
      </c>
      <c r="J24">
        <f t="shared" si="0"/>
        <v>0</v>
      </c>
      <c r="K24">
        <f t="shared" si="1"/>
        <v>0</v>
      </c>
      <c r="L24" t="str">
        <f>IF(INDEX(Base!$U$2:$U$601,MATCH(B24,Base!$A$2:$A$601,0))="","",INDEX(Base!$U$2:$U$601,MATCH(B24,Base!$A$2:$A$601,0)))</f>
        <v>Baixa</v>
      </c>
      <c r="M24">
        <f>INDEX(Base!$R$2:$R$601,MATCH(B24,Base!$A$2:$A$601,0))</f>
        <v>0</v>
      </c>
      <c r="N24" t="str">
        <f>INDEX(Base!$AB$2:$AB$601,MATCH(B24,Base!$A$2:$A$601,0))</f>
        <v>Baixa</v>
      </c>
      <c r="O24">
        <v>121</v>
      </c>
    </row>
    <row r="25" spans="1:16" x14ac:dyDescent="0.25">
      <c r="A25" t="s">
        <v>946</v>
      </c>
      <c r="B25" t="s">
        <v>704</v>
      </c>
      <c r="C25" t="s">
        <v>927</v>
      </c>
      <c r="D25" t="s">
        <v>922</v>
      </c>
      <c r="E25">
        <v>713.2</v>
      </c>
      <c r="F25">
        <v>3</v>
      </c>
      <c r="G25" t="str">
        <f>INDEX(Base!$D$2:$D$601,MATCH(B25,Base!$A$2:$A$601,0))</f>
        <v>Pequeno Escritório</v>
      </c>
      <c r="H25" t="str">
        <f>INDEX(Base!$C$2:$C$601,MATCH(B25,Base!$A$2:$A$601,0))</f>
        <v>Sul</v>
      </c>
      <c r="I25">
        <f>INDEX(Base!$M$2:$M$601,MATCH(B25,Base!$A$2:$A$601,0))</f>
        <v>1</v>
      </c>
      <c r="J25">
        <f t="shared" si="0"/>
        <v>1</v>
      </c>
      <c r="K25">
        <f t="shared" si="1"/>
        <v>1</v>
      </c>
      <c r="L25" t="str">
        <f>IF(INDEX(Base!$U$2:$U$601,MATCH(B25,Base!$A$2:$A$601,0))="","",INDEX(Base!$U$2:$U$601,MATCH(B25,Base!$A$2:$A$601,0)))</f>
        <v/>
      </c>
      <c r="M25">
        <f>INDEX(Base!$R$2:$R$601,MATCH(B25,Base!$A$2:$A$601,0))</f>
        <v>0</v>
      </c>
      <c r="N25" t="str">
        <f>INDEX(Base!$AB$2:$AB$601,MATCH(B25,Base!$A$2:$A$601,0))</f>
        <v>Alta</v>
      </c>
      <c r="O25">
        <v>33</v>
      </c>
      <c r="P25" s="33">
        <v>45785</v>
      </c>
    </row>
    <row r="26" spans="1:16" x14ac:dyDescent="0.25">
      <c r="A26" t="s">
        <v>947</v>
      </c>
      <c r="B26" t="s">
        <v>494</v>
      </c>
      <c r="C26" t="s">
        <v>918</v>
      </c>
      <c r="D26" t="s">
        <v>218</v>
      </c>
      <c r="F26">
        <v>11</v>
      </c>
      <c r="G26" t="str">
        <f>INDEX(Base!$D$2:$D$601,MATCH(B26,Base!$A$2:$A$601,0))</f>
        <v>Pequeno Escritório</v>
      </c>
      <c r="H26" t="str">
        <f>INDEX(Base!$C$2:$C$601,MATCH(B26,Base!$A$2:$A$601,0))</f>
        <v>Sudeste</v>
      </c>
      <c r="I26">
        <f>INDEX(Base!$M$2:$M$601,MATCH(B26,Base!$A$2:$A$601,0))</f>
        <v>0</v>
      </c>
      <c r="J26">
        <f t="shared" si="0"/>
        <v>0</v>
      </c>
      <c r="K26">
        <f t="shared" si="1"/>
        <v>0</v>
      </c>
      <c r="L26" t="str">
        <f>IF(INDEX(Base!$U$2:$U$601,MATCH(B26,Base!$A$2:$A$601,0))="","",INDEX(Base!$U$2:$U$601,MATCH(B26,Base!$A$2:$A$601,0)))</f>
        <v>Média</v>
      </c>
      <c r="M26">
        <f>INDEX(Base!$R$2:$R$601,MATCH(B26,Base!$A$2:$A$601,0))</f>
        <v>0</v>
      </c>
      <c r="N26" t="str">
        <f>INDEX(Base!$AB$2:$AB$601,MATCH(B26,Base!$A$2:$A$601,0))</f>
        <v>Média</v>
      </c>
      <c r="O26">
        <v>32</v>
      </c>
    </row>
    <row r="27" spans="1:16" x14ac:dyDescent="0.25">
      <c r="A27" t="s">
        <v>948</v>
      </c>
      <c r="B27" t="s">
        <v>554</v>
      </c>
      <c r="C27" t="s">
        <v>921</v>
      </c>
      <c r="D27" t="s">
        <v>220</v>
      </c>
      <c r="F27">
        <v>2</v>
      </c>
      <c r="G27" t="str">
        <f>INDEX(Base!$D$2:$D$601,MATCH(B27,Base!$A$2:$A$601,0))</f>
        <v>Médio Escritório</v>
      </c>
      <c r="H27" t="str">
        <f>INDEX(Base!$C$2:$C$601,MATCH(B27,Base!$A$2:$A$601,0))</f>
        <v>Centro-Oeste</v>
      </c>
      <c r="I27">
        <f>INDEX(Base!$M$2:$M$601,MATCH(B27,Base!$A$2:$A$601,0))</f>
        <v>1</v>
      </c>
      <c r="J27">
        <f t="shared" si="0"/>
        <v>0</v>
      </c>
      <c r="K27">
        <f t="shared" si="1"/>
        <v>0</v>
      </c>
      <c r="L27" t="str">
        <f>IF(INDEX(Base!$U$2:$U$601,MATCH(B27,Base!$A$2:$A$601,0))="","",INDEX(Base!$U$2:$U$601,MATCH(B27,Base!$A$2:$A$601,0)))</f>
        <v/>
      </c>
      <c r="M27">
        <f>INDEX(Base!$R$2:$R$601,MATCH(B27,Base!$A$2:$A$601,0))</f>
        <v>1</v>
      </c>
      <c r="N27" t="str">
        <f>INDEX(Base!$AB$2:$AB$601,MATCH(B27,Base!$A$2:$A$601,0))</f>
        <v>Alta</v>
      </c>
      <c r="O27">
        <v>8</v>
      </c>
    </row>
    <row r="28" spans="1:16" x14ac:dyDescent="0.25">
      <c r="A28" t="s">
        <v>949</v>
      </c>
      <c r="B28" t="s">
        <v>456</v>
      </c>
      <c r="C28" t="s">
        <v>918</v>
      </c>
      <c r="D28" t="s">
        <v>922</v>
      </c>
      <c r="E28">
        <v>1743.58</v>
      </c>
      <c r="F28">
        <v>10</v>
      </c>
      <c r="G28" t="str">
        <f>INDEX(Base!$D$2:$D$601,MATCH(B28,Base!$A$2:$A$601,0))</f>
        <v>Pequeno Escritório</v>
      </c>
      <c r="H28" t="str">
        <f>INDEX(Base!$C$2:$C$601,MATCH(B28,Base!$A$2:$A$601,0))</f>
        <v>Norte</v>
      </c>
      <c r="I28">
        <f>INDEX(Base!$M$2:$M$601,MATCH(B28,Base!$A$2:$A$601,0))</f>
        <v>0</v>
      </c>
      <c r="J28">
        <f t="shared" si="0"/>
        <v>1</v>
      </c>
      <c r="K28">
        <f t="shared" si="1"/>
        <v>1</v>
      </c>
      <c r="L28" t="str">
        <f>IF(INDEX(Base!$U$2:$U$601,MATCH(B28,Base!$A$2:$A$601,0))="","",INDEX(Base!$U$2:$U$601,MATCH(B28,Base!$A$2:$A$601,0)))</f>
        <v>Média</v>
      </c>
      <c r="M28">
        <f>INDEX(Base!$R$2:$R$601,MATCH(B28,Base!$A$2:$A$601,0))</f>
        <v>0</v>
      </c>
      <c r="N28" t="str">
        <f>INDEX(Base!$AB$2:$AB$601,MATCH(B28,Base!$A$2:$A$601,0))</f>
        <v>Média</v>
      </c>
      <c r="O28">
        <v>84</v>
      </c>
      <c r="P28" s="33">
        <v>45847</v>
      </c>
    </row>
    <row r="29" spans="1:16" x14ac:dyDescent="0.25">
      <c r="A29" t="s">
        <v>950</v>
      </c>
      <c r="B29" t="s">
        <v>615</v>
      </c>
      <c r="C29" t="s">
        <v>927</v>
      </c>
      <c r="D29" t="s">
        <v>215</v>
      </c>
      <c r="F29">
        <v>10</v>
      </c>
      <c r="G29" t="str">
        <f>INDEX(Base!$D$2:$D$601,MATCH(B29,Base!$A$2:$A$601,0))</f>
        <v>Pequeno Escritório</v>
      </c>
      <c r="H29" t="str">
        <f>INDEX(Base!$C$2:$C$601,MATCH(B29,Base!$A$2:$A$601,0))</f>
        <v>Nordeste</v>
      </c>
      <c r="I29">
        <f>INDEX(Base!$M$2:$M$601,MATCH(B29,Base!$A$2:$A$601,0))</f>
        <v>0</v>
      </c>
      <c r="J29">
        <f t="shared" si="0"/>
        <v>0</v>
      </c>
      <c r="K29">
        <f t="shared" si="1"/>
        <v>0</v>
      </c>
      <c r="L29" t="str">
        <f>IF(INDEX(Base!$U$2:$U$601,MATCH(B29,Base!$A$2:$A$601,0))="","",INDEX(Base!$U$2:$U$601,MATCH(B29,Base!$A$2:$A$601,0)))</f>
        <v>Média</v>
      </c>
      <c r="M29">
        <f>INDEX(Base!$R$2:$R$601,MATCH(B29,Base!$A$2:$A$601,0))</f>
        <v>0</v>
      </c>
      <c r="N29" t="str">
        <f>INDEX(Base!$AB$2:$AB$601,MATCH(B29,Base!$A$2:$A$601,0))</f>
        <v>Média</v>
      </c>
      <c r="O29">
        <v>97</v>
      </c>
    </row>
    <row r="30" spans="1:16" x14ac:dyDescent="0.25">
      <c r="A30" t="s">
        <v>951</v>
      </c>
      <c r="B30" t="s">
        <v>708</v>
      </c>
      <c r="C30" t="s">
        <v>927</v>
      </c>
      <c r="D30" t="s">
        <v>922</v>
      </c>
      <c r="E30">
        <v>294.60000000000002</v>
      </c>
      <c r="F30">
        <v>3</v>
      </c>
      <c r="G30" t="str">
        <f>INDEX(Base!$D$2:$D$601,MATCH(B30,Base!$A$2:$A$601,0))</f>
        <v>Pequeno Escritório</v>
      </c>
      <c r="H30" t="str">
        <f>INDEX(Base!$C$2:$C$601,MATCH(B30,Base!$A$2:$A$601,0))</f>
        <v>Sudeste</v>
      </c>
      <c r="I30">
        <f>INDEX(Base!$M$2:$M$601,MATCH(B30,Base!$A$2:$A$601,0))</f>
        <v>0</v>
      </c>
      <c r="J30">
        <f t="shared" si="0"/>
        <v>1</v>
      </c>
      <c r="K30">
        <f t="shared" si="1"/>
        <v>1</v>
      </c>
      <c r="L30" t="str">
        <f>IF(INDEX(Base!$U$2:$U$601,MATCH(B30,Base!$A$2:$A$601,0))="","",INDEX(Base!$U$2:$U$601,MATCH(B30,Base!$A$2:$A$601,0)))</f>
        <v>Baixa</v>
      </c>
      <c r="M30">
        <f>INDEX(Base!$R$2:$R$601,MATCH(B30,Base!$A$2:$A$601,0))</f>
        <v>0</v>
      </c>
      <c r="N30" t="str">
        <f>INDEX(Base!$AB$2:$AB$601,MATCH(B30,Base!$A$2:$A$601,0))</f>
        <v>Média</v>
      </c>
      <c r="O30">
        <v>38</v>
      </c>
      <c r="P30" s="33">
        <v>46036</v>
      </c>
    </row>
    <row r="31" spans="1:16" x14ac:dyDescent="0.25">
      <c r="A31" t="s">
        <v>952</v>
      </c>
      <c r="B31" t="s">
        <v>634</v>
      </c>
      <c r="C31" t="s">
        <v>918</v>
      </c>
      <c r="D31" t="s">
        <v>922</v>
      </c>
      <c r="E31">
        <v>1567.37</v>
      </c>
      <c r="F31">
        <v>4</v>
      </c>
      <c r="G31" t="str">
        <f>INDEX(Base!$D$2:$D$601,MATCH(B31,Base!$A$2:$A$601,0))</f>
        <v>Autônomo</v>
      </c>
      <c r="H31" t="str">
        <f>INDEX(Base!$C$2:$C$601,MATCH(B31,Base!$A$2:$A$601,0))</f>
        <v>Centro-Oeste</v>
      </c>
      <c r="I31">
        <f>INDEX(Base!$M$2:$M$601,MATCH(B31,Base!$A$2:$A$601,0))</f>
        <v>0</v>
      </c>
      <c r="J31">
        <f t="shared" si="0"/>
        <v>1</v>
      </c>
      <c r="K31">
        <f t="shared" si="1"/>
        <v>1</v>
      </c>
      <c r="L31" t="str">
        <f>IF(INDEX(Base!$U$2:$U$601,MATCH(B31,Base!$A$2:$A$601,0))="","",INDEX(Base!$U$2:$U$601,MATCH(B31,Base!$A$2:$A$601,0)))</f>
        <v>Baixa</v>
      </c>
      <c r="M31">
        <f>INDEX(Base!$R$2:$R$601,MATCH(B31,Base!$A$2:$A$601,0))</f>
        <v>0</v>
      </c>
      <c r="N31" t="str">
        <f>INDEX(Base!$AB$2:$AB$601,MATCH(B31,Base!$A$2:$A$601,0))</f>
        <v>Média</v>
      </c>
      <c r="O31">
        <v>24</v>
      </c>
      <c r="P31" s="33">
        <v>45332</v>
      </c>
    </row>
    <row r="32" spans="1:16" x14ac:dyDescent="0.25">
      <c r="A32" t="s">
        <v>953</v>
      </c>
      <c r="B32" t="s">
        <v>834</v>
      </c>
      <c r="C32" t="s">
        <v>921</v>
      </c>
      <c r="D32" t="s">
        <v>922</v>
      </c>
      <c r="E32">
        <v>1539.45</v>
      </c>
      <c r="F32">
        <v>9</v>
      </c>
      <c r="G32" t="str">
        <f>INDEX(Base!$D$2:$D$601,MATCH(B32,Base!$A$2:$A$601,0))</f>
        <v>Autônomo</v>
      </c>
      <c r="H32" t="str">
        <f>INDEX(Base!$C$2:$C$601,MATCH(B32,Base!$A$2:$A$601,0))</f>
        <v>Sudeste</v>
      </c>
      <c r="I32">
        <f>INDEX(Base!$M$2:$M$601,MATCH(B32,Base!$A$2:$A$601,0))</f>
        <v>0</v>
      </c>
      <c r="J32">
        <f t="shared" si="0"/>
        <v>1</v>
      </c>
      <c r="K32">
        <f t="shared" si="1"/>
        <v>1</v>
      </c>
      <c r="L32" t="str">
        <f>IF(INDEX(Base!$U$2:$U$601,MATCH(B32,Base!$A$2:$A$601,0))="","",INDEX(Base!$U$2:$U$601,MATCH(B32,Base!$A$2:$A$601,0)))</f>
        <v>Baixa</v>
      </c>
      <c r="M32">
        <f>INDEX(Base!$R$2:$R$601,MATCH(B32,Base!$A$2:$A$601,0))</f>
        <v>0</v>
      </c>
      <c r="N32" t="str">
        <f>INDEX(Base!$AB$2:$AB$601,MATCH(B32,Base!$A$2:$A$601,0))</f>
        <v>Baixa</v>
      </c>
      <c r="O32">
        <v>55</v>
      </c>
      <c r="P32" s="33">
        <v>45495</v>
      </c>
    </row>
    <row r="33" spans="1:16" x14ac:dyDescent="0.25">
      <c r="A33" t="s">
        <v>954</v>
      </c>
      <c r="B33" t="s">
        <v>682</v>
      </c>
      <c r="C33" t="s">
        <v>918</v>
      </c>
      <c r="D33" t="s">
        <v>220</v>
      </c>
      <c r="F33">
        <v>7</v>
      </c>
      <c r="G33" t="str">
        <f>INDEX(Base!$D$2:$D$601,MATCH(B33,Base!$A$2:$A$601,0))</f>
        <v>Pequeno Escritório</v>
      </c>
      <c r="H33" t="str">
        <f>INDEX(Base!$C$2:$C$601,MATCH(B33,Base!$A$2:$A$601,0))</f>
        <v>Centro-Oeste</v>
      </c>
      <c r="I33">
        <f>INDEX(Base!$M$2:$M$601,MATCH(B33,Base!$A$2:$A$601,0))</f>
        <v>1</v>
      </c>
      <c r="J33">
        <f t="shared" si="0"/>
        <v>0</v>
      </c>
      <c r="K33">
        <f t="shared" si="1"/>
        <v>0</v>
      </c>
      <c r="L33" t="str">
        <f>IF(INDEX(Base!$U$2:$U$601,MATCH(B33,Base!$A$2:$A$601,0))="","",INDEX(Base!$U$2:$U$601,MATCH(B33,Base!$A$2:$A$601,0)))</f>
        <v/>
      </c>
      <c r="M33">
        <f>INDEX(Base!$R$2:$R$601,MATCH(B33,Base!$A$2:$A$601,0))</f>
        <v>0</v>
      </c>
      <c r="N33" t="str">
        <f>INDEX(Base!$AB$2:$AB$601,MATCH(B33,Base!$A$2:$A$601,0))</f>
        <v>Média</v>
      </c>
      <c r="O33">
        <v>10</v>
      </c>
    </row>
    <row r="34" spans="1:16" x14ac:dyDescent="0.25">
      <c r="A34" t="s">
        <v>955</v>
      </c>
      <c r="B34" t="s">
        <v>615</v>
      </c>
      <c r="C34" t="s">
        <v>918</v>
      </c>
      <c r="D34" t="s">
        <v>922</v>
      </c>
      <c r="E34">
        <v>1740.38</v>
      </c>
      <c r="F34">
        <v>8</v>
      </c>
      <c r="G34" t="str">
        <f>INDEX(Base!$D$2:$D$601,MATCH(B34,Base!$A$2:$A$601,0))</f>
        <v>Pequeno Escritório</v>
      </c>
      <c r="H34" t="str">
        <f>INDEX(Base!$C$2:$C$601,MATCH(B34,Base!$A$2:$A$601,0))</f>
        <v>Nordeste</v>
      </c>
      <c r="I34">
        <f>INDEX(Base!$M$2:$M$601,MATCH(B34,Base!$A$2:$A$601,0))</f>
        <v>0</v>
      </c>
      <c r="J34">
        <f t="shared" si="0"/>
        <v>1</v>
      </c>
      <c r="K34">
        <f t="shared" si="1"/>
        <v>1</v>
      </c>
      <c r="L34" t="str">
        <f>IF(INDEX(Base!$U$2:$U$601,MATCH(B34,Base!$A$2:$A$601,0))="","",INDEX(Base!$U$2:$U$601,MATCH(B34,Base!$A$2:$A$601,0)))</f>
        <v>Média</v>
      </c>
      <c r="M34">
        <f>INDEX(Base!$R$2:$R$601,MATCH(B34,Base!$A$2:$A$601,0))</f>
        <v>0</v>
      </c>
      <c r="N34" t="str">
        <f>INDEX(Base!$AB$2:$AB$601,MATCH(B34,Base!$A$2:$A$601,0))</f>
        <v>Média</v>
      </c>
      <c r="O34">
        <v>56</v>
      </c>
      <c r="P34" s="33">
        <v>45504</v>
      </c>
    </row>
    <row r="35" spans="1:16" x14ac:dyDescent="0.25">
      <c r="A35" t="s">
        <v>956</v>
      </c>
      <c r="B35" t="s">
        <v>416</v>
      </c>
      <c r="C35" t="s">
        <v>918</v>
      </c>
      <c r="D35" t="s">
        <v>218</v>
      </c>
      <c r="F35">
        <v>5</v>
      </c>
      <c r="G35" t="str">
        <f>INDEX(Base!$D$2:$D$601,MATCH(B35,Base!$A$2:$A$601,0))</f>
        <v>Médio Escritório</v>
      </c>
      <c r="H35" t="str">
        <f>INDEX(Base!$C$2:$C$601,MATCH(B35,Base!$A$2:$A$601,0))</f>
        <v>Sudeste</v>
      </c>
      <c r="I35">
        <f>INDEX(Base!$M$2:$M$601,MATCH(B35,Base!$A$2:$A$601,0))</f>
        <v>1</v>
      </c>
      <c r="J35">
        <f t="shared" si="0"/>
        <v>0</v>
      </c>
      <c r="K35">
        <f t="shared" si="1"/>
        <v>0</v>
      </c>
      <c r="L35" t="str">
        <f>IF(INDEX(Base!$U$2:$U$601,MATCH(B35,Base!$A$2:$A$601,0))="","",INDEX(Base!$U$2:$U$601,MATCH(B35,Base!$A$2:$A$601,0)))</f>
        <v/>
      </c>
      <c r="M35">
        <f>INDEX(Base!$R$2:$R$601,MATCH(B35,Base!$A$2:$A$601,0))</f>
        <v>1</v>
      </c>
      <c r="N35" t="str">
        <f>INDEX(Base!$AB$2:$AB$601,MATCH(B35,Base!$A$2:$A$601,0))</f>
        <v>Alta</v>
      </c>
      <c r="O35">
        <v>150</v>
      </c>
    </row>
    <row r="36" spans="1:16" x14ac:dyDescent="0.25">
      <c r="A36" t="s">
        <v>957</v>
      </c>
      <c r="B36" t="s">
        <v>605</v>
      </c>
      <c r="C36" t="s">
        <v>927</v>
      </c>
      <c r="D36" t="s">
        <v>220</v>
      </c>
      <c r="F36">
        <v>1</v>
      </c>
      <c r="G36" t="str">
        <f>INDEX(Base!$D$2:$D$601,MATCH(B36,Base!$A$2:$A$601,0))</f>
        <v>Autônomo</v>
      </c>
      <c r="H36" t="str">
        <f>INDEX(Base!$C$2:$C$601,MATCH(B36,Base!$A$2:$A$601,0))</f>
        <v>Nordeste</v>
      </c>
      <c r="I36">
        <f>INDEX(Base!$M$2:$M$601,MATCH(B36,Base!$A$2:$A$601,0))</f>
        <v>0</v>
      </c>
      <c r="J36">
        <f t="shared" si="0"/>
        <v>0</v>
      </c>
      <c r="K36">
        <f t="shared" si="1"/>
        <v>0</v>
      </c>
      <c r="L36" t="str">
        <f>IF(INDEX(Base!$U$2:$U$601,MATCH(B36,Base!$A$2:$A$601,0))="","",INDEX(Base!$U$2:$U$601,MATCH(B36,Base!$A$2:$A$601,0)))</f>
        <v/>
      </c>
      <c r="M36">
        <f>INDEX(Base!$R$2:$R$601,MATCH(B36,Base!$A$2:$A$601,0))</f>
        <v>0</v>
      </c>
      <c r="N36" t="str">
        <f>INDEX(Base!$AB$2:$AB$601,MATCH(B36,Base!$A$2:$A$601,0))</f>
        <v>Baixa</v>
      </c>
      <c r="O36">
        <v>31</v>
      </c>
    </row>
    <row r="37" spans="1:16" x14ac:dyDescent="0.25">
      <c r="A37" t="s">
        <v>958</v>
      </c>
      <c r="B37" t="s">
        <v>702</v>
      </c>
      <c r="C37" t="s">
        <v>921</v>
      </c>
      <c r="D37" t="s">
        <v>216</v>
      </c>
      <c r="F37">
        <v>7</v>
      </c>
      <c r="G37" t="str">
        <f>INDEX(Base!$D$2:$D$601,MATCH(B37,Base!$A$2:$A$601,0))</f>
        <v>Pequeno Escritório</v>
      </c>
      <c r="H37" t="str">
        <f>INDEX(Base!$C$2:$C$601,MATCH(B37,Base!$A$2:$A$601,0))</f>
        <v>Sudeste</v>
      </c>
      <c r="I37">
        <f>INDEX(Base!$M$2:$M$601,MATCH(B37,Base!$A$2:$A$601,0))</f>
        <v>1</v>
      </c>
      <c r="J37">
        <f t="shared" si="0"/>
        <v>0</v>
      </c>
      <c r="K37">
        <f t="shared" si="1"/>
        <v>0</v>
      </c>
      <c r="L37" t="str">
        <f>IF(INDEX(Base!$U$2:$U$601,MATCH(B37,Base!$A$2:$A$601,0))="","",INDEX(Base!$U$2:$U$601,MATCH(B37,Base!$A$2:$A$601,0)))</f>
        <v/>
      </c>
      <c r="M37">
        <f>INDEX(Base!$R$2:$R$601,MATCH(B37,Base!$A$2:$A$601,0))</f>
        <v>0</v>
      </c>
      <c r="N37" t="str">
        <f>INDEX(Base!$AB$2:$AB$601,MATCH(B37,Base!$A$2:$A$601,0))</f>
        <v>Média</v>
      </c>
      <c r="O37">
        <v>131</v>
      </c>
    </row>
    <row r="38" spans="1:16" x14ac:dyDescent="0.25">
      <c r="A38" t="s">
        <v>959</v>
      </c>
      <c r="B38" t="s">
        <v>800</v>
      </c>
      <c r="C38" t="s">
        <v>927</v>
      </c>
      <c r="D38" t="s">
        <v>922</v>
      </c>
      <c r="E38">
        <v>211.08</v>
      </c>
      <c r="F38">
        <v>7</v>
      </c>
      <c r="G38" t="str">
        <f>INDEX(Base!$D$2:$D$601,MATCH(B38,Base!$A$2:$A$601,0))</f>
        <v>Pequeno Escritório</v>
      </c>
      <c r="H38" t="str">
        <f>INDEX(Base!$C$2:$C$601,MATCH(B38,Base!$A$2:$A$601,0))</f>
        <v>Sudeste</v>
      </c>
      <c r="I38">
        <f>INDEX(Base!$M$2:$M$601,MATCH(B38,Base!$A$2:$A$601,0))</f>
        <v>0</v>
      </c>
      <c r="J38">
        <f t="shared" si="0"/>
        <v>1</v>
      </c>
      <c r="K38">
        <f t="shared" si="1"/>
        <v>1</v>
      </c>
      <c r="L38" t="str">
        <f>IF(INDEX(Base!$U$2:$U$601,MATCH(B38,Base!$A$2:$A$601,0))="","",INDEX(Base!$U$2:$U$601,MATCH(B38,Base!$A$2:$A$601,0)))</f>
        <v/>
      </c>
      <c r="M38">
        <f>INDEX(Base!$R$2:$R$601,MATCH(B38,Base!$A$2:$A$601,0))</f>
        <v>1</v>
      </c>
      <c r="N38" t="str">
        <f>INDEX(Base!$AB$2:$AB$601,MATCH(B38,Base!$A$2:$A$601,0))</f>
        <v>Média</v>
      </c>
      <c r="O38">
        <v>37</v>
      </c>
      <c r="P38" s="33">
        <v>45939</v>
      </c>
    </row>
    <row r="39" spans="1:16" x14ac:dyDescent="0.25">
      <c r="A39" t="s">
        <v>960</v>
      </c>
      <c r="B39" t="s">
        <v>868</v>
      </c>
      <c r="C39" t="s">
        <v>921</v>
      </c>
      <c r="D39" t="s">
        <v>922</v>
      </c>
      <c r="E39">
        <v>1643.37</v>
      </c>
      <c r="F39">
        <v>8</v>
      </c>
      <c r="G39" t="str">
        <f>INDEX(Base!$D$2:$D$601,MATCH(B39,Base!$A$2:$A$601,0))</f>
        <v>Autônomo</v>
      </c>
      <c r="H39" t="str">
        <f>INDEX(Base!$C$2:$C$601,MATCH(B39,Base!$A$2:$A$601,0))</f>
        <v>Sul</v>
      </c>
      <c r="I39">
        <f>INDEX(Base!$M$2:$M$601,MATCH(B39,Base!$A$2:$A$601,0))</f>
        <v>0</v>
      </c>
      <c r="J39">
        <f t="shared" si="0"/>
        <v>1</v>
      </c>
      <c r="K39">
        <f t="shared" si="1"/>
        <v>1</v>
      </c>
      <c r="L39" t="str">
        <f>IF(INDEX(Base!$U$2:$U$601,MATCH(B39,Base!$A$2:$A$601,0))="","",INDEX(Base!$U$2:$U$601,MATCH(B39,Base!$A$2:$A$601,0)))</f>
        <v/>
      </c>
      <c r="M39">
        <f>INDEX(Base!$R$2:$R$601,MATCH(B39,Base!$A$2:$A$601,0))</f>
        <v>0</v>
      </c>
      <c r="N39" t="str">
        <f>INDEX(Base!$AB$2:$AB$601,MATCH(B39,Base!$A$2:$A$601,0))</f>
        <v>Baixa</v>
      </c>
      <c r="O39">
        <v>86</v>
      </c>
      <c r="P39" s="33">
        <v>45983</v>
      </c>
    </row>
    <row r="40" spans="1:16" x14ac:dyDescent="0.25">
      <c r="A40" t="s">
        <v>961</v>
      </c>
      <c r="B40" t="s">
        <v>466</v>
      </c>
      <c r="C40" t="s">
        <v>918</v>
      </c>
      <c r="D40" t="s">
        <v>220</v>
      </c>
      <c r="F40">
        <v>10</v>
      </c>
      <c r="G40" t="str">
        <f>INDEX(Base!$D$2:$D$601,MATCH(B40,Base!$A$2:$A$601,0))</f>
        <v>Pequeno Escritório</v>
      </c>
      <c r="H40" t="str">
        <f>INDEX(Base!$C$2:$C$601,MATCH(B40,Base!$A$2:$A$601,0))</f>
        <v>Sudeste</v>
      </c>
      <c r="I40">
        <f>INDEX(Base!$M$2:$M$601,MATCH(B40,Base!$A$2:$A$601,0))</f>
        <v>1</v>
      </c>
      <c r="J40">
        <f t="shared" si="0"/>
        <v>0</v>
      </c>
      <c r="K40">
        <f t="shared" si="1"/>
        <v>0</v>
      </c>
      <c r="L40" t="str">
        <f>IF(INDEX(Base!$U$2:$U$601,MATCH(B40,Base!$A$2:$A$601,0))="","",INDEX(Base!$U$2:$U$601,MATCH(B40,Base!$A$2:$A$601,0)))</f>
        <v/>
      </c>
      <c r="M40">
        <f>INDEX(Base!$R$2:$R$601,MATCH(B40,Base!$A$2:$A$601,0))</f>
        <v>0</v>
      </c>
      <c r="N40" t="str">
        <f>INDEX(Base!$AB$2:$AB$601,MATCH(B40,Base!$A$2:$A$601,0))</f>
        <v>Média</v>
      </c>
      <c r="O40">
        <v>85</v>
      </c>
    </row>
    <row r="41" spans="1:16" x14ac:dyDescent="0.25">
      <c r="A41" t="s">
        <v>962</v>
      </c>
      <c r="B41" t="s">
        <v>688</v>
      </c>
      <c r="C41" t="s">
        <v>921</v>
      </c>
      <c r="D41" t="s">
        <v>919</v>
      </c>
      <c r="F41">
        <v>8</v>
      </c>
      <c r="G41" t="str">
        <f>INDEX(Base!$D$2:$D$601,MATCH(B41,Base!$A$2:$A$601,0))</f>
        <v>Autônomo</v>
      </c>
      <c r="H41" t="str">
        <f>INDEX(Base!$C$2:$C$601,MATCH(B41,Base!$A$2:$A$601,0))</f>
        <v>Sudeste</v>
      </c>
      <c r="I41">
        <f>INDEX(Base!$M$2:$M$601,MATCH(B41,Base!$A$2:$A$601,0))</f>
        <v>0</v>
      </c>
      <c r="J41">
        <f t="shared" si="0"/>
        <v>1</v>
      </c>
      <c r="K41">
        <f t="shared" si="1"/>
        <v>0</v>
      </c>
      <c r="L41" t="str">
        <f>IF(INDEX(Base!$U$2:$U$601,MATCH(B41,Base!$A$2:$A$601,0))="","",INDEX(Base!$U$2:$U$601,MATCH(B41,Base!$A$2:$A$601,0)))</f>
        <v>Baixa</v>
      </c>
      <c r="M41">
        <f>INDEX(Base!$R$2:$R$601,MATCH(B41,Base!$A$2:$A$601,0))</f>
        <v>0</v>
      </c>
      <c r="N41" t="str">
        <f>INDEX(Base!$AB$2:$AB$601,MATCH(B41,Base!$A$2:$A$601,0))</f>
        <v>Baixa</v>
      </c>
      <c r="O41">
        <v>34</v>
      </c>
    </row>
    <row r="42" spans="1:16" x14ac:dyDescent="0.25">
      <c r="A42" t="s">
        <v>963</v>
      </c>
      <c r="B42" t="s">
        <v>791</v>
      </c>
      <c r="C42" t="s">
        <v>921</v>
      </c>
      <c r="D42" t="s">
        <v>218</v>
      </c>
      <c r="F42">
        <v>12</v>
      </c>
      <c r="G42" t="str">
        <f>INDEX(Base!$D$2:$D$601,MATCH(B42,Base!$A$2:$A$601,0))</f>
        <v>Grande Escritório</v>
      </c>
      <c r="H42" t="str">
        <f>INDEX(Base!$C$2:$C$601,MATCH(B42,Base!$A$2:$A$601,0))</f>
        <v>Nordeste</v>
      </c>
      <c r="I42">
        <f>INDEX(Base!$M$2:$M$601,MATCH(B42,Base!$A$2:$A$601,0))</f>
        <v>1</v>
      </c>
      <c r="J42">
        <f t="shared" si="0"/>
        <v>0</v>
      </c>
      <c r="K42">
        <f t="shared" si="1"/>
        <v>0</v>
      </c>
      <c r="L42" t="str">
        <f>IF(INDEX(Base!$U$2:$U$601,MATCH(B42,Base!$A$2:$A$601,0))="","",INDEX(Base!$U$2:$U$601,MATCH(B42,Base!$A$2:$A$601,0)))</f>
        <v/>
      </c>
      <c r="M42">
        <f>INDEX(Base!$R$2:$R$601,MATCH(B42,Base!$A$2:$A$601,0))</f>
        <v>1</v>
      </c>
      <c r="N42" t="str">
        <f>INDEX(Base!$AB$2:$AB$601,MATCH(B42,Base!$A$2:$A$601,0))</f>
        <v>Alta</v>
      </c>
      <c r="O42">
        <v>116</v>
      </c>
    </row>
    <row r="43" spans="1:16" x14ac:dyDescent="0.25">
      <c r="A43" t="s">
        <v>964</v>
      </c>
      <c r="B43" t="s">
        <v>817</v>
      </c>
      <c r="C43" t="s">
        <v>918</v>
      </c>
      <c r="D43" t="s">
        <v>216</v>
      </c>
      <c r="F43">
        <v>8</v>
      </c>
      <c r="G43" t="str">
        <f>INDEX(Base!$D$2:$D$601,MATCH(B43,Base!$A$2:$A$601,0))</f>
        <v>Autônomo</v>
      </c>
      <c r="H43" t="str">
        <f>INDEX(Base!$C$2:$C$601,MATCH(B43,Base!$A$2:$A$601,0))</f>
        <v>Sudeste</v>
      </c>
      <c r="I43">
        <f>INDEX(Base!$M$2:$M$601,MATCH(B43,Base!$A$2:$A$601,0))</f>
        <v>0</v>
      </c>
      <c r="J43">
        <f t="shared" si="0"/>
        <v>0</v>
      </c>
      <c r="K43">
        <f t="shared" si="1"/>
        <v>0</v>
      </c>
      <c r="L43" t="str">
        <f>IF(INDEX(Base!$U$2:$U$601,MATCH(B43,Base!$A$2:$A$601,0))="","",INDEX(Base!$U$2:$U$601,MATCH(B43,Base!$A$2:$A$601,0)))</f>
        <v>Média</v>
      </c>
      <c r="M43">
        <f>INDEX(Base!$R$2:$R$601,MATCH(B43,Base!$A$2:$A$601,0))</f>
        <v>0</v>
      </c>
      <c r="N43" t="str">
        <f>INDEX(Base!$AB$2:$AB$601,MATCH(B43,Base!$A$2:$A$601,0))</f>
        <v>Baixa</v>
      </c>
      <c r="O43">
        <v>64</v>
      </c>
    </row>
    <row r="44" spans="1:16" x14ac:dyDescent="0.25">
      <c r="A44" t="s">
        <v>965</v>
      </c>
      <c r="B44" t="s">
        <v>850</v>
      </c>
      <c r="C44" t="s">
        <v>921</v>
      </c>
      <c r="D44" t="s">
        <v>919</v>
      </c>
      <c r="F44">
        <v>10</v>
      </c>
      <c r="G44" t="str">
        <f>INDEX(Base!$D$2:$D$601,MATCH(B44,Base!$A$2:$A$601,0))</f>
        <v>Pequeno Escritório</v>
      </c>
      <c r="H44" t="str">
        <f>INDEX(Base!$C$2:$C$601,MATCH(B44,Base!$A$2:$A$601,0))</f>
        <v>Sudeste</v>
      </c>
      <c r="I44">
        <f>INDEX(Base!$M$2:$M$601,MATCH(B44,Base!$A$2:$A$601,0))</f>
        <v>0</v>
      </c>
      <c r="J44">
        <f t="shared" si="0"/>
        <v>1</v>
      </c>
      <c r="K44">
        <f t="shared" si="1"/>
        <v>0</v>
      </c>
      <c r="L44" t="str">
        <f>IF(INDEX(Base!$U$2:$U$601,MATCH(B44,Base!$A$2:$A$601,0))="","",INDEX(Base!$U$2:$U$601,MATCH(B44,Base!$A$2:$A$601,0)))</f>
        <v>Média</v>
      </c>
      <c r="M44">
        <f>INDEX(Base!$R$2:$R$601,MATCH(B44,Base!$A$2:$A$601,0))</f>
        <v>0</v>
      </c>
      <c r="N44" t="str">
        <f>INDEX(Base!$AB$2:$AB$601,MATCH(B44,Base!$A$2:$A$601,0))</f>
        <v>Média</v>
      </c>
      <c r="O44">
        <v>173</v>
      </c>
    </row>
    <row r="45" spans="1:16" x14ac:dyDescent="0.25">
      <c r="A45" t="s">
        <v>966</v>
      </c>
      <c r="B45" t="s">
        <v>866</v>
      </c>
      <c r="C45" t="s">
        <v>921</v>
      </c>
      <c r="D45" t="s">
        <v>922</v>
      </c>
      <c r="E45">
        <v>1733.68</v>
      </c>
      <c r="F45">
        <v>11</v>
      </c>
      <c r="G45" t="str">
        <f>INDEX(Base!$D$2:$D$601,MATCH(B45,Base!$A$2:$A$601,0))</f>
        <v>Pequeno Escritório</v>
      </c>
      <c r="H45" t="str">
        <f>INDEX(Base!$C$2:$C$601,MATCH(B45,Base!$A$2:$A$601,0))</f>
        <v>Sudeste</v>
      </c>
      <c r="I45">
        <f>INDEX(Base!$M$2:$M$601,MATCH(B45,Base!$A$2:$A$601,0))</f>
        <v>1</v>
      </c>
      <c r="J45">
        <f t="shared" si="0"/>
        <v>1</v>
      </c>
      <c r="K45">
        <f t="shared" si="1"/>
        <v>1</v>
      </c>
      <c r="L45" t="str">
        <f>IF(INDEX(Base!$U$2:$U$601,MATCH(B45,Base!$A$2:$A$601,0))="","",INDEX(Base!$U$2:$U$601,MATCH(B45,Base!$A$2:$A$601,0)))</f>
        <v/>
      </c>
      <c r="M45">
        <f>INDEX(Base!$R$2:$R$601,MATCH(B45,Base!$A$2:$A$601,0))</f>
        <v>0</v>
      </c>
      <c r="N45" t="str">
        <f>INDEX(Base!$AB$2:$AB$601,MATCH(B45,Base!$A$2:$A$601,0))</f>
        <v>Média</v>
      </c>
      <c r="O45">
        <v>49</v>
      </c>
      <c r="P45" s="33">
        <v>45641</v>
      </c>
    </row>
    <row r="46" spans="1:16" x14ac:dyDescent="0.25">
      <c r="A46" t="s">
        <v>967</v>
      </c>
      <c r="B46" t="s">
        <v>741</v>
      </c>
      <c r="C46" t="s">
        <v>927</v>
      </c>
      <c r="D46" t="s">
        <v>922</v>
      </c>
      <c r="E46">
        <v>1176.04</v>
      </c>
      <c r="F46">
        <v>5</v>
      </c>
      <c r="G46" t="str">
        <f>INDEX(Base!$D$2:$D$601,MATCH(B46,Base!$A$2:$A$601,0))</f>
        <v>Pequeno Escritório</v>
      </c>
      <c r="H46" t="str">
        <f>INDEX(Base!$C$2:$C$601,MATCH(B46,Base!$A$2:$A$601,0))</f>
        <v>Sudeste</v>
      </c>
      <c r="I46">
        <f>INDEX(Base!$M$2:$M$601,MATCH(B46,Base!$A$2:$A$601,0))</f>
        <v>1</v>
      </c>
      <c r="J46">
        <f t="shared" si="0"/>
        <v>1</v>
      </c>
      <c r="K46">
        <f t="shared" si="1"/>
        <v>1</v>
      </c>
      <c r="L46" t="str">
        <f>IF(INDEX(Base!$U$2:$U$601,MATCH(B46,Base!$A$2:$A$601,0))="","",INDEX(Base!$U$2:$U$601,MATCH(B46,Base!$A$2:$A$601,0)))</f>
        <v/>
      </c>
      <c r="M46">
        <f>INDEX(Base!$R$2:$R$601,MATCH(B46,Base!$A$2:$A$601,0))</f>
        <v>0</v>
      </c>
      <c r="N46" t="str">
        <f>INDEX(Base!$AB$2:$AB$601,MATCH(B46,Base!$A$2:$A$601,0))</f>
        <v>Alta</v>
      </c>
      <c r="O46">
        <v>20</v>
      </c>
      <c r="P46" s="33">
        <v>45680</v>
      </c>
    </row>
    <row r="47" spans="1:16" x14ac:dyDescent="0.25">
      <c r="A47" t="s">
        <v>968</v>
      </c>
      <c r="B47" t="s">
        <v>336</v>
      </c>
      <c r="C47" t="s">
        <v>927</v>
      </c>
      <c r="D47" t="s">
        <v>922</v>
      </c>
      <c r="E47">
        <v>435.93</v>
      </c>
      <c r="F47">
        <v>3</v>
      </c>
      <c r="G47" t="str">
        <f>INDEX(Base!$D$2:$D$601,MATCH(B47,Base!$A$2:$A$601,0))</f>
        <v>Autônomo</v>
      </c>
      <c r="H47" t="str">
        <f>INDEX(Base!$C$2:$C$601,MATCH(B47,Base!$A$2:$A$601,0))</f>
        <v>Sul</v>
      </c>
      <c r="I47">
        <f>INDEX(Base!$M$2:$M$601,MATCH(B47,Base!$A$2:$A$601,0))</f>
        <v>0</v>
      </c>
      <c r="J47">
        <f t="shared" si="0"/>
        <v>1</v>
      </c>
      <c r="K47">
        <f t="shared" si="1"/>
        <v>1</v>
      </c>
      <c r="L47" t="str">
        <f>IF(INDEX(Base!$U$2:$U$601,MATCH(B47,Base!$A$2:$A$601,0))="","",INDEX(Base!$U$2:$U$601,MATCH(B47,Base!$A$2:$A$601,0)))</f>
        <v>Baixa</v>
      </c>
      <c r="M47">
        <f>INDEX(Base!$R$2:$R$601,MATCH(B47,Base!$A$2:$A$601,0))</f>
        <v>0</v>
      </c>
      <c r="N47" t="str">
        <f>INDEX(Base!$AB$2:$AB$601,MATCH(B47,Base!$A$2:$A$601,0))</f>
        <v>Média</v>
      </c>
      <c r="O47">
        <v>16</v>
      </c>
      <c r="P47" s="33">
        <v>45396</v>
      </c>
    </row>
    <row r="48" spans="1:16" x14ac:dyDescent="0.25">
      <c r="A48" t="s">
        <v>969</v>
      </c>
      <c r="B48" t="s">
        <v>425</v>
      </c>
      <c r="C48" t="s">
        <v>921</v>
      </c>
      <c r="D48" t="s">
        <v>922</v>
      </c>
      <c r="E48">
        <v>651.03</v>
      </c>
      <c r="F48">
        <v>4</v>
      </c>
      <c r="G48" t="str">
        <f>INDEX(Base!$D$2:$D$601,MATCH(B48,Base!$A$2:$A$601,0))</f>
        <v>Médio Escritório</v>
      </c>
      <c r="H48" t="str">
        <f>INDEX(Base!$C$2:$C$601,MATCH(B48,Base!$A$2:$A$601,0))</f>
        <v>Centro-Oeste</v>
      </c>
      <c r="I48">
        <f>INDEX(Base!$M$2:$M$601,MATCH(B48,Base!$A$2:$A$601,0))</f>
        <v>1</v>
      </c>
      <c r="J48">
        <f t="shared" si="0"/>
        <v>1</v>
      </c>
      <c r="K48">
        <f t="shared" si="1"/>
        <v>1</v>
      </c>
      <c r="L48" t="str">
        <f>IF(INDEX(Base!$U$2:$U$601,MATCH(B48,Base!$A$2:$A$601,0))="","",INDEX(Base!$U$2:$U$601,MATCH(B48,Base!$A$2:$A$601,0)))</f>
        <v/>
      </c>
      <c r="M48">
        <f>INDEX(Base!$R$2:$R$601,MATCH(B48,Base!$A$2:$A$601,0))</f>
        <v>1</v>
      </c>
      <c r="N48" t="str">
        <f>INDEX(Base!$AB$2:$AB$601,MATCH(B48,Base!$A$2:$A$601,0))</f>
        <v>Alta</v>
      </c>
      <c r="O48">
        <v>63</v>
      </c>
      <c r="P48" s="33">
        <v>45458</v>
      </c>
    </row>
    <row r="49" spans="1:16" x14ac:dyDescent="0.25">
      <c r="A49" t="s">
        <v>970</v>
      </c>
      <c r="B49" t="s">
        <v>583</v>
      </c>
      <c r="C49" t="s">
        <v>921</v>
      </c>
      <c r="D49" t="s">
        <v>216</v>
      </c>
      <c r="F49">
        <v>5</v>
      </c>
      <c r="G49" t="str">
        <f>INDEX(Base!$D$2:$D$601,MATCH(B49,Base!$A$2:$A$601,0))</f>
        <v>Autônomo</v>
      </c>
      <c r="H49" t="str">
        <f>INDEX(Base!$C$2:$C$601,MATCH(B49,Base!$A$2:$A$601,0))</f>
        <v>Sul</v>
      </c>
      <c r="I49">
        <f>INDEX(Base!$M$2:$M$601,MATCH(B49,Base!$A$2:$A$601,0))</f>
        <v>1</v>
      </c>
      <c r="J49">
        <f t="shared" si="0"/>
        <v>0</v>
      </c>
      <c r="K49">
        <f t="shared" si="1"/>
        <v>0</v>
      </c>
      <c r="L49" t="str">
        <f>IF(INDEX(Base!$U$2:$U$601,MATCH(B49,Base!$A$2:$A$601,0))="","",INDEX(Base!$U$2:$U$601,MATCH(B49,Base!$A$2:$A$601,0)))</f>
        <v/>
      </c>
      <c r="M49">
        <f>INDEX(Base!$R$2:$R$601,MATCH(B49,Base!$A$2:$A$601,0))</f>
        <v>0</v>
      </c>
      <c r="N49" t="str">
        <f>INDEX(Base!$AB$2:$AB$601,MATCH(B49,Base!$A$2:$A$601,0))</f>
        <v>Média</v>
      </c>
      <c r="O49">
        <v>96</v>
      </c>
    </row>
    <row r="50" spans="1:16" x14ac:dyDescent="0.25">
      <c r="A50" t="s">
        <v>971</v>
      </c>
      <c r="B50" t="s">
        <v>450</v>
      </c>
      <c r="C50" t="s">
        <v>927</v>
      </c>
      <c r="D50" t="s">
        <v>919</v>
      </c>
      <c r="F50">
        <v>1</v>
      </c>
      <c r="G50" t="str">
        <f>INDEX(Base!$D$2:$D$601,MATCH(B50,Base!$A$2:$A$601,0))</f>
        <v>Autônomo</v>
      </c>
      <c r="H50" t="str">
        <f>INDEX(Base!$C$2:$C$601,MATCH(B50,Base!$A$2:$A$601,0))</f>
        <v>Sudeste</v>
      </c>
      <c r="I50">
        <f>INDEX(Base!$M$2:$M$601,MATCH(B50,Base!$A$2:$A$601,0))</f>
        <v>0</v>
      </c>
      <c r="J50">
        <f t="shared" si="0"/>
        <v>1</v>
      </c>
      <c r="K50">
        <f t="shared" si="1"/>
        <v>0</v>
      </c>
      <c r="L50" t="str">
        <f>IF(INDEX(Base!$U$2:$U$601,MATCH(B50,Base!$A$2:$A$601,0))="","",INDEX(Base!$U$2:$U$601,MATCH(B50,Base!$A$2:$A$601,0)))</f>
        <v>Baixa</v>
      </c>
      <c r="M50">
        <f>INDEX(Base!$R$2:$R$601,MATCH(B50,Base!$A$2:$A$601,0))</f>
        <v>0</v>
      </c>
      <c r="N50" t="str">
        <f>INDEX(Base!$AB$2:$AB$601,MATCH(B50,Base!$A$2:$A$601,0))</f>
        <v>Baixa</v>
      </c>
      <c r="O50">
        <v>21</v>
      </c>
    </row>
    <row r="51" spans="1:16" x14ac:dyDescent="0.25">
      <c r="A51" t="s">
        <v>972</v>
      </c>
      <c r="B51" t="s">
        <v>753</v>
      </c>
      <c r="C51" t="s">
        <v>918</v>
      </c>
      <c r="D51" t="s">
        <v>218</v>
      </c>
      <c r="F51">
        <v>9</v>
      </c>
      <c r="G51" t="str">
        <f>INDEX(Base!$D$2:$D$601,MATCH(B51,Base!$A$2:$A$601,0))</f>
        <v>Pequeno Escritório</v>
      </c>
      <c r="H51" t="str">
        <f>INDEX(Base!$C$2:$C$601,MATCH(B51,Base!$A$2:$A$601,0))</f>
        <v>Sul</v>
      </c>
      <c r="I51">
        <f>INDEX(Base!$M$2:$M$601,MATCH(B51,Base!$A$2:$A$601,0))</f>
        <v>0</v>
      </c>
      <c r="J51">
        <f t="shared" si="0"/>
        <v>0</v>
      </c>
      <c r="K51">
        <f t="shared" si="1"/>
        <v>0</v>
      </c>
      <c r="L51" t="str">
        <f>IF(INDEX(Base!$U$2:$U$601,MATCH(B51,Base!$A$2:$A$601,0))="","",INDEX(Base!$U$2:$U$601,MATCH(B51,Base!$A$2:$A$601,0)))</f>
        <v>Alta</v>
      </c>
      <c r="M51">
        <f>INDEX(Base!$R$2:$R$601,MATCH(B51,Base!$A$2:$A$601,0))</f>
        <v>1</v>
      </c>
      <c r="N51" t="str">
        <f>INDEX(Base!$AB$2:$AB$601,MATCH(B51,Base!$A$2:$A$601,0))</f>
        <v>Média</v>
      </c>
      <c r="O51">
        <v>62</v>
      </c>
    </row>
    <row r="52" spans="1:16" x14ac:dyDescent="0.25">
      <c r="A52" t="s">
        <v>973</v>
      </c>
      <c r="B52" t="s">
        <v>765</v>
      </c>
      <c r="C52" t="s">
        <v>921</v>
      </c>
      <c r="D52" t="s">
        <v>922</v>
      </c>
      <c r="E52">
        <v>1420.66</v>
      </c>
      <c r="F52">
        <v>9</v>
      </c>
      <c r="G52" t="str">
        <f>INDEX(Base!$D$2:$D$601,MATCH(B52,Base!$A$2:$A$601,0))</f>
        <v>Autônomo</v>
      </c>
      <c r="H52" t="str">
        <f>INDEX(Base!$C$2:$C$601,MATCH(B52,Base!$A$2:$A$601,0))</f>
        <v>Sudeste</v>
      </c>
      <c r="I52">
        <f>INDEX(Base!$M$2:$M$601,MATCH(B52,Base!$A$2:$A$601,0))</f>
        <v>0</v>
      </c>
      <c r="J52">
        <f t="shared" si="0"/>
        <v>1</v>
      </c>
      <c r="K52">
        <f t="shared" si="1"/>
        <v>1</v>
      </c>
      <c r="L52" t="str">
        <f>IF(INDEX(Base!$U$2:$U$601,MATCH(B52,Base!$A$2:$A$601,0))="","",INDEX(Base!$U$2:$U$601,MATCH(B52,Base!$A$2:$A$601,0)))</f>
        <v>Baixa</v>
      </c>
      <c r="M52">
        <f>INDEX(Base!$R$2:$R$601,MATCH(B52,Base!$A$2:$A$601,0))</f>
        <v>0</v>
      </c>
      <c r="N52" t="str">
        <f>INDEX(Base!$AB$2:$AB$601,MATCH(B52,Base!$A$2:$A$601,0))</f>
        <v>Baixa</v>
      </c>
      <c r="O52">
        <v>5</v>
      </c>
      <c r="P52" s="33">
        <v>45645</v>
      </c>
    </row>
    <row r="53" spans="1:16" x14ac:dyDescent="0.25">
      <c r="A53" t="s">
        <v>974</v>
      </c>
      <c r="B53" t="s">
        <v>812</v>
      </c>
      <c r="C53" t="s">
        <v>918</v>
      </c>
      <c r="D53" t="s">
        <v>919</v>
      </c>
      <c r="F53">
        <v>11</v>
      </c>
      <c r="G53" t="str">
        <f>INDEX(Base!$D$2:$D$601,MATCH(B53,Base!$A$2:$A$601,0))</f>
        <v>Médio Escritório</v>
      </c>
      <c r="H53" t="str">
        <f>INDEX(Base!$C$2:$C$601,MATCH(B53,Base!$A$2:$A$601,0))</f>
        <v>Sudeste</v>
      </c>
      <c r="I53">
        <f>INDEX(Base!$M$2:$M$601,MATCH(B53,Base!$A$2:$A$601,0))</f>
        <v>1</v>
      </c>
      <c r="J53">
        <f t="shared" si="0"/>
        <v>1</v>
      </c>
      <c r="K53">
        <f t="shared" si="1"/>
        <v>0</v>
      </c>
      <c r="L53" t="str">
        <f>IF(INDEX(Base!$U$2:$U$601,MATCH(B53,Base!$A$2:$A$601,0))="","",INDEX(Base!$U$2:$U$601,MATCH(B53,Base!$A$2:$A$601,0)))</f>
        <v/>
      </c>
      <c r="M53">
        <f>INDEX(Base!$R$2:$R$601,MATCH(B53,Base!$A$2:$A$601,0))</f>
        <v>1</v>
      </c>
      <c r="N53" t="str">
        <f>INDEX(Base!$AB$2:$AB$601,MATCH(B53,Base!$A$2:$A$601,0))</f>
        <v>Alta</v>
      </c>
      <c r="O53">
        <v>31</v>
      </c>
    </row>
    <row r="54" spans="1:16" x14ac:dyDescent="0.25">
      <c r="A54" t="s">
        <v>975</v>
      </c>
      <c r="B54" t="s">
        <v>552</v>
      </c>
      <c r="C54" t="s">
        <v>927</v>
      </c>
      <c r="D54" t="s">
        <v>922</v>
      </c>
      <c r="E54">
        <v>1758.19</v>
      </c>
      <c r="F54">
        <v>10</v>
      </c>
      <c r="G54" t="str">
        <f>INDEX(Base!$D$2:$D$601,MATCH(B54,Base!$A$2:$A$601,0))</f>
        <v>Pequeno Escritório</v>
      </c>
      <c r="H54" t="str">
        <f>INDEX(Base!$C$2:$C$601,MATCH(B54,Base!$A$2:$A$601,0))</f>
        <v>Sudeste</v>
      </c>
      <c r="I54">
        <f>INDEX(Base!$M$2:$M$601,MATCH(B54,Base!$A$2:$A$601,0))</f>
        <v>0</v>
      </c>
      <c r="J54">
        <f t="shared" si="0"/>
        <v>1</v>
      </c>
      <c r="K54">
        <f t="shared" si="1"/>
        <v>1</v>
      </c>
      <c r="L54" t="str">
        <f>IF(INDEX(Base!$U$2:$U$601,MATCH(B54,Base!$A$2:$A$601,0))="","",INDEX(Base!$U$2:$U$601,MATCH(B54,Base!$A$2:$A$601,0)))</f>
        <v>Média</v>
      </c>
      <c r="M54">
        <f>INDEX(Base!$R$2:$R$601,MATCH(B54,Base!$A$2:$A$601,0))</f>
        <v>0</v>
      </c>
      <c r="N54" t="str">
        <f>INDEX(Base!$AB$2:$AB$601,MATCH(B54,Base!$A$2:$A$601,0))</f>
        <v>Média</v>
      </c>
      <c r="O54">
        <v>14</v>
      </c>
      <c r="P54" s="33">
        <v>45754</v>
      </c>
    </row>
    <row r="55" spans="1:16" x14ac:dyDescent="0.25">
      <c r="A55" t="s">
        <v>976</v>
      </c>
      <c r="B55" t="s">
        <v>822</v>
      </c>
      <c r="C55" t="s">
        <v>921</v>
      </c>
      <c r="D55" t="s">
        <v>919</v>
      </c>
      <c r="F55">
        <v>9</v>
      </c>
      <c r="G55" t="str">
        <f>INDEX(Base!$D$2:$D$601,MATCH(B55,Base!$A$2:$A$601,0))</f>
        <v>Pequeno Escritório</v>
      </c>
      <c r="H55" t="str">
        <f>INDEX(Base!$C$2:$C$601,MATCH(B55,Base!$A$2:$A$601,0))</f>
        <v>Sudeste</v>
      </c>
      <c r="I55">
        <f>INDEX(Base!$M$2:$M$601,MATCH(B55,Base!$A$2:$A$601,0))</f>
        <v>0</v>
      </c>
      <c r="J55">
        <f t="shared" si="0"/>
        <v>1</v>
      </c>
      <c r="K55">
        <f t="shared" si="1"/>
        <v>0</v>
      </c>
      <c r="L55" t="str">
        <f>IF(INDEX(Base!$U$2:$U$601,MATCH(B55,Base!$A$2:$A$601,0))="","",INDEX(Base!$U$2:$U$601,MATCH(B55,Base!$A$2:$A$601,0)))</f>
        <v>Média</v>
      </c>
      <c r="M55">
        <f>INDEX(Base!$R$2:$R$601,MATCH(B55,Base!$A$2:$A$601,0))</f>
        <v>0</v>
      </c>
      <c r="N55" t="str">
        <f>INDEX(Base!$AB$2:$AB$601,MATCH(B55,Base!$A$2:$A$601,0))</f>
        <v>Média</v>
      </c>
      <c r="O55">
        <v>31</v>
      </c>
    </row>
    <row r="56" spans="1:16" x14ac:dyDescent="0.25">
      <c r="A56" t="s">
        <v>977</v>
      </c>
      <c r="B56" t="s">
        <v>852</v>
      </c>
      <c r="C56" t="s">
        <v>918</v>
      </c>
      <c r="D56" t="s">
        <v>919</v>
      </c>
      <c r="F56">
        <v>12</v>
      </c>
      <c r="G56" t="str">
        <f>INDEX(Base!$D$2:$D$601,MATCH(B56,Base!$A$2:$A$601,0))</f>
        <v>Médio Escritório</v>
      </c>
      <c r="H56" t="str">
        <f>INDEX(Base!$C$2:$C$601,MATCH(B56,Base!$A$2:$A$601,0))</f>
        <v>Nordeste</v>
      </c>
      <c r="I56">
        <f>INDEX(Base!$M$2:$M$601,MATCH(B56,Base!$A$2:$A$601,0))</f>
        <v>1</v>
      </c>
      <c r="J56">
        <f t="shared" si="0"/>
        <v>1</v>
      </c>
      <c r="K56">
        <f t="shared" si="1"/>
        <v>0</v>
      </c>
      <c r="L56" t="str">
        <f>IF(INDEX(Base!$U$2:$U$601,MATCH(B56,Base!$A$2:$A$601,0))="","",INDEX(Base!$U$2:$U$601,MATCH(B56,Base!$A$2:$A$601,0)))</f>
        <v/>
      </c>
      <c r="M56">
        <f>INDEX(Base!$R$2:$R$601,MATCH(B56,Base!$A$2:$A$601,0))</f>
        <v>1</v>
      </c>
      <c r="N56" t="str">
        <f>INDEX(Base!$AB$2:$AB$601,MATCH(B56,Base!$A$2:$A$601,0))</f>
        <v>Alta</v>
      </c>
      <c r="O56">
        <v>79</v>
      </c>
    </row>
    <row r="57" spans="1:16" x14ac:dyDescent="0.25">
      <c r="A57" t="s">
        <v>978</v>
      </c>
      <c r="B57" t="s">
        <v>686</v>
      </c>
      <c r="C57" t="s">
        <v>927</v>
      </c>
      <c r="D57" t="s">
        <v>215</v>
      </c>
      <c r="F57">
        <v>2</v>
      </c>
      <c r="G57" t="str">
        <f>INDEX(Base!$D$2:$D$601,MATCH(B57,Base!$A$2:$A$601,0))</f>
        <v>Autônomo</v>
      </c>
      <c r="H57" t="str">
        <f>INDEX(Base!$C$2:$C$601,MATCH(B57,Base!$A$2:$A$601,0))</f>
        <v>Centro-Oeste</v>
      </c>
      <c r="I57">
        <f>INDEX(Base!$M$2:$M$601,MATCH(B57,Base!$A$2:$A$601,0))</f>
        <v>0</v>
      </c>
      <c r="J57">
        <f t="shared" si="0"/>
        <v>0</v>
      </c>
      <c r="K57">
        <f t="shared" si="1"/>
        <v>0</v>
      </c>
      <c r="L57" t="str">
        <f>IF(INDEX(Base!$U$2:$U$601,MATCH(B57,Base!$A$2:$A$601,0))="","",INDEX(Base!$U$2:$U$601,MATCH(B57,Base!$A$2:$A$601,0)))</f>
        <v>Alta</v>
      </c>
      <c r="M57">
        <f>INDEX(Base!$R$2:$R$601,MATCH(B57,Base!$A$2:$A$601,0))</f>
        <v>0</v>
      </c>
      <c r="N57" t="str">
        <f>INDEX(Base!$AB$2:$AB$601,MATCH(B57,Base!$A$2:$A$601,0))</f>
        <v>Baixa</v>
      </c>
      <c r="O57">
        <v>44</v>
      </c>
    </row>
    <row r="58" spans="1:16" x14ac:dyDescent="0.25">
      <c r="A58" t="s">
        <v>979</v>
      </c>
      <c r="B58" t="s">
        <v>813</v>
      </c>
      <c r="C58" t="s">
        <v>921</v>
      </c>
      <c r="D58" t="s">
        <v>919</v>
      </c>
      <c r="F58">
        <v>4</v>
      </c>
      <c r="G58" t="str">
        <f>INDEX(Base!$D$2:$D$601,MATCH(B58,Base!$A$2:$A$601,0))</f>
        <v>Autônomo</v>
      </c>
      <c r="H58" t="str">
        <f>INDEX(Base!$C$2:$C$601,MATCH(B58,Base!$A$2:$A$601,0))</f>
        <v>Sudeste</v>
      </c>
      <c r="I58">
        <f>INDEX(Base!$M$2:$M$601,MATCH(B58,Base!$A$2:$A$601,0))</f>
        <v>0</v>
      </c>
      <c r="J58">
        <f t="shared" si="0"/>
        <v>1</v>
      </c>
      <c r="K58">
        <f t="shared" si="1"/>
        <v>0</v>
      </c>
      <c r="L58" t="str">
        <f>IF(INDEX(Base!$U$2:$U$601,MATCH(B58,Base!$A$2:$A$601,0))="","",INDEX(Base!$U$2:$U$601,MATCH(B58,Base!$A$2:$A$601,0)))</f>
        <v>Baixa</v>
      </c>
      <c r="M58">
        <f>INDEX(Base!$R$2:$R$601,MATCH(B58,Base!$A$2:$A$601,0))</f>
        <v>0</v>
      </c>
      <c r="N58" t="str">
        <f>INDEX(Base!$AB$2:$AB$601,MATCH(B58,Base!$A$2:$A$601,0))</f>
        <v>Baixa</v>
      </c>
      <c r="O58">
        <v>117</v>
      </c>
    </row>
    <row r="59" spans="1:16" x14ac:dyDescent="0.25">
      <c r="A59" t="s">
        <v>980</v>
      </c>
      <c r="B59" t="s">
        <v>466</v>
      </c>
      <c r="C59" t="s">
        <v>981</v>
      </c>
      <c r="D59" t="s">
        <v>218</v>
      </c>
      <c r="F59">
        <v>8</v>
      </c>
      <c r="G59" t="str">
        <f>INDEX(Base!$D$2:$D$601,MATCH(B59,Base!$A$2:$A$601,0))</f>
        <v>Pequeno Escritório</v>
      </c>
      <c r="H59" t="str">
        <f>INDEX(Base!$C$2:$C$601,MATCH(B59,Base!$A$2:$A$601,0))</f>
        <v>Sudeste</v>
      </c>
      <c r="I59">
        <f>INDEX(Base!$M$2:$M$601,MATCH(B59,Base!$A$2:$A$601,0))</f>
        <v>1</v>
      </c>
      <c r="J59">
        <f t="shared" si="0"/>
        <v>0</v>
      </c>
      <c r="K59">
        <f t="shared" si="1"/>
        <v>0</v>
      </c>
      <c r="L59" t="str">
        <f>IF(INDEX(Base!$U$2:$U$601,MATCH(B59,Base!$A$2:$A$601,0))="","",INDEX(Base!$U$2:$U$601,MATCH(B59,Base!$A$2:$A$601,0)))</f>
        <v/>
      </c>
      <c r="M59">
        <f>INDEX(Base!$R$2:$R$601,MATCH(B59,Base!$A$2:$A$601,0))</f>
        <v>0</v>
      </c>
      <c r="N59" t="str">
        <f>INDEX(Base!$AB$2:$AB$601,MATCH(B59,Base!$A$2:$A$601,0))</f>
        <v>Média</v>
      </c>
      <c r="O59">
        <v>92</v>
      </c>
    </row>
    <row r="60" spans="1:16" x14ac:dyDescent="0.25">
      <c r="A60" t="s">
        <v>982</v>
      </c>
      <c r="B60" t="s">
        <v>478</v>
      </c>
      <c r="C60" t="s">
        <v>918</v>
      </c>
      <c r="D60" t="s">
        <v>218</v>
      </c>
      <c r="F60">
        <v>12</v>
      </c>
      <c r="G60" t="str">
        <f>INDEX(Base!$D$2:$D$601,MATCH(B60,Base!$A$2:$A$601,0))</f>
        <v>Médio Escritório</v>
      </c>
      <c r="H60" t="str">
        <f>INDEX(Base!$C$2:$C$601,MATCH(B60,Base!$A$2:$A$601,0))</f>
        <v>Sudeste</v>
      </c>
      <c r="I60">
        <f>INDEX(Base!$M$2:$M$601,MATCH(B60,Base!$A$2:$A$601,0))</f>
        <v>1</v>
      </c>
      <c r="J60">
        <f t="shared" si="0"/>
        <v>0</v>
      </c>
      <c r="K60">
        <f t="shared" si="1"/>
        <v>0</v>
      </c>
      <c r="L60" t="str">
        <f>IF(INDEX(Base!$U$2:$U$601,MATCH(B60,Base!$A$2:$A$601,0))="","",INDEX(Base!$U$2:$U$601,MATCH(B60,Base!$A$2:$A$601,0)))</f>
        <v/>
      </c>
      <c r="M60">
        <f>INDEX(Base!$R$2:$R$601,MATCH(B60,Base!$A$2:$A$601,0))</f>
        <v>1</v>
      </c>
      <c r="N60" t="str">
        <f>INDEX(Base!$AB$2:$AB$601,MATCH(B60,Base!$A$2:$A$601,0))</f>
        <v>Alta</v>
      </c>
      <c r="O60">
        <v>111</v>
      </c>
    </row>
    <row r="61" spans="1:16" x14ac:dyDescent="0.25">
      <c r="A61" t="s">
        <v>983</v>
      </c>
      <c r="B61" t="s">
        <v>401</v>
      </c>
      <c r="C61" t="s">
        <v>918</v>
      </c>
      <c r="D61" t="s">
        <v>218</v>
      </c>
      <c r="F61">
        <v>9</v>
      </c>
      <c r="G61" t="str">
        <f>INDEX(Base!$D$2:$D$601,MATCH(B61,Base!$A$2:$A$601,0))</f>
        <v>Pequeno Escritório</v>
      </c>
      <c r="H61" t="str">
        <f>INDEX(Base!$C$2:$C$601,MATCH(B61,Base!$A$2:$A$601,0))</f>
        <v>Norte</v>
      </c>
      <c r="I61">
        <f>INDEX(Base!$M$2:$M$601,MATCH(B61,Base!$A$2:$A$601,0))</f>
        <v>0</v>
      </c>
      <c r="J61">
        <f t="shared" si="0"/>
        <v>0</v>
      </c>
      <c r="K61">
        <f t="shared" si="1"/>
        <v>0</v>
      </c>
      <c r="L61" t="str">
        <f>IF(INDEX(Base!$U$2:$U$601,MATCH(B61,Base!$A$2:$A$601,0))="","",INDEX(Base!$U$2:$U$601,MATCH(B61,Base!$A$2:$A$601,0)))</f>
        <v>Alta</v>
      </c>
      <c r="M61">
        <f>INDEX(Base!$R$2:$R$601,MATCH(B61,Base!$A$2:$A$601,0))</f>
        <v>1</v>
      </c>
      <c r="N61" t="str">
        <f>INDEX(Base!$AB$2:$AB$601,MATCH(B61,Base!$A$2:$A$601,0))</f>
        <v>Média</v>
      </c>
      <c r="O61">
        <v>112</v>
      </c>
    </row>
    <row r="62" spans="1:16" x14ac:dyDescent="0.25">
      <c r="A62" t="s">
        <v>984</v>
      </c>
      <c r="B62" t="s">
        <v>718</v>
      </c>
      <c r="C62" t="s">
        <v>927</v>
      </c>
      <c r="D62" t="s">
        <v>919</v>
      </c>
      <c r="F62">
        <v>7</v>
      </c>
      <c r="G62" t="str">
        <f>INDEX(Base!$D$2:$D$601,MATCH(B62,Base!$A$2:$A$601,0))</f>
        <v>Autônomo</v>
      </c>
      <c r="H62" t="str">
        <f>INDEX(Base!$C$2:$C$601,MATCH(B62,Base!$A$2:$A$601,0))</f>
        <v>Centro-Oeste</v>
      </c>
      <c r="I62">
        <f>INDEX(Base!$M$2:$M$601,MATCH(B62,Base!$A$2:$A$601,0))</f>
        <v>0</v>
      </c>
      <c r="J62">
        <f t="shared" si="0"/>
        <v>1</v>
      </c>
      <c r="K62">
        <f t="shared" si="1"/>
        <v>0</v>
      </c>
      <c r="L62" t="str">
        <f>IF(INDEX(Base!$U$2:$U$601,MATCH(B62,Base!$A$2:$A$601,0))="","",INDEX(Base!$U$2:$U$601,MATCH(B62,Base!$A$2:$A$601,0)))</f>
        <v>Baixa</v>
      </c>
      <c r="M62">
        <f>INDEX(Base!$R$2:$R$601,MATCH(B62,Base!$A$2:$A$601,0))</f>
        <v>0</v>
      </c>
      <c r="N62" t="str">
        <f>INDEX(Base!$AB$2:$AB$601,MATCH(B62,Base!$A$2:$A$601,0))</f>
        <v>Média</v>
      </c>
      <c r="O62">
        <v>122</v>
      </c>
    </row>
    <row r="63" spans="1:16" x14ac:dyDescent="0.25">
      <c r="A63" t="s">
        <v>985</v>
      </c>
      <c r="B63" t="s">
        <v>447</v>
      </c>
      <c r="C63" t="s">
        <v>981</v>
      </c>
      <c r="D63" t="s">
        <v>922</v>
      </c>
      <c r="E63">
        <v>1707.17</v>
      </c>
      <c r="F63">
        <v>8</v>
      </c>
      <c r="G63" t="str">
        <f>INDEX(Base!$D$2:$D$601,MATCH(B63,Base!$A$2:$A$601,0))</f>
        <v>Pequeno Escritório</v>
      </c>
      <c r="H63" t="str">
        <f>INDEX(Base!$C$2:$C$601,MATCH(B63,Base!$A$2:$A$601,0))</f>
        <v>Sul</v>
      </c>
      <c r="I63">
        <f>INDEX(Base!$M$2:$M$601,MATCH(B63,Base!$A$2:$A$601,0))</f>
        <v>0</v>
      </c>
      <c r="J63">
        <f t="shared" si="0"/>
        <v>1</v>
      </c>
      <c r="K63">
        <f t="shared" si="1"/>
        <v>1</v>
      </c>
      <c r="L63" t="str">
        <f>IF(INDEX(Base!$U$2:$U$601,MATCH(B63,Base!$A$2:$A$601,0))="","",INDEX(Base!$U$2:$U$601,MATCH(B63,Base!$A$2:$A$601,0)))</f>
        <v>Média</v>
      </c>
      <c r="M63">
        <f>INDEX(Base!$R$2:$R$601,MATCH(B63,Base!$A$2:$A$601,0))</f>
        <v>0</v>
      </c>
      <c r="N63" t="str">
        <f>INDEX(Base!$AB$2:$AB$601,MATCH(B63,Base!$A$2:$A$601,0))</f>
        <v>Média</v>
      </c>
      <c r="O63">
        <v>46</v>
      </c>
      <c r="P63" s="33">
        <v>45866</v>
      </c>
    </row>
    <row r="64" spans="1:16" x14ac:dyDescent="0.25">
      <c r="A64" t="s">
        <v>986</v>
      </c>
      <c r="B64" t="s">
        <v>449</v>
      </c>
      <c r="C64" t="s">
        <v>918</v>
      </c>
      <c r="D64" t="s">
        <v>221</v>
      </c>
      <c r="F64">
        <v>2</v>
      </c>
      <c r="G64" t="str">
        <f>INDEX(Base!$D$2:$D$601,MATCH(B64,Base!$A$2:$A$601,0))</f>
        <v>Autônomo</v>
      </c>
      <c r="H64" t="str">
        <f>INDEX(Base!$C$2:$C$601,MATCH(B64,Base!$A$2:$A$601,0))</f>
        <v>Nordeste</v>
      </c>
      <c r="I64">
        <f>INDEX(Base!$M$2:$M$601,MATCH(B64,Base!$A$2:$A$601,0))</f>
        <v>0</v>
      </c>
      <c r="J64">
        <f t="shared" si="0"/>
        <v>0</v>
      </c>
      <c r="K64">
        <f t="shared" si="1"/>
        <v>0</v>
      </c>
      <c r="L64" t="str">
        <f>IF(INDEX(Base!$U$2:$U$601,MATCH(B64,Base!$A$2:$A$601,0))="","",INDEX(Base!$U$2:$U$601,MATCH(B64,Base!$A$2:$A$601,0)))</f>
        <v>Baixa</v>
      </c>
      <c r="M64">
        <f>INDEX(Base!$R$2:$R$601,MATCH(B64,Base!$A$2:$A$601,0))</f>
        <v>0</v>
      </c>
      <c r="N64" t="str">
        <f>INDEX(Base!$AB$2:$AB$601,MATCH(B64,Base!$A$2:$A$601,0))</f>
        <v>Baixa</v>
      </c>
      <c r="O64">
        <v>91</v>
      </c>
    </row>
    <row r="65" spans="1:16" x14ac:dyDescent="0.25">
      <c r="A65" t="s">
        <v>987</v>
      </c>
      <c r="B65" t="s">
        <v>394</v>
      </c>
      <c r="C65" t="s">
        <v>918</v>
      </c>
      <c r="D65" t="s">
        <v>216</v>
      </c>
      <c r="F65">
        <v>7</v>
      </c>
      <c r="G65" t="str">
        <f>INDEX(Base!$D$2:$D$601,MATCH(B65,Base!$A$2:$A$601,0))</f>
        <v>Pequeno Escritório</v>
      </c>
      <c r="H65" t="str">
        <f>INDEX(Base!$C$2:$C$601,MATCH(B65,Base!$A$2:$A$601,0))</f>
        <v>Sudeste</v>
      </c>
      <c r="I65">
        <f>INDEX(Base!$M$2:$M$601,MATCH(B65,Base!$A$2:$A$601,0))</f>
        <v>1</v>
      </c>
      <c r="J65">
        <f t="shared" si="0"/>
        <v>0</v>
      </c>
      <c r="K65">
        <f t="shared" si="1"/>
        <v>0</v>
      </c>
      <c r="L65" t="str">
        <f>IF(INDEX(Base!$U$2:$U$601,MATCH(B65,Base!$A$2:$A$601,0))="","",INDEX(Base!$U$2:$U$601,MATCH(B65,Base!$A$2:$A$601,0)))</f>
        <v/>
      </c>
      <c r="M65">
        <f>INDEX(Base!$R$2:$R$601,MATCH(B65,Base!$A$2:$A$601,0))</f>
        <v>1</v>
      </c>
      <c r="N65" t="str">
        <f>INDEX(Base!$AB$2:$AB$601,MATCH(B65,Base!$A$2:$A$601,0))</f>
        <v>Alta</v>
      </c>
      <c r="O65">
        <v>14</v>
      </c>
    </row>
    <row r="66" spans="1:16" x14ac:dyDescent="0.25">
      <c r="A66" t="s">
        <v>988</v>
      </c>
      <c r="B66" t="s">
        <v>310</v>
      </c>
      <c r="C66" t="s">
        <v>927</v>
      </c>
      <c r="D66" t="s">
        <v>218</v>
      </c>
      <c r="F66">
        <v>10</v>
      </c>
      <c r="G66" t="str">
        <f>INDEX(Base!$D$2:$D$601,MATCH(B66,Base!$A$2:$A$601,0))</f>
        <v>Autônomo</v>
      </c>
      <c r="H66" t="str">
        <f>INDEX(Base!$C$2:$C$601,MATCH(B66,Base!$A$2:$A$601,0))</f>
        <v>Sudeste</v>
      </c>
      <c r="I66">
        <f>INDEX(Base!$M$2:$M$601,MATCH(B66,Base!$A$2:$A$601,0))</f>
        <v>0</v>
      </c>
      <c r="J66">
        <f t="shared" ref="J66:J129" si="2">IF(OR(D66="Ganho",D66="Perdido"),1,0)</f>
        <v>0</v>
      </c>
      <c r="K66">
        <f t="shared" ref="K66:K129" si="3">IF(D66="Ganho",1,0)</f>
        <v>0</v>
      </c>
      <c r="L66" t="str">
        <f>IF(INDEX(Base!$U$2:$U$601,MATCH(B66,Base!$A$2:$A$601,0))="","",INDEX(Base!$U$2:$U$601,MATCH(B66,Base!$A$2:$A$601,0)))</f>
        <v>Baixa</v>
      </c>
      <c r="M66">
        <f>INDEX(Base!$R$2:$R$601,MATCH(B66,Base!$A$2:$A$601,0))</f>
        <v>0</v>
      </c>
      <c r="N66" t="str">
        <f>INDEX(Base!$AB$2:$AB$601,MATCH(B66,Base!$A$2:$A$601,0))</f>
        <v>Baixa</v>
      </c>
      <c r="O66">
        <v>19</v>
      </c>
    </row>
    <row r="67" spans="1:16" x14ac:dyDescent="0.25">
      <c r="A67" t="s">
        <v>989</v>
      </c>
      <c r="B67" t="s">
        <v>784</v>
      </c>
      <c r="C67" t="s">
        <v>981</v>
      </c>
      <c r="D67" t="s">
        <v>922</v>
      </c>
      <c r="E67">
        <v>1754.89</v>
      </c>
      <c r="F67">
        <v>7</v>
      </c>
      <c r="G67" t="str">
        <f>INDEX(Base!$D$2:$D$601,MATCH(B67,Base!$A$2:$A$601,0))</f>
        <v>Autônomo</v>
      </c>
      <c r="H67" t="str">
        <f>INDEX(Base!$C$2:$C$601,MATCH(B67,Base!$A$2:$A$601,0))</f>
        <v>Nordeste</v>
      </c>
      <c r="I67">
        <f>INDEX(Base!$M$2:$M$601,MATCH(B67,Base!$A$2:$A$601,0))</f>
        <v>0</v>
      </c>
      <c r="J67">
        <f t="shared" si="2"/>
        <v>1</v>
      </c>
      <c r="K67">
        <f t="shared" si="3"/>
        <v>1</v>
      </c>
      <c r="L67" t="str">
        <f>IF(INDEX(Base!$U$2:$U$601,MATCH(B67,Base!$A$2:$A$601,0))="","",INDEX(Base!$U$2:$U$601,MATCH(B67,Base!$A$2:$A$601,0)))</f>
        <v>Baixa</v>
      </c>
      <c r="M67">
        <f>INDEX(Base!$R$2:$R$601,MATCH(B67,Base!$A$2:$A$601,0))</f>
        <v>0</v>
      </c>
      <c r="N67" t="str">
        <f>INDEX(Base!$AB$2:$AB$601,MATCH(B67,Base!$A$2:$A$601,0))</f>
        <v>Baixa</v>
      </c>
      <c r="O67">
        <v>66</v>
      </c>
      <c r="P67" s="33">
        <v>46088</v>
      </c>
    </row>
    <row r="68" spans="1:16" x14ac:dyDescent="0.25">
      <c r="A68" t="s">
        <v>990</v>
      </c>
      <c r="B68" t="s">
        <v>492</v>
      </c>
      <c r="C68" t="s">
        <v>921</v>
      </c>
      <c r="D68" t="s">
        <v>922</v>
      </c>
      <c r="E68">
        <v>1340.56</v>
      </c>
      <c r="F68">
        <v>6</v>
      </c>
      <c r="G68" t="str">
        <f>INDEX(Base!$D$2:$D$601,MATCH(B68,Base!$A$2:$A$601,0))</f>
        <v>Autônomo</v>
      </c>
      <c r="H68" t="str">
        <f>INDEX(Base!$C$2:$C$601,MATCH(B68,Base!$A$2:$A$601,0))</f>
        <v>Nordeste</v>
      </c>
      <c r="I68">
        <f>INDEX(Base!$M$2:$M$601,MATCH(B68,Base!$A$2:$A$601,0))</f>
        <v>0</v>
      </c>
      <c r="J68">
        <f t="shared" si="2"/>
        <v>1</v>
      </c>
      <c r="K68">
        <f t="shared" si="3"/>
        <v>1</v>
      </c>
      <c r="L68" t="str">
        <f>IF(INDEX(Base!$U$2:$U$601,MATCH(B68,Base!$A$2:$A$601,0))="","",INDEX(Base!$U$2:$U$601,MATCH(B68,Base!$A$2:$A$601,0)))</f>
        <v>Baixa</v>
      </c>
      <c r="M68">
        <f>INDEX(Base!$R$2:$R$601,MATCH(B68,Base!$A$2:$A$601,0))</f>
        <v>0</v>
      </c>
      <c r="N68" t="str">
        <f>INDEX(Base!$AB$2:$AB$601,MATCH(B68,Base!$A$2:$A$601,0))</f>
        <v>Baixa</v>
      </c>
      <c r="O68">
        <v>38</v>
      </c>
      <c r="P68" s="33">
        <v>46027</v>
      </c>
    </row>
    <row r="69" spans="1:16" x14ac:dyDescent="0.25">
      <c r="A69" t="s">
        <v>991</v>
      </c>
      <c r="B69" t="s">
        <v>597</v>
      </c>
      <c r="C69" t="s">
        <v>934</v>
      </c>
      <c r="D69" t="s">
        <v>919</v>
      </c>
      <c r="F69">
        <v>10</v>
      </c>
      <c r="G69" t="str">
        <f>INDEX(Base!$D$2:$D$601,MATCH(B69,Base!$A$2:$A$601,0))</f>
        <v>Autônomo</v>
      </c>
      <c r="H69" t="str">
        <f>INDEX(Base!$C$2:$C$601,MATCH(B69,Base!$A$2:$A$601,0))</f>
        <v>Centro-Oeste</v>
      </c>
      <c r="I69">
        <f>INDEX(Base!$M$2:$M$601,MATCH(B69,Base!$A$2:$A$601,0))</f>
        <v>0</v>
      </c>
      <c r="J69">
        <f t="shared" si="2"/>
        <v>1</v>
      </c>
      <c r="K69">
        <f t="shared" si="3"/>
        <v>0</v>
      </c>
      <c r="L69" t="str">
        <f>IF(INDEX(Base!$U$2:$U$601,MATCH(B69,Base!$A$2:$A$601,0))="","",INDEX(Base!$U$2:$U$601,MATCH(B69,Base!$A$2:$A$601,0)))</f>
        <v>Baixa</v>
      </c>
      <c r="M69">
        <f>INDEX(Base!$R$2:$R$601,MATCH(B69,Base!$A$2:$A$601,0))</f>
        <v>0</v>
      </c>
      <c r="N69" t="str">
        <f>INDEX(Base!$AB$2:$AB$601,MATCH(B69,Base!$A$2:$A$601,0))</f>
        <v>Média</v>
      </c>
      <c r="O69">
        <v>42</v>
      </c>
    </row>
    <row r="70" spans="1:16" x14ac:dyDescent="0.25">
      <c r="A70" t="s">
        <v>992</v>
      </c>
      <c r="B70" t="s">
        <v>900</v>
      </c>
      <c r="C70" t="s">
        <v>927</v>
      </c>
      <c r="D70" t="s">
        <v>922</v>
      </c>
      <c r="E70">
        <v>1180.19</v>
      </c>
      <c r="F70">
        <v>10</v>
      </c>
      <c r="G70" t="str">
        <f>INDEX(Base!$D$2:$D$601,MATCH(B70,Base!$A$2:$A$601,0))</f>
        <v>Autônomo</v>
      </c>
      <c r="H70" t="str">
        <f>INDEX(Base!$C$2:$C$601,MATCH(B70,Base!$A$2:$A$601,0))</f>
        <v>Sudeste</v>
      </c>
      <c r="I70">
        <f>INDEX(Base!$M$2:$M$601,MATCH(B70,Base!$A$2:$A$601,0))</f>
        <v>0</v>
      </c>
      <c r="J70">
        <f t="shared" si="2"/>
        <v>1</v>
      </c>
      <c r="K70">
        <f t="shared" si="3"/>
        <v>1</v>
      </c>
      <c r="L70" t="str">
        <f>IF(INDEX(Base!$U$2:$U$601,MATCH(B70,Base!$A$2:$A$601,0))="","",INDEX(Base!$U$2:$U$601,MATCH(B70,Base!$A$2:$A$601,0)))</f>
        <v>Baixa</v>
      </c>
      <c r="M70">
        <f>INDEX(Base!$R$2:$R$601,MATCH(B70,Base!$A$2:$A$601,0))</f>
        <v>0</v>
      </c>
      <c r="N70" t="str">
        <f>INDEX(Base!$AB$2:$AB$601,MATCH(B70,Base!$A$2:$A$601,0))</f>
        <v>Baixa</v>
      </c>
      <c r="O70">
        <v>69</v>
      </c>
      <c r="P70" s="33">
        <v>45817</v>
      </c>
    </row>
    <row r="71" spans="1:16" x14ac:dyDescent="0.25">
      <c r="A71" t="s">
        <v>993</v>
      </c>
      <c r="B71" t="s">
        <v>559</v>
      </c>
      <c r="C71" t="s">
        <v>927</v>
      </c>
      <c r="D71" t="s">
        <v>218</v>
      </c>
      <c r="F71">
        <v>11</v>
      </c>
      <c r="G71" t="str">
        <f>INDEX(Base!$D$2:$D$601,MATCH(B71,Base!$A$2:$A$601,0))</f>
        <v>Pequeno Escritório</v>
      </c>
      <c r="H71" t="str">
        <f>INDEX(Base!$C$2:$C$601,MATCH(B71,Base!$A$2:$A$601,0))</f>
        <v>Sudeste</v>
      </c>
      <c r="I71">
        <f>INDEX(Base!$M$2:$M$601,MATCH(B71,Base!$A$2:$A$601,0))</f>
        <v>0</v>
      </c>
      <c r="J71">
        <f t="shared" si="2"/>
        <v>0</v>
      </c>
      <c r="K71">
        <f t="shared" si="3"/>
        <v>0</v>
      </c>
      <c r="L71" t="str">
        <f>IF(INDEX(Base!$U$2:$U$601,MATCH(B71,Base!$A$2:$A$601,0))="","",INDEX(Base!$U$2:$U$601,MATCH(B71,Base!$A$2:$A$601,0)))</f>
        <v>Baixa</v>
      </c>
      <c r="M71">
        <f>INDEX(Base!$R$2:$R$601,MATCH(B71,Base!$A$2:$A$601,0))</f>
        <v>0</v>
      </c>
      <c r="N71" t="str">
        <f>INDEX(Base!$AB$2:$AB$601,MATCH(B71,Base!$A$2:$A$601,0))</f>
        <v>Média</v>
      </c>
      <c r="O71">
        <v>108</v>
      </c>
    </row>
    <row r="72" spans="1:16" x14ac:dyDescent="0.25">
      <c r="A72" t="s">
        <v>994</v>
      </c>
      <c r="B72" t="s">
        <v>849</v>
      </c>
      <c r="C72" t="s">
        <v>927</v>
      </c>
      <c r="D72" t="s">
        <v>220</v>
      </c>
      <c r="F72">
        <v>9</v>
      </c>
      <c r="G72" t="str">
        <f>INDEX(Base!$D$2:$D$601,MATCH(B72,Base!$A$2:$A$601,0))</f>
        <v>Médio Escritório</v>
      </c>
      <c r="H72" t="str">
        <f>INDEX(Base!$C$2:$C$601,MATCH(B72,Base!$A$2:$A$601,0))</f>
        <v>Sudeste</v>
      </c>
      <c r="I72">
        <f>INDEX(Base!$M$2:$M$601,MATCH(B72,Base!$A$2:$A$601,0))</f>
        <v>1</v>
      </c>
      <c r="J72">
        <f t="shared" si="2"/>
        <v>0</v>
      </c>
      <c r="K72">
        <f t="shared" si="3"/>
        <v>0</v>
      </c>
      <c r="L72" t="str">
        <f>IF(INDEX(Base!$U$2:$U$601,MATCH(B72,Base!$A$2:$A$601,0))="","",INDEX(Base!$U$2:$U$601,MATCH(B72,Base!$A$2:$A$601,0)))</f>
        <v/>
      </c>
      <c r="M72">
        <f>INDEX(Base!$R$2:$R$601,MATCH(B72,Base!$A$2:$A$601,0))</f>
        <v>1</v>
      </c>
      <c r="N72" t="str">
        <f>INDEX(Base!$AB$2:$AB$601,MATCH(B72,Base!$A$2:$A$601,0))</f>
        <v>Alta</v>
      </c>
      <c r="O72">
        <v>90</v>
      </c>
    </row>
    <row r="73" spans="1:16" x14ac:dyDescent="0.25">
      <c r="A73" t="s">
        <v>995</v>
      </c>
      <c r="B73" t="s">
        <v>427</v>
      </c>
      <c r="C73" t="s">
        <v>918</v>
      </c>
      <c r="D73" t="s">
        <v>215</v>
      </c>
      <c r="F73">
        <v>9</v>
      </c>
      <c r="G73" t="str">
        <f>INDEX(Base!$D$2:$D$601,MATCH(B73,Base!$A$2:$A$601,0))</f>
        <v>Autônomo</v>
      </c>
      <c r="H73" t="str">
        <f>INDEX(Base!$C$2:$C$601,MATCH(B73,Base!$A$2:$A$601,0))</f>
        <v>Sul</v>
      </c>
      <c r="I73">
        <f>INDEX(Base!$M$2:$M$601,MATCH(B73,Base!$A$2:$A$601,0))</f>
        <v>0</v>
      </c>
      <c r="J73">
        <f t="shared" si="2"/>
        <v>0</v>
      </c>
      <c r="K73">
        <f t="shared" si="3"/>
        <v>0</v>
      </c>
      <c r="L73" t="str">
        <f>IF(INDEX(Base!$U$2:$U$601,MATCH(B73,Base!$A$2:$A$601,0))="","",INDEX(Base!$U$2:$U$601,MATCH(B73,Base!$A$2:$A$601,0)))</f>
        <v>Média</v>
      </c>
      <c r="M73">
        <f>INDEX(Base!$R$2:$R$601,MATCH(B73,Base!$A$2:$A$601,0))</f>
        <v>0</v>
      </c>
      <c r="N73" t="str">
        <f>INDEX(Base!$AB$2:$AB$601,MATCH(B73,Base!$A$2:$A$601,0))</f>
        <v>Baixa</v>
      </c>
      <c r="O73">
        <v>77</v>
      </c>
    </row>
    <row r="74" spans="1:16" x14ac:dyDescent="0.25">
      <c r="A74" t="s">
        <v>996</v>
      </c>
      <c r="B74" t="s">
        <v>469</v>
      </c>
      <c r="C74" t="s">
        <v>918</v>
      </c>
      <c r="D74" t="s">
        <v>218</v>
      </c>
      <c r="F74">
        <v>6</v>
      </c>
      <c r="G74" t="str">
        <f>INDEX(Base!$D$2:$D$601,MATCH(B74,Base!$A$2:$A$601,0))</f>
        <v>Grande Escritório</v>
      </c>
      <c r="H74" t="str">
        <f>INDEX(Base!$C$2:$C$601,MATCH(B74,Base!$A$2:$A$601,0))</f>
        <v>Nordeste</v>
      </c>
      <c r="I74">
        <f>INDEX(Base!$M$2:$M$601,MATCH(B74,Base!$A$2:$A$601,0))</f>
        <v>1</v>
      </c>
      <c r="J74">
        <f t="shared" si="2"/>
        <v>0</v>
      </c>
      <c r="K74">
        <f t="shared" si="3"/>
        <v>0</v>
      </c>
      <c r="L74" t="str">
        <f>IF(INDEX(Base!$U$2:$U$601,MATCH(B74,Base!$A$2:$A$601,0))="","",INDEX(Base!$U$2:$U$601,MATCH(B74,Base!$A$2:$A$601,0)))</f>
        <v/>
      </c>
      <c r="M74">
        <f>INDEX(Base!$R$2:$R$601,MATCH(B74,Base!$A$2:$A$601,0))</f>
        <v>1</v>
      </c>
      <c r="N74" t="str">
        <f>INDEX(Base!$AB$2:$AB$601,MATCH(B74,Base!$A$2:$A$601,0))</f>
        <v>Alta</v>
      </c>
      <c r="O74">
        <v>167</v>
      </c>
    </row>
    <row r="75" spans="1:16" x14ac:dyDescent="0.25">
      <c r="A75" t="s">
        <v>997</v>
      </c>
      <c r="B75" t="s">
        <v>311</v>
      </c>
      <c r="C75" t="s">
        <v>918</v>
      </c>
      <c r="D75" t="s">
        <v>215</v>
      </c>
      <c r="F75">
        <v>4</v>
      </c>
      <c r="G75" t="str">
        <f>INDEX(Base!$D$2:$D$601,MATCH(B75,Base!$A$2:$A$601,0))</f>
        <v>Autônomo</v>
      </c>
      <c r="H75" t="str">
        <f>INDEX(Base!$C$2:$C$601,MATCH(B75,Base!$A$2:$A$601,0))</f>
        <v>Sul</v>
      </c>
      <c r="I75">
        <f>INDEX(Base!$M$2:$M$601,MATCH(B75,Base!$A$2:$A$601,0))</f>
        <v>0</v>
      </c>
      <c r="J75">
        <f t="shared" si="2"/>
        <v>0</v>
      </c>
      <c r="K75">
        <f t="shared" si="3"/>
        <v>0</v>
      </c>
      <c r="L75" t="str">
        <f>IF(INDEX(Base!$U$2:$U$601,MATCH(B75,Base!$A$2:$A$601,0))="","",INDEX(Base!$U$2:$U$601,MATCH(B75,Base!$A$2:$A$601,0)))</f>
        <v>Média</v>
      </c>
      <c r="M75">
        <f>INDEX(Base!$R$2:$R$601,MATCH(B75,Base!$A$2:$A$601,0))</f>
        <v>0</v>
      </c>
      <c r="N75" t="str">
        <f>INDEX(Base!$AB$2:$AB$601,MATCH(B75,Base!$A$2:$A$601,0))</f>
        <v>Baixa</v>
      </c>
      <c r="O75">
        <v>82</v>
      </c>
    </row>
    <row r="76" spans="1:16" x14ac:dyDescent="0.25">
      <c r="A76" t="s">
        <v>998</v>
      </c>
      <c r="B76" t="s">
        <v>779</v>
      </c>
      <c r="C76" t="s">
        <v>927</v>
      </c>
      <c r="D76" t="s">
        <v>220</v>
      </c>
      <c r="F76">
        <v>1</v>
      </c>
      <c r="G76" t="str">
        <f>INDEX(Base!$D$2:$D$601,MATCH(B76,Base!$A$2:$A$601,0))</f>
        <v>Autônomo</v>
      </c>
      <c r="H76" t="str">
        <f>INDEX(Base!$C$2:$C$601,MATCH(B76,Base!$A$2:$A$601,0))</f>
        <v>Sudeste</v>
      </c>
      <c r="I76">
        <f>INDEX(Base!$M$2:$M$601,MATCH(B76,Base!$A$2:$A$601,0))</f>
        <v>0</v>
      </c>
      <c r="J76">
        <f t="shared" si="2"/>
        <v>0</v>
      </c>
      <c r="K76">
        <f t="shared" si="3"/>
        <v>0</v>
      </c>
      <c r="L76" t="str">
        <f>IF(INDEX(Base!$U$2:$U$601,MATCH(B76,Base!$A$2:$A$601,0))="","",INDEX(Base!$U$2:$U$601,MATCH(B76,Base!$A$2:$A$601,0)))</f>
        <v>Baixa</v>
      </c>
      <c r="M76">
        <f>INDEX(Base!$R$2:$R$601,MATCH(B76,Base!$A$2:$A$601,0))</f>
        <v>0</v>
      </c>
      <c r="N76" t="str">
        <f>INDEX(Base!$AB$2:$AB$601,MATCH(B76,Base!$A$2:$A$601,0))</f>
        <v>Baixa</v>
      </c>
      <c r="O76">
        <v>100</v>
      </c>
    </row>
    <row r="77" spans="1:16" x14ac:dyDescent="0.25">
      <c r="A77" t="s">
        <v>999</v>
      </c>
      <c r="B77" t="s">
        <v>472</v>
      </c>
      <c r="C77" t="s">
        <v>918</v>
      </c>
      <c r="D77" t="s">
        <v>220</v>
      </c>
      <c r="F77">
        <v>11</v>
      </c>
      <c r="G77" t="str">
        <f>INDEX(Base!$D$2:$D$601,MATCH(B77,Base!$A$2:$A$601,0))</f>
        <v>Autônomo</v>
      </c>
      <c r="H77" t="str">
        <f>INDEX(Base!$C$2:$C$601,MATCH(B77,Base!$A$2:$A$601,0))</f>
        <v>Sudeste</v>
      </c>
      <c r="I77">
        <f>INDEX(Base!$M$2:$M$601,MATCH(B77,Base!$A$2:$A$601,0))</f>
        <v>0</v>
      </c>
      <c r="J77">
        <f t="shared" si="2"/>
        <v>0</v>
      </c>
      <c r="K77">
        <f t="shared" si="3"/>
        <v>0</v>
      </c>
      <c r="L77" t="str">
        <f>IF(INDEX(Base!$U$2:$U$601,MATCH(B77,Base!$A$2:$A$601,0))="","",INDEX(Base!$U$2:$U$601,MATCH(B77,Base!$A$2:$A$601,0)))</f>
        <v>Alta</v>
      </c>
      <c r="M77">
        <f>INDEX(Base!$R$2:$R$601,MATCH(B77,Base!$A$2:$A$601,0))</f>
        <v>0</v>
      </c>
      <c r="N77" t="str">
        <f>INDEX(Base!$AB$2:$AB$601,MATCH(B77,Base!$A$2:$A$601,0))</f>
        <v>Baixa</v>
      </c>
      <c r="O77">
        <v>36</v>
      </c>
    </row>
    <row r="78" spans="1:16" x14ac:dyDescent="0.25">
      <c r="A78" t="s">
        <v>1000</v>
      </c>
      <c r="B78" t="s">
        <v>636</v>
      </c>
      <c r="C78" t="s">
        <v>921</v>
      </c>
      <c r="D78" t="s">
        <v>922</v>
      </c>
      <c r="E78">
        <v>709.32</v>
      </c>
      <c r="F78">
        <v>4</v>
      </c>
      <c r="G78" t="str">
        <f>INDEX(Base!$D$2:$D$601,MATCH(B78,Base!$A$2:$A$601,0))</f>
        <v>Autônomo</v>
      </c>
      <c r="H78" t="str">
        <f>INDEX(Base!$C$2:$C$601,MATCH(B78,Base!$A$2:$A$601,0))</f>
        <v>Nordeste</v>
      </c>
      <c r="I78">
        <f>INDEX(Base!$M$2:$M$601,MATCH(B78,Base!$A$2:$A$601,0))</f>
        <v>0</v>
      </c>
      <c r="J78">
        <f t="shared" si="2"/>
        <v>1</v>
      </c>
      <c r="K78">
        <f t="shared" si="3"/>
        <v>1</v>
      </c>
      <c r="L78" t="str">
        <f>IF(INDEX(Base!$U$2:$U$601,MATCH(B78,Base!$A$2:$A$601,0))="","",INDEX(Base!$U$2:$U$601,MATCH(B78,Base!$A$2:$A$601,0)))</f>
        <v>Baixa</v>
      </c>
      <c r="M78">
        <f>INDEX(Base!$R$2:$R$601,MATCH(B78,Base!$A$2:$A$601,0))</f>
        <v>0</v>
      </c>
      <c r="N78" t="str">
        <f>INDEX(Base!$AB$2:$AB$601,MATCH(B78,Base!$A$2:$A$601,0))</f>
        <v>Média</v>
      </c>
      <c r="O78">
        <v>58</v>
      </c>
      <c r="P78" s="33">
        <v>45936</v>
      </c>
    </row>
    <row r="79" spans="1:16" x14ac:dyDescent="0.25">
      <c r="A79" t="s">
        <v>1001</v>
      </c>
      <c r="B79" t="s">
        <v>692</v>
      </c>
      <c r="C79" t="s">
        <v>927</v>
      </c>
      <c r="D79" t="s">
        <v>215</v>
      </c>
      <c r="F79">
        <v>11</v>
      </c>
      <c r="G79" t="str">
        <f>INDEX(Base!$D$2:$D$601,MATCH(B79,Base!$A$2:$A$601,0))</f>
        <v>Pequeno Escritório</v>
      </c>
      <c r="H79" t="str">
        <f>INDEX(Base!$C$2:$C$601,MATCH(B79,Base!$A$2:$A$601,0))</f>
        <v>Sudeste</v>
      </c>
      <c r="I79">
        <f>INDEX(Base!$M$2:$M$601,MATCH(B79,Base!$A$2:$A$601,0))</f>
        <v>1</v>
      </c>
      <c r="J79">
        <f t="shared" si="2"/>
        <v>0</v>
      </c>
      <c r="K79">
        <f t="shared" si="3"/>
        <v>0</v>
      </c>
      <c r="L79" t="str">
        <f>IF(INDEX(Base!$U$2:$U$601,MATCH(B79,Base!$A$2:$A$601,0))="","",INDEX(Base!$U$2:$U$601,MATCH(B79,Base!$A$2:$A$601,0)))</f>
        <v/>
      </c>
      <c r="M79">
        <f>INDEX(Base!$R$2:$R$601,MATCH(B79,Base!$A$2:$A$601,0))</f>
        <v>0</v>
      </c>
      <c r="N79" t="str">
        <f>INDEX(Base!$AB$2:$AB$601,MATCH(B79,Base!$A$2:$A$601,0))</f>
        <v>Alta</v>
      </c>
      <c r="O79">
        <v>175</v>
      </c>
    </row>
    <row r="80" spans="1:16" x14ac:dyDescent="0.25">
      <c r="A80" t="s">
        <v>1002</v>
      </c>
      <c r="B80" t="s">
        <v>323</v>
      </c>
      <c r="C80" t="s">
        <v>921</v>
      </c>
      <c r="D80" t="s">
        <v>218</v>
      </c>
      <c r="F80">
        <v>5</v>
      </c>
      <c r="G80" t="str">
        <f>INDEX(Base!$D$2:$D$601,MATCH(B80,Base!$A$2:$A$601,0))</f>
        <v>Pequeno Escritório</v>
      </c>
      <c r="H80" t="str">
        <f>INDEX(Base!$C$2:$C$601,MATCH(B80,Base!$A$2:$A$601,0))</f>
        <v>Sudeste</v>
      </c>
      <c r="I80">
        <f>INDEX(Base!$M$2:$M$601,MATCH(B80,Base!$A$2:$A$601,0))</f>
        <v>0</v>
      </c>
      <c r="J80">
        <f t="shared" si="2"/>
        <v>0</v>
      </c>
      <c r="K80">
        <f t="shared" si="3"/>
        <v>0</v>
      </c>
      <c r="L80" t="str">
        <f>IF(INDEX(Base!$U$2:$U$601,MATCH(B80,Base!$A$2:$A$601,0))="","",INDEX(Base!$U$2:$U$601,MATCH(B80,Base!$A$2:$A$601,0)))</f>
        <v>Alta</v>
      </c>
      <c r="M80">
        <f>INDEX(Base!$R$2:$R$601,MATCH(B80,Base!$A$2:$A$601,0))</f>
        <v>0</v>
      </c>
      <c r="N80" t="str">
        <f>INDEX(Base!$AB$2:$AB$601,MATCH(B80,Base!$A$2:$A$601,0))</f>
        <v>Média</v>
      </c>
      <c r="O80">
        <v>77</v>
      </c>
    </row>
    <row r="81" spans="1:16" x14ac:dyDescent="0.25">
      <c r="A81" t="s">
        <v>1003</v>
      </c>
      <c r="B81" t="s">
        <v>739</v>
      </c>
      <c r="C81" t="s">
        <v>927</v>
      </c>
      <c r="D81" t="s">
        <v>922</v>
      </c>
      <c r="E81">
        <v>1007.45</v>
      </c>
      <c r="F81">
        <v>4</v>
      </c>
      <c r="G81" t="str">
        <f>INDEX(Base!$D$2:$D$601,MATCH(B81,Base!$A$2:$A$601,0))</f>
        <v>Autônomo</v>
      </c>
      <c r="H81" t="str">
        <f>INDEX(Base!$C$2:$C$601,MATCH(B81,Base!$A$2:$A$601,0))</f>
        <v>Nordeste</v>
      </c>
      <c r="I81">
        <f>INDEX(Base!$M$2:$M$601,MATCH(B81,Base!$A$2:$A$601,0))</f>
        <v>0</v>
      </c>
      <c r="J81">
        <f t="shared" si="2"/>
        <v>1</v>
      </c>
      <c r="K81">
        <f t="shared" si="3"/>
        <v>1</v>
      </c>
      <c r="L81" t="str">
        <f>IF(INDEX(Base!$U$2:$U$601,MATCH(B81,Base!$A$2:$A$601,0))="","",INDEX(Base!$U$2:$U$601,MATCH(B81,Base!$A$2:$A$601,0)))</f>
        <v/>
      </c>
      <c r="M81">
        <f>INDEX(Base!$R$2:$R$601,MATCH(B81,Base!$A$2:$A$601,0))</f>
        <v>0</v>
      </c>
      <c r="N81" t="str">
        <f>INDEX(Base!$AB$2:$AB$601,MATCH(B81,Base!$A$2:$A$601,0))</f>
        <v>Baixa</v>
      </c>
      <c r="O81">
        <v>48</v>
      </c>
      <c r="P81" s="33">
        <v>45926</v>
      </c>
    </row>
    <row r="82" spans="1:16" x14ac:dyDescent="0.25">
      <c r="A82" t="s">
        <v>1004</v>
      </c>
      <c r="B82" t="s">
        <v>775</v>
      </c>
      <c r="C82" t="s">
        <v>918</v>
      </c>
      <c r="D82" t="s">
        <v>218</v>
      </c>
      <c r="F82">
        <v>6</v>
      </c>
      <c r="G82" t="str">
        <f>INDEX(Base!$D$2:$D$601,MATCH(B82,Base!$A$2:$A$601,0))</f>
        <v>Autônomo</v>
      </c>
      <c r="H82" t="str">
        <f>INDEX(Base!$C$2:$C$601,MATCH(B82,Base!$A$2:$A$601,0))</f>
        <v>Sudeste</v>
      </c>
      <c r="I82">
        <f>INDEX(Base!$M$2:$M$601,MATCH(B82,Base!$A$2:$A$601,0))</f>
        <v>0</v>
      </c>
      <c r="J82">
        <f t="shared" si="2"/>
        <v>0</v>
      </c>
      <c r="K82">
        <f t="shared" si="3"/>
        <v>0</v>
      </c>
      <c r="L82" t="str">
        <f>IF(INDEX(Base!$U$2:$U$601,MATCH(B82,Base!$A$2:$A$601,0))="","",INDEX(Base!$U$2:$U$601,MATCH(B82,Base!$A$2:$A$601,0)))</f>
        <v>Baixa</v>
      </c>
      <c r="M82">
        <f>INDEX(Base!$R$2:$R$601,MATCH(B82,Base!$A$2:$A$601,0))</f>
        <v>0</v>
      </c>
      <c r="N82" t="str">
        <f>INDEX(Base!$AB$2:$AB$601,MATCH(B82,Base!$A$2:$A$601,0))</f>
        <v>Baixa</v>
      </c>
      <c r="O82">
        <v>121</v>
      </c>
    </row>
    <row r="83" spans="1:16" x14ac:dyDescent="0.25">
      <c r="A83" t="s">
        <v>1005</v>
      </c>
      <c r="B83" t="s">
        <v>333</v>
      </c>
      <c r="C83" t="s">
        <v>918</v>
      </c>
      <c r="D83" t="s">
        <v>919</v>
      </c>
      <c r="F83">
        <v>2</v>
      </c>
      <c r="G83" t="str">
        <f>INDEX(Base!$D$2:$D$601,MATCH(B83,Base!$A$2:$A$601,0))</f>
        <v>Autônomo</v>
      </c>
      <c r="H83" t="str">
        <f>INDEX(Base!$C$2:$C$601,MATCH(B83,Base!$A$2:$A$601,0))</f>
        <v>Norte</v>
      </c>
      <c r="I83">
        <f>INDEX(Base!$M$2:$M$601,MATCH(B83,Base!$A$2:$A$601,0))</f>
        <v>0</v>
      </c>
      <c r="J83">
        <f t="shared" si="2"/>
        <v>1</v>
      </c>
      <c r="K83">
        <f t="shared" si="3"/>
        <v>0</v>
      </c>
      <c r="L83" t="str">
        <f>IF(INDEX(Base!$U$2:$U$601,MATCH(B83,Base!$A$2:$A$601,0))="","",INDEX(Base!$U$2:$U$601,MATCH(B83,Base!$A$2:$A$601,0)))</f>
        <v>Baixa</v>
      </c>
      <c r="M83">
        <f>INDEX(Base!$R$2:$R$601,MATCH(B83,Base!$A$2:$A$601,0))</f>
        <v>0</v>
      </c>
      <c r="N83" t="str">
        <f>INDEX(Base!$AB$2:$AB$601,MATCH(B83,Base!$A$2:$A$601,0))</f>
        <v>Média</v>
      </c>
      <c r="O83">
        <v>20</v>
      </c>
    </row>
    <row r="84" spans="1:16" x14ac:dyDescent="0.25">
      <c r="A84" t="s">
        <v>1006</v>
      </c>
      <c r="B84" t="s">
        <v>843</v>
      </c>
      <c r="C84" t="s">
        <v>921</v>
      </c>
      <c r="D84" t="s">
        <v>215</v>
      </c>
      <c r="F84">
        <v>8</v>
      </c>
      <c r="G84" t="str">
        <f>INDEX(Base!$D$2:$D$601,MATCH(B84,Base!$A$2:$A$601,0))</f>
        <v>Autônomo</v>
      </c>
      <c r="H84" t="str">
        <f>INDEX(Base!$C$2:$C$601,MATCH(B84,Base!$A$2:$A$601,0))</f>
        <v>Sul</v>
      </c>
      <c r="I84">
        <f>INDEX(Base!$M$2:$M$601,MATCH(B84,Base!$A$2:$A$601,0))</f>
        <v>0</v>
      </c>
      <c r="J84">
        <f t="shared" si="2"/>
        <v>0</v>
      </c>
      <c r="K84">
        <f t="shared" si="3"/>
        <v>0</v>
      </c>
      <c r="L84" t="str">
        <f>IF(INDEX(Base!$U$2:$U$601,MATCH(B84,Base!$A$2:$A$601,0))="","",INDEX(Base!$U$2:$U$601,MATCH(B84,Base!$A$2:$A$601,0)))</f>
        <v>Alta</v>
      </c>
      <c r="M84">
        <f>INDEX(Base!$R$2:$R$601,MATCH(B84,Base!$A$2:$A$601,0))</f>
        <v>0</v>
      </c>
      <c r="N84" t="str">
        <f>INDEX(Base!$AB$2:$AB$601,MATCH(B84,Base!$A$2:$A$601,0))</f>
        <v>Baixa</v>
      </c>
      <c r="O84">
        <v>24</v>
      </c>
    </row>
    <row r="85" spans="1:16" x14ac:dyDescent="0.25">
      <c r="A85" t="s">
        <v>1007</v>
      </c>
      <c r="B85" t="s">
        <v>494</v>
      </c>
      <c r="C85" t="s">
        <v>918</v>
      </c>
      <c r="D85" t="s">
        <v>215</v>
      </c>
      <c r="F85">
        <v>9</v>
      </c>
      <c r="G85" t="str">
        <f>INDEX(Base!$D$2:$D$601,MATCH(B85,Base!$A$2:$A$601,0))</f>
        <v>Pequeno Escritório</v>
      </c>
      <c r="H85" t="str">
        <f>INDEX(Base!$C$2:$C$601,MATCH(B85,Base!$A$2:$A$601,0))</f>
        <v>Sudeste</v>
      </c>
      <c r="I85">
        <f>INDEX(Base!$M$2:$M$601,MATCH(B85,Base!$A$2:$A$601,0))</f>
        <v>0</v>
      </c>
      <c r="J85">
        <f t="shared" si="2"/>
        <v>0</v>
      </c>
      <c r="K85">
        <f t="shared" si="3"/>
        <v>0</v>
      </c>
      <c r="L85" t="str">
        <f>IF(INDEX(Base!$U$2:$U$601,MATCH(B85,Base!$A$2:$A$601,0))="","",INDEX(Base!$U$2:$U$601,MATCH(B85,Base!$A$2:$A$601,0)))</f>
        <v>Média</v>
      </c>
      <c r="M85">
        <f>INDEX(Base!$R$2:$R$601,MATCH(B85,Base!$A$2:$A$601,0))</f>
        <v>0</v>
      </c>
      <c r="N85" t="str">
        <f>INDEX(Base!$AB$2:$AB$601,MATCH(B85,Base!$A$2:$A$601,0))</f>
        <v>Média</v>
      </c>
      <c r="O85">
        <v>106</v>
      </c>
    </row>
    <row r="86" spans="1:16" x14ac:dyDescent="0.25">
      <c r="A86" t="s">
        <v>1008</v>
      </c>
      <c r="B86" t="s">
        <v>484</v>
      </c>
      <c r="C86" t="s">
        <v>934</v>
      </c>
      <c r="D86" t="s">
        <v>215</v>
      </c>
      <c r="F86">
        <v>7</v>
      </c>
      <c r="G86" t="str">
        <f>INDEX(Base!$D$2:$D$601,MATCH(B86,Base!$A$2:$A$601,0))</f>
        <v>Autônomo</v>
      </c>
      <c r="H86" t="str">
        <f>INDEX(Base!$C$2:$C$601,MATCH(B86,Base!$A$2:$A$601,0))</f>
        <v>Sudeste</v>
      </c>
      <c r="I86">
        <f>INDEX(Base!$M$2:$M$601,MATCH(B86,Base!$A$2:$A$601,0))</f>
        <v>0</v>
      </c>
      <c r="J86">
        <f t="shared" si="2"/>
        <v>0</v>
      </c>
      <c r="K86">
        <f t="shared" si="3"/>
        <v>0</v>
      </c>
      <c r="L86" t="str">
        <f>IF(INDEX(Base!$U$2:$U$601,MATCH(B86,Base!$A$2:$A$601,0))="","",INDEX(Base!$U$2:$U$601,MATCH(B86,Base!$A$2:$A$601,0)))</f>
        <v>Baixa</v>
      </c>
      <c r="M86">
        <f>INDEX(Base!$R$2:$R$601,MATCH(B86,Base!$A$2:$A$601,0))</f>
        <v>0</v>
      </c>
      <c r="N86" t="str">
        <f>INDEX(Base!$AB$2:$AB$601,MATCH(B86,Base!$A$2:$A$601,0))</f>
        <v>Baixa</v>
      </c>
      <c r="O86">
        <v>117</v>
      </c>
    </row>
    <row r="87" spans="1:16" x14ac:dyDescent="0.25">
      <c r="A87" t="s">
        <v>1009</v>
      </c>
      <c r="B87" t="s">
        <v>339</v>
      </c>
      <c r="C87" t="s">
        <v>927</v>
      </c>
      <c r="D87" t="s">
        <v>922</v>
      </c>
      <c r="E87">
        <v>1509.29</v>
      </c>
      <c r="F87">
        <v>3</v>
      </c>
      <c r="G87" t="str">
        <f>INDEX(Base!$D$2:$D$601,MATCH(B87,Base!$A$2:$A$601,0))</f>
        <v>Autônomo</v>
      </c>
      <c r="H87" t="str">
        <f>INDEX(Base!$C$2:$C$601,MATCH(B87,Base!$A$2:$A$601,0))</f>
        <v>Nordeste</v>
      </c>
      <c r="I87">
        <f>INDEX(Base!$M$2:$M$601,MATCH(B87,Base!$A$2:$A$601,0))</f>
        <v>0</v>
      </c>
      <c r="J87">
        <f t="shared" si="2"/>
        <v>1</v>
      </c>
      <c r="K87">
        <f t="shared" si="3"/>
        <v>1</v>
      </c>
      <c r="L87" t="str">
        <f>IF(INDEX(Base!$U$2:$U$601,MATCH(B87,Base!$A$2:$A$601,0))="","",INDEX(Base!$U$2:$U$601,MATCH(B87,Base!$A$2:$A$601,0)))</f>
        <v>Baixa</v>
      </c>
      <c r="M87">
        <f>INDEX(Base!$R$2:$R$601,MATCH(B87,Base!$A$2:$A$601,0))</f>
        <v>0</v>
      </c>
      <c r="N87" t="str">
        <f>INDEX(Base!$AB$2:$AB$601,MATCH(B87,Base!$A$2:$A$601,0))</f>
        <v>Média</v>
      </c>
      <c r="O87">
        <v>53</v>
      </c>
      <c r="P87" s="33">
        <v>45846</v>
      </c>
    </row>
    <row r="88" spans="1:16" x14ac:dyDescent="0.25">
      <c r="A88" t="s">
        <v>1010</v>
      </c>
      <c r="B88" t="s">
        <v>879</v>
      </c>
      <c r="C88" t="s">
        <v>921</v>
      </c>
      <c r="D88" t="s">
        <v>922</v>
      </c>
      <c r="E88">
        <v>1747.25</v>
      </c>
      <c r="F88">
        <v>9</v>
      </c>
      <c r="G88" t="str">
        <f>INDEX(Base!$D$2:$D$601,MATCH(B88,Base!$A$2:$A$601,0))</f>
        <v>Autônomo</v>
      </c>
      <c r="H88" t="str">
        <f>INDEX(Base!$C$2:$C$601,MATCH(B88,Base!$A$2:$A$601,0))</f>
        <v>Norte</v>
      </c>
      <c r="I88">
        <f>INDEX(Base!$M$2:$M$601,MATCH(B88,Base!$A$2:$A$601,0))</f>
        <v>0</v>
      </c>
      <c r="J88">
        <f t="shared" si="2"/>
        <v>1</v>
      </c>
      <c r="K88">
        <f t="shared" si="3"/>
        <v>1</v>
      </c>
      <c r="L88" t="str">
        <f>IF(INDEX(Base!$U$2:$U$601,MATCH(B88,Base!$A$2:$A$601,0))="","",INDEX(Base!$U$2:$U$601,MATCH(B88,Base!$A$2:$A$601,0)))</f>
        <v>Baixa</v>
      </c>
      <c r="M88">
        <f>INDEX(Base!$R$2:$R$601,MATCH(B88,Base!$A$2:$A$601,0))</f>
        <v>0</v>
      </c>
      <c r="N88" t="str">
        <f>INDEX(Base!$AB$2:$AB$601,MATCH(B88,Base!$A$2:$A$601,0))</f>
        <v>Baixa</v>
      </c>
      <c r="O88">
        <v>16</v>
      </c>
      <c r="P88" s="33">
        <v>45804</v>
      </c>
    </row>
    <row r="89" spans="1:16" x14ac:dyDescent="0.25">
      <c r="A89" t="s">
        <v>1011</v>
      </c>
      <c r="B89" t="s">
        <v>844</v>
      </c>
      <c r="C89" t="s">
        <v>934</v>
      </c>
      <c r="D89" t="s">
        <v>922</v>
      </c>
      <c r="E89">
        <v>931.04</v>
      </c>
      <c r="F89">
        <v>12</v>
      </c>
      <c r="G89" t="str">
        <f>INDEX(Base!$D$2:$D$601,MATCH(B89,Base!$A$2:$A$601,0))</f>
        <v>Autônomo</v>
      </c>
      <c r="H89" t="str">
        <f>INDEX(Base!$C$2:$C$601,MATCH(B89,Base!$A$2:$A$601,0))</f>
        <v>Centro-Oeste</v>
      </c>
      <c r="I89">
        <f>INDEX(Base!$M$2:$M$601,MATCH(B89,Base!$A$2:$A$601,0))</f>
        <v>0</v>
      </c>
      <c r="J89">
        <f t="shared" si="2"/>
        <v>1</v>
      </c>
      <c r="K89">
        <f t="shared" si="3"/>
        <v>1</v>
      </c>
      <c r="L89" t="str">
        <f>IF(INDEX(Base!$U$2:$U$601,MATCH(B89,Base!$A$2:$A$601,0))="","",INDEX(Base!$U$2:$U$601,MATCH(B89,Base!$A$2:$A$601,0)))</f>
        <v/>
      </c>
      <c r="M89">
        <f>INDEX(Base!$R$2:$R$601,MATCH(B89,Base!$A$2:$A$601,0))</f>
        <v>0</v>
      </c>
      <c r="N89" t="str">
        <f>INDEX(Base!$AB$2:$AB$601,MATCH(B89,Base!$A$2:$A$601,0))</f>
        <v>Média</v>
      </c>
      <c r="O89">
        <v>58</v>
      </c>
      <c r="P89" s="33">
        <v>45470</v>
      </c>
    </row>
    <row r="90" spans="1:16" x14ac:dyDescent="0.25">
      <c r="A90" t="s">
        <v>1012</v>
      </c>
      <c r="B90" t="s">
        <v>709</v>
      </c>
      <c r="C90" t="s">
        <v>918</v>
      </c>
      <c r="D90" t="s">
        <v>919</v>
      </c>
      <c r="F90">
        <v>10</v>
      </c>
      <c r="G90" t="str">
        <f>INDEX(Base!$D$2:$D$601,MATCH(B90,Base!$A$2:$A$601,0))</f>
        <v>Pequeno Escritório</v>
      </c>
      <c r="H90" t="str">
        <f>INDEX(Base!$C$2:$C$601,MATCH(B90,Base!$A$2:$A$601,0))</f>
        <v>Nordeste</v>
      </c>
      <c r="I90">
        <f>INDEX(Base!$M$2:$M$601,MATCH(B90,Base!$A$2:$A$601,0))</f>
        <v>0</v>
      </c>
      <c r="J90">
        <f t="shared" si="2"/>
        <v>1</v>
      </c>
      <c r="K90">
        <f t="shared" si="3"/>
        <v>0</v>
      </c>
      <c r="L90" t="str">
        <f>IF(INDEX(Base!$U$2:$U$601,MATCH(B90,Base!$A$2:$A$601,0))="","",INDEX(Base!$U$2:$U$601,MATCH(B90,Base!$A$2:$A$601,0)))</f>
        <v>Baixa</v>
      </c>
      <c r="M90">
        <f>INDEX(Base!$R$2:$R$601,MATCH(B90,Base!$A$2:$A$601,0))</f>
        <v>0</v>
      </c>
      <c r="N90" t="str">
        <f>INDEX(Base!$AB$2:$AB$601,MATCH(B90,Base!$A$2:$A$601,0))</f>
        <v>Média</v>
      </c>
      <c r="O90">
        <v>109</v>
      </c>
    </row>
    <row r="91" spans="1:16" x14ac:dyDescent="0.25">
      <c r="A91" t="s">
        <v>1013</v>
      </c>
      <c r="B91" t="s">
        <v>837</v>
      </c>
      <c r="C91" t="s">
        <v>918</v>
      </c>
      <c r="D91" t="s">
        <v>218</v>
      </c>
      <c r="F91">
        <v>9</v>
      </c>
      <c r="G91" t="str">
        <f>INDEX(Base!$D$2:$D$601,MATCH(B91,Base!$A$2:$A$601,0))</f>
        <v>Grande Escritório</v>
      </c>
      <c r="H91" t="str">
        <f>INDEX(Base!$C$2:$C$601,MATCH(B91,Base!$A$2:$A$601,0))</f>
        <v>Centro-Oeste</v>
      </c>
      <c r="I91">
        <f>INDEX(Base!$M$2:$M$601,MATCH(B91,Base!$A$2:$A$601,0))</f>
        <v>1</v>
      </c>
      <c r="J91">
        <f t="shared" si="2"/>
        <v>0</v>
      </c>
      <c r="K91">
        <f t="shared" si="3"/>
        <v>0</v>
      </c>
      <c r="L91" t="str">
        <f>IF(INDEX(Base!$U$2:$U$601,MATCH(B91,Base!$A$2:$A$601,0))="","",INDEX(Base!$U$2:$U$601,MATCH(B91,Base!$A$2:$A$601,0)))</f>
        <v/>
      </c>
      <c r="M91">
        <f>INDEX(Base!$R$2:$R$601,MATCH(B91,Base!$A$2:$A$601,0))</f>
        <v>1</v>
      </c>
      <c r="N91" t="str">
        <f>INDEX(Base!$AB$2:$AB$601,MATCH(B91,Base!$A$2:$A$601,0))</f>
        <v>Alta</v>
      </c>
      <c r="O91">
        <v>44</v>
      </c>
    </row>
    <row r="92" spans="1:16" x14ac:dyDescent="0.25">
      <c r="A92" t="s">
        <v>1014</v>
      </c>
      <c r="B92" t="s">
        <v>544</v>
      </c>
      <c r="C92" t="s">
        <v>918</v>
      </c>
      <c r="D92" t="s">
        <v>218</v>
      </c>
      <c r="F92">
        <v>8</v>
      </c>
      <c r="G92" t="str">
        <f>INDEX(Base!$D$2:$D$601,MATCH(B92,Base!$A$2:$A$601,0))</f>
        <v>Autônomo</v>
      </c>
      <c r="H92" t="str">
        <f>INDEX(Base!$C$2:$C$601,MATCH(B92,Base!$A$2:$A$601,0))</f>
        <v>Sul</v>
      </c>
      <c r="I92">
        <f>INDEX(Base!$M$2:$M$601,MATCH(B92,Base!$A$2:$A$601,0))</f>
        <v>0</v>
      </c>
      <c r="J92">
        <f t="shared" si="2"/>
        <v>0</v>
      </c>
      <c r="K92">
        <f t="shared" si="3"/>
        <v>0</v>
      </c>
      <c r="L92" t="str">
        <f>IF(INDEX(Base!$U$2:$U$601,MATCH(B92,Base!$A$2:$A$601,0))="","",INDEX(Base!$U$2:$U$601,MATCH(B92,Base!$A$2:$A$601,0)))</f>
        <v>Média</v>
      </c>
      <c r="M92">
        <f>INDEX(Base!$R$2:$R$601,MATCH(B92,Base!$A$2:$A$601,0))</f>
        <v>0</v>
      </c>
      <c r="N92" t="str">
        <f>INDEX(Base!$AB$2:$AB$601,MATCH(B92,Base!$A$2:$A$601,0))</f>
        <v>Baixa</v>
      </c>
      <c r="O92">
        <v>12</v>
      </c>
    </row>
    <row r="93" spans="1:16" x14ac:dyDescent="0.25">
      <c r="A93" t="s">
        <v>1015</v>
      </c>
      <c r="B93" t="s">
        <v>809</v>
      </c>
      <c r="C93" t="s">
        <v>927</v>
      </c>
      <c r="D93" t="s">
        <v>922</v>
      </c>
      <c r="E93">
        <v>230.27</v>
      </c>
      <c r="F93">
        <v>5</v>
      </c>
      <c r="G93" t="str">
        <f>INDEX(Base!$D$2:$D$601,MATCH(B93,Base!$A$2:$A$601,0))</f>
        <v>Autônomo</v>
      </c>
      <c r="H93" t="str">
        <f>INDEX(Base!$C$2:$C$601,MATCH(B93,Base!$A$2:$A$601,0))</f>
        <v>Sul</v>
      </c>
      <c r="I93">
        <f>INDEX(Base!$M$2:$M$601,MATCH(B93,Base!$A$2:$A$601,0))</f>
        <v>0</v>
      </c>
      <c r="J93">
        <f t="shared" si="2"/>
        <v>1</v>
      </c>
      <c r="K93">
        <f t="shared" si="3"/>
        <v>1</v>
      </c>
      <c r="L93" t="str">
        <f>IF(INDEX(Base!$U$2:$U$601,MATCH(B93,Base!$A$2:$A$601,0))="","",INDEX(Base!$U$2:$U$601,MATCH(B93,Base!$A$2:$A$601,0)))</f>
        <v>Baixa</v>
      </c>
      <c r="M93">
        <f>INDEX(Base!$R$2:$R$601,MATCH(B93,Base!$A$2:$A$601,0))</f>
        <v>0</v>
      </c>
      <c r="N93" t="str">
        <f>INDEX(Base!$AB$2:$AB$601,MATCH(B93,Base!$A$2:$A$601,0))</f>
        <v>Média</v>
      </c>
      <c r="O93">
        <v>53</v>
      </c>
      <c r="P93" s="33">
        <v>45490</v>
      </c>
    </row>
    <row r="94" spans="1:16" x14ac:dyDescent="0.25">
      <c r="A94" t="s">
        <v>1016</v>
      </c>
      <c r="B94" t="s">
        <v>811</v>
      </c>
      <c r="C94" t="s">
        <v>934</v>
      </c>
      <c r="D94" t="s">
        <v>218</v>
      </c>
      <c r="F94">
        <v>12</v>
      </c>
      <c r="G94" t="str">
        <f>INDEX(Base!$D$2:$D$601,MATCH(B94,Base!$A$2:$A$601,0))</f>
        <v>Autônomo</v>
      </c>
      <c r="H94" t="str">
        <f>INDEX(Base!$C$2:$C$601,MATCH(B94,Base!$A$2:$A$601,0))</f>
        <v>Sul</v>
      </c>
      <c r="I94">
        <f>INDEX(Base!$M$2:$M$601,MATCH(B94,Base!$A$2:$A$601,0))</f>
        <v>1</v>
      </c>
      <c r="J94">
        <f t="shared" si="2"/>
        <v>0</v>
      </c>
      <c r="K94">
        <f t="shared" si="3"/>
        <v>0</v>
      </c>
      <c r="L94" t="str">
        <f>IF(INDEX(Base!$U$2:$U$601,MATCH(B94,Base!$A$2:$A$601,0))="","",INDEX(Base!$U$2:$U$601,MATCH(B94,Base!$A$2:$A$601,0)))</f>
        <v/>
      </c>
      <c r="M94">
        <f>INDEX(Base!$R$2:$R$601,MATCH(B94,Base!$A$2:$A$601,0))</f>
        <v>0</v>
      </c>
      <c r="N94" t="str">
        <f>INDEX(Base!$AB$2:$AB$601,MATCH(B94,Base!$A$2:$A$601,0))</f>
        <v>Média</v>
      </c>
      <c r="O94">
        <v>130</v>
      </c>
    </row>
    <row r="95" spans="1:16" x14ac:dyDescent="0.25">
      <c r="A95" t="s">
        <v>1017</v>
      </c>
      <c r="B95" t="s">
        <v>447</v>
      </c>
      <c r="C95" t="s">
        <v>918</v>
      </c>
      <c r="D95" t="s">
        <v>220</v>
      </c>
      <c r="F95">
        <v>1</v>
      </c>
      <c r="G95" t="str">
        <f>INDEX(Base!$D$2:$D$601,MATCH(B95,Base!$A$2:$A$601,0))</f>
        <v>Pequeno Escritório</v>
      </c>
      <c r="H95" t="str">
        <f>INDEX(Base!$C$2:$C$601,MATCH(B95,Base!$A$2:$A$601,0))</f>
        <v>Sul</v>
      </c>
      <c r="I95">
        <f>INDEX(Base!$M$2:$M$601,MATCH(B95,Base!$A$2:$A$601,0))</f>
        <v>0</v>
      </c>
      <c r="J95">
        <f t="shared" si="2"/>
        <v>0</v>
      </c>
      <c r="K95">
        <f t="shared" si="3"/>
        <v>0</v>
      </c>
      <c r="L95" t="str">
        <f>IF(INDEX(Base!$U$2:$U$601,MATCH(B95,Base!$A$2:$A$601,0))="","",INDEX(Base!$U$2:$U$601,MATCH(B95,Base!$A$2:$A$601,0)))</f>
        <v>Média</v>
      </c>
      <c r="M95">
        <f>INDEX(Base!$R$2:$R$601,MATCH(B95,Base!$A$2:$A$601,0))</f>
        <v>0</v>
      </c>
      <c r="N95" t="str">
        <f>INDEX(Base!$AB$2:$AB$601,MATCH(B95,Base!$A$2:$A$601,0))</f>
        <v>Média</v>
      </c>
      <c r="O95">
        <v>111</v>
      </c>
    </row>
    <row r="96" spans="1:16" x14ac:dyDescent="0.25">
      <c r="A96" t="s">
        <v>1018</v>
      </c>
      <c r="B96" t="s">
        <v>648</v>
      </c>
      <c r="C96" t="s">
        <v>921</v>
      </c>
      <c r="D96" t="s">
        <v>215</v>
      </c>
      <c r="F96">
        <v>6</v>
      </c>
      <c r="G96" t="str">
        <f>INDEX(Base!$D$2:$D$601,MATCH(B96,Base!$A$2:$A$601,0))</f>
        <v>Pequeno Escritório</v>
      </c>
      <c r="H96" t="str">
        <f>INDEX(Base!$C$2:$C$601,MATCH(B96,Base!$A$2:$A$601,0))</f>
        <v>Sudeste</v>
      </c>
      <c r="I96">
        <f>INDEX(Base!$M$2:$M$601,MATCH(B96,Base!$A$2:$A$601,0))</f>
        <v>1</v>
      </c>
      <c r="J96">
        <f t="shared" si="2"/>
        <v>0</v>
      </c>
      <c r="K96">
        <f t="shared" si="3"/>
        <v>0</v>
      </c>
      <c r="L96" t="str">
        <f>IF(INDEX(Base!$U$2:$U$601,MATCH(B96,Base!$A$2:$A$601,0))="","",INDEX(Base!$U$2:$U$601,MATCH(B96,Base!$A$2:$A$601,0)))</f>
        <v/>
      </c>
      <c r="M96">
        <f>INDEX(Base!$R$2:$R$601,MATCH(B96,Base!$A$2:$A$601,0))</f>
        <v>1</v>
      </c>
      <c r="N96" t="str">
        <f>INDEX(Base!$AB$2:$AB$601,MATCH(B96,Base!$A$2:$A$601,0))</f>
        <v>Alta</v>
      </c>
      <c r="O96">
        <v>101</v>
      </c>
    </row>
    <row r="97" spans="1:16" x14ac:dyDescent="0.25">
      <c r="A97" t="s">
        <v>1019</v>
      </c>
      <c r="B97" t="s">
        <v>606</v>
      </c>
      <c r="C97" t="s">
        <v>921</v>
      </c>
      <c r="D97" t="s">
        <v>220</v>
      </c>
      <c r="F97">
        <v>3</v>
      </c>
      <c r="G97" t="str">
        <f>INDEX(Base!$D$2:$D$601,MATCH(B97,Base!$A$2:$A$601,0))</f>
        <v>Autônomo</v>
      </c>
      <c r="H97" t="str">
        <f>INDEX(Base!$C$2:$C$601,MATCH(B97,Base!$A$2:$A$601,0))</f>
        <v>Nordeste</v>
      </c>
      <c r="I97">
        <f>INDEX(Base!$M$2:$M$601,MATCH(B97,Base!$A$2:$A$601,0))</f>
        <v>0</v>
      </c>
      <c r="J97">
        <f t="shared" si="2"/>
        <v>0</v>
      </c>
      <c r="K97">
        <f t="shared" si="3"/>
        <v>0</v>
      </c>
      <c r="L97" t="str">
        <f>IF(INDEX(Base!$U$2:$U$601,MATCH(B97,Base!$A$2:$A$601,0))="","",INDEX(Base!$U$2:$U$601,MATCH(B97,Base!$A$2:$A$601,0)))</f>
        <v>Baixa</v>
      </c>
      <c r="M97">
        <f>INDEX(Base!$R$2:$R$601,MATCH(B97,Base!$A$2:$A$601,0))</f>
        <v>0</v>
      </c>
      <c r="N97" t="str">
        <f>INDEX(Base!$AB$2:$AB$601,MATCH(B97,Base!$A$2:$A$601,0))</f>
        <v>Baixa</v>
      </c>
      <c r="O97">
        <v>134</v>
      </c>
    </row>
    <row r="98" spans="1:16" x14ac:dyDescent="0.25">
      <c r="A98" t="s">
        <v>1020</v>
      </c>
      <c r="B98" t="s">
        <v>375</v>
      </c>
      <c r="C98" t="s">
        <v>921</v>
      </c>
      <c r="D98" t="s">
        <v>922</v>
      </c>
      <c r="E98">
        <v>1579.47</v>
      </c>
      <c r="F98">
        <v>6</v>
      </c>
      <c r="G98" t="str">
        <f>INDEX(Base!$D$2:$D$601,MATCH(B98,Base!$A$2:$A$601,0))</f>
        <v>Autônomo</v>
      </c>
      <c r="H98" t="str">
        <f>INDEX(Base!$C$2:$C$601,MATCH(B98,Base!$A$2:$A$601,0))</f>
        <v>Nordeste</v>
      </c>
      <c r="I98">
        <f>INDEX(Base!$M$2:$M$601,MATCH(B98,Base!$A$2:$A$601,0))</f>
        <v>0</v>
      </c>
      <c r="J98">
        <f t="shared" si="2"/>
        <v>1</v>
      </c>
      <c r="K98">
        <f t="shared" si="3"/>
        <v>1</v>
      </c>
      <c r="L98" t="str">
        <f>IF(INDEX(Base!$U$2:$U$601,MATCH(B98,Base!$A$2:$A$601,0))="","",INDEX(Base!$U$2:$U$601,MATCH(B98,Base!$A$2:$A$601,0)))</f>
        <v>Baixa</v>
      </c>
      <c r="M98">
        <f>INDEX(Base!$R$2:$R$601,MATCH(B98,Base!$A$2:$A$601,0))</f>
        <v>0</v>
      </c>
      <c r="N98" t="str">
        <f>INDEX(Base!$AB$2:$AB$601,MATCH(B98,Base!$A$2:$A$601,0))</f>
        <v>Baixa</v>
      </c>
      <c r="O98">
        <v>19</v>
      </c>
      <c r="P98" s="33">
        <v>45771</v>
      </c>
    </row>
    <row r="99" spans="1:16" x14ac:dyDescent="0.25">
      <c r="A99" t="s">
        <v>1021</v>
      </c>
      <c r="B99" t="s">
        <v>704</v>
      </c>
      <c r="C99" t="s">
        <v>918</v>
      </c>
      <c r="D99" t="s">
        <v>922</v>
      </c>
      <c r="E99">
        <v>534.16</v>
      </c>
      <c r="F99">
        <v>7</v>
      </c>
      <c r="G99" t="str">
        <f>INDEX(Base!$D$2:$D$601,MATCH(B99,Base!$A$2:$A$601,0))</f>
        <v>Pequeno Escritório</v>
      </c>
      <c r="H99" t="str">
        <f>INDEX(Base!$C$2:$C$601,MATCH(B99,Base!$A$2:$A$601,0))</f>
        <v>Sul</v>
      </c>
      <c r="I99">
        <f>INDEX(Base!$M$2:$M$601,MATCH(B99,Base!$A$2:$A$601,0))</f>
        <v>1</v>
      </c>
      <c r="J99">
        <f t="shared" si="2"/>
        <v>1</v>
      </c>
      <c r="K99">
        <f t="shared" si="3"/>
        <v>1</v>
      </c>
      <c r="L99" t="str">
        <f>IF(INDEX(Base!$U$2:$U$601,MATCH(B99,Base!$A$2:$A$601,0))="","",INDEX(Base!$U$2:$U$601,MATCH(B99,Base!$A$2:$A$601,0)))</f>
        <v/>
      </c>
      <c r="M99">
        <f>INDEX(Base!$R$2:$R$601,MATCH(B99,Base!$A$2:$A$601,0))</f>
        <v>0</v>
      </c>
      <c r="N99" t="str">
        <f>INDEX(Base!$AB$2:$AB$601,MATCH(B99,Base!$A$2:$A$601,0))</f>
        <v>Alta</v>
      </c>
      <c r="O99">
        <v>49</v>
      </c>
      <c r="P99" s="33">
        <v>46021</v>
      </c>
    </row>
    <row r="100" spans="1:16" x14ac:dyDescent="0.25">
      <c r="A100" t="s">
        <v>1022</v>
      </c>
      <c r="B100" t="s">
        <v>654</v>
      </c>
      <c r="C100" t="s">
        <v>918</v>
      </c>
      <c r="D100" t="s">
        <v>919</v>
      </c>
      <c r="F100">
        <v>11</v>
      </c>
      <c r="G100" t="str">
        <f>INDEX(Base!$D$2:$D$601,MATCH(B100,Base!$A$2:$A$601,0))</f>
        <v>Autônomo</v>
      </c>
      <c r="H100" t="str">
        <f>INDEX(Base!$C$2:$C$601,MATCH(B100,Base!$A$2:$A$601,0))</f>
        <v>Sul</v>
      </c>
      <c r="I100">
        <f>INDEX(Base!$M$2:$M$601,MATCH(B100,Base!$A$2:$A$601,0))</f>
        <v>0</v>
      </c>
      <c r="J100">
        <f t="shared" si="2"/>
        <v>1</v>
      </c>
      <c r="K100">
        <f t="shared" si="3"/>
        <v>0</v>
      </c>
      <c r="L100" t="str">
        <f>IF(INDEX(Base!$U$2:$U$601,MATCH(B100,Base!$A$2:$A$601,0))="","",INDEX(Base!$U$2:$U$601,MATCH(B100,Base!$A$2:$A$601,0)))</f>
        <v/>
      </c>
      <c r="M100">
        <f>INDEX(Base!$R$2:$R$601,MATCH(B100,Base!$A$2:$A$601,0))</f>
        <v>0</v>
      </c>
      <c r="N100" t="str">
        <f>INDEX(Base!$AB$2:$AB$601,MATCH(B100,Base!$A$2:$A$601,0))</f>
        <v>Baixa</v>
      </c>
      <c r="O100">
        <v>27</v>
      </c>
    </row>
    <row r="101" spans="1:16" x14ac:dyDescent="0.25">
      <c r="A101" t="s">
        <v>1023</v>
      </c>
      <c r="B101" t="s">
        <v>771</v>
      </c>
      <c r="C101" t="s">
        <v>934</v>
      </c>
      <c r="D101" t="s">
        <v>220</v>
      </c>
      <c r="F101">
        <v>11</v>
      </c>
      <c r="G101" t="str">
        <f>INDEX(Base!$D$2:$D$601,MATCH(B101,Base!$A$2:$A$601,0))</f>
        <v>Pequeno Escritório</v>
      </c>
      <c r="H101" t="str">
        <f>INDEX(Base!$C$2:$C$601,MATCH(B101,Base!$A$2:$A$601,0))</f>
        <v>Sudeste</v>
      </c>
      <c r="I101">
        <f>INDEX(Base!$M$2:$M$601,MATCH(B101,Base!$A$2:$A$601,0))</f>
        <v>1</v>
      </c>
      <c r="J101">
        <f t="shared" si="2"/>
        <v>0</v>
      </c>
      <c r="K101">
        <f t="shared" si="3"/>
        <v>0</v>
      </c>
      <c r="L101" t="str">
        <f>IF(INDEX(Base!$U$2:$U$601,MATCH(B101,Base!$A$2:$A$601,0))="","",INDEX(Base!$U$2:$U$601,MATCH(B101,Base!$A$2:$A$601,0)))</f>
        <v/>
      </c>
      <c r="M101">
        <f>INDEX(Base!$R$2:$R$601,MATCH(B101,Base!$A$2:$A$601,0))</f>
        <v>0</v>
      </c>
      <c r="N101" t="str">
        <f>INDEX(Base!$AB$2:$AB$601,MATCH(B101,Base!$A$2:$A$601,0))</f>
        <v>Alta</v>
      </c>
      <c r="O101">
        <v>84</v>
      </c>
    </row>
    <row r="102" spans="1:16" x14ac:dyDescent="0.25">
      <c r="A102" t="s">
        <v>1024</v>
      </c>
      <c r="B102" t="s">
        <v>621</v>
      </c>
      <c r="C102" t="s">
        <v>921</v>
      </c>
      <c r="D102" t="s">
        <v>922</v>
      </c>
      <c r="E102">
        <v>467.5</v>
      </c>
      <c r="F102">
        <v>10</v>
      </c>
      <c r="G102" t="str">
        <f>INDEX(Base!$D$2:$D$601,MATCH(B102,Base!$A$2:$A$601,0))</f>
        <v>Pequeno Escritório</v>
      </c>
      <c r="H102" t="str">
        <f>INDEX(Base!$C$2:$C$601,MATCH(B102,Base!$A$2:$A$601,0))</f>
        <v>Nordeste</v>
      </c>
      <c r="I102">
        <f>INDEX(Base!$M$2:$M$601,MATCH(B102,Base!$A$2:$A$601,0))</f>
        <v>0</v>
      </c>
      <c r="J102">
        <f t="shared" si="2"/>
        <v>1</v>
      </c>
      <c r="K102">
        <f t="shared" si="3"/>
        <v>1</v>
      </c>
      <c r="L102" t="str">
        <f>IF(INDEX(Base!$U$2:$U$601,MATCH(B102,Base!$A$2:$A$601,0))="","",INDEX(Base!$U$2:$U$601,MATCH(B102,Base!$A$2:$A$601,0)))</f>
        <v>Alta</v>
      </c>
      <c r="M102">
        <f>INDEX(Base!$R$2:$R$601,MATCH(B102,Base!$A$2:$A$601,0))</f>
        <v>0</v>
      </c>
      <c r="N102" t="str">
        <f>INDEX(Base!$AB$2:$AB$601,MATCH(B102,Base!$A$2:$A$601,0))</f>
        <v>Média</v>
      </c>
      <c r="O102">
        <v>10</v>
      </c>
      <c r="P102" s="33">
        <v>45428</v>
      </c>
    </row>
    <row r="103" spans="1:16" x14ac:dyDescent="0.25">
      <c r="A103" t="s">
        <v>1025</v>
      </c>
      <c r="B103" t="s">
        <v>603</v>
      </c>
      <c r="C103" t="s">
        <v>921</v>
      </c>
      <c r="D103" t="s">
        <v>221</v>
      </c>
      <c r="F103">
        <v>9</v>
      </c>
      <c r="G103" t="str">
        <f>INDEX(Base!$D$2:$D$601,MATCH(B103,Base!$A$2:$A$601,0))</f>
        <v>Médio Escritório</v>
      </c>
      <c r="H103" t="str">
        <f>INDEX(Base!$C$2:$C$601,MATCH(B103,Base!$A$2:$A$601,0))</f>
        <v>Sudeste</v>
      </c>
      <c r="I103">
        <f>INDEX(Base!$M$2:$M$601,MATCH(B103,Base!$A$2:$A$601,0))</f>
        <v>1</v>
      </c>
      <c r="J103">
        <f t="shared" si="2"/>
        <v>0</v>
      </c>
      <c r="K103">
        <f t="shared" si="3"/>
        <v>0</v>
      </c>
      <c r="L103" t="str">
        <f>IF(INDEX(Base!$U$2:$U$601,MATCH(B103,Base!$A$2:$A$601,0))="","",INDEX(Base!$U$2:$U$601,MATCH(B103,Base!$A$2:$A$601,0)))</f>
        <v/>
      </c>
      <c r="M103">
        <f>INDEX(Base!$R$2:$R$601,MATCH(B103,Base!$A$2:$A$601,0))</f>
        <v>1</v>
      </c>
      <c r="N103" t="str">
        <f>INDEX(Base!$AB$2:$AB$601,MATCH(B103,Base!$A$2:$A$601,0))</f>
        <v>Alta</v>
      </c>
      <c r="O103">
        <v>53</v>
      </c>
    </row>
    <row r="104" spans="1:16" x14ac:dyDescent="0.25">
      <c r="A104" t="s">
        <v>1026</v>
      </c>
      <c r="B104" t="s">
        <v>356</v>
      </c>
      <c r="C104" t="s">
        <v>927</v>
      </c>
      <c r="D104" t="s">
        <v>919</v>
      </c>
      <c r="F104">
        <v>11</v>
      </c>
      <c r="G104" t="str">
        <f>INDEX(Base!$D$2:$D$601,MATCH(B104,Base!$A$2:$A$601,0))</f>
        <v>Pequeno Escritório</v>
      </c>
      <c r="H104" t="str">
        <f>INDEX(Base!$C$2:$C$601,MATCH(B104,Base!$A$2:$A$601,0))</f>
        <v>Sul</v>
      </c>
      <c r="I104">
        <f>INDEX(Base!$M$2:$M$601,MATCH(B104,Base!$A$2:$A$601,0))</f>
        <v>1</v>
      </c>
      <c r="J104">
        <f t="shared" si="2"/>
        <v>1</v>
      </c>
      <c r="K104">
        <f t="shared" si="3"/>
        <v>0</v>
      </c>
      <c r="L104" t="str">
        <f>IF(INDEX(Base!$U$2:$U$601,MATCH(B104,Base!$A$2:$A$601,0))="","",INDEX(Base!$U$2:$U$601,MATCH(B104,Base!$A$2:$A$601,0)))</f>
        <v/>
      </c>
      <c r="M104">
        <f>INDEX(Base!$R$2:$R$601,MATCH(B104,Base!$A$2:$A$601,0))</f>
        <v>0</v>
      </c>
      <c r="N104" t="str">
        <f>INDEX(Base!$AB$2:$AB$601,MATCH(B104,Base!$A$2:$A$601,0))</f>
        <v>Alta</v>
      </c>
      <c r="O104">
        <v>141</v>
      </c>
    </row>
    <row r="105" spans="1:16" x14ac:dyDescent="0.25">
      <c r="A105" t="s">
        <v>1027</v>
      </c>
      <c r="B105" t="s">
        <v>665</v>
      </c>
      <c r="C105" t="s">
        <v>918</v>
      </c>
      <c r="D105" t="s">
        <v>922</v>
      </c>
      <c r="E105">
        <v>1518.99</v>
      </c>
      <c r="F105">
        <v>10</v>
      </c>
      <c r="G105" t="str">
        <f>INDEX(Base!$D$2:$D$601,MATCH(B105,Base!$A$2:$A$601,0))</f>
        <v>Médio Escritório</v>
      </c>
      <c r="H105" t="str">
        <f>INDEX(Base!$C$2:$C$601,MATCH(B105,Base!$A$2:$A$601,0))</f>
        <v>Sudeste</v>
      </c>
      <c r="I105">
        <f>INDEX(Base!$M$2:$M$601,MATCH(B105,Base!$A$2:$A$601,0))</f>
        <v>1</v>
      </c>
      <c r="J105">
        <f t="shared" si="2"/>
        <v>1</v>
      </c>
      <c r="K105">
        <f t="shared" si="3"/>
        <v>1</v>
      </c>
      <c r="L105" t="str">
        <f>IF(INDEX(Base!$U$2:$U$601,MATCH(B105,Base!$A$2:$A$601,0))="","",INDEX(Base!$U$2:$U$601,MATCH(B105,Base!$A$2:$A$601,0)))</f>
        <v/>
      </c>
      <c r="M105">
        <f>INDEX(Base!$R$2:$R$601,MATCH(B105,Base!$A$2:$A$601,0))</f>
        <v>1</v>
      </c>
      <c r="N105" t="str">
        <f>INDEX(Base!$AB$2:$AB$601,MATCH(B105,Base!$A$2:$A$601,0))</f>
        <v>Alta</v>
      </c>
      <c r="O105">
        <v>31</v>
      </c>
      <c r="P105" s="33">
        <v>45604</v>
      </c>
    </row>
    <row r="106" spans="1:16" x14ac:dyDescent="0.25">
      <c r="A106" t="s">
        <v>1028</v>
      </c>
      <c r="B106" t="s">
        <v>769</v>
      </c>
      <c r="C106" t="s">
        <v>921</v>
      </c>
      <c r="D106" t="s">
        <v>215</v>
      </c>
      <c r="F106">
        <v>7</v>
      </c>
      <c r="G106" t="str">
        <f>INDEX(Base!$D$2:$D$601,MATCH(B106,Base!$A$2:$A$601,0))</f>
        <v>Pequeno Escritório</v>
      </c>
      <c r="H106" t="str">
        <f>INDEX(Base!$C$2:$C$601,MATCH(B106,Base!$A$2:$A$601,0))</f>
        <v>Sudeste</v>
      </c>
      <c r="I106">
        <f>INDEX(Base!$M$2:$M$601,MATCH(B106,Base!$A$2:$A$601,0))</f>
        <v>0</v>
      </c>
      <c r="J106">
        <f t="shared" si="2"/>
        <v>0</v>
      </c>
      <c r="K106">
        <f t="shared" si="3"/>
        <v>0</v>
      </c>
      <c r="L106" t="str">
        <f>IF(INDEX(Base!$U$2:$U$601,MATCH(B106,Base!$A$2:$A$601,0))="","",INDEX(Base!$U$2:$U$601,MATCH(B106,Base!$A$2:$A$601,0)))</f>
        <v/>
      </c>
      <c r="M106">
        <f>INDEX(Base!$R$2:$R$601,MATCH(B106,Base!$A$2:$A$601,0))</f>
        <v>0</v>
      </c>
      <c r="N106" t="str">
        <f>INDEX(Base!$AB$2:$AB$601,MATCH(B106,Base!$A$2:$A$601,0))</f>
        <v>Média</v>
      </c>
      <c r="O106">
        <v>155</v>
      </c>
    </row>
    <row r="107" spans="1:16" x14ac:dyDescent="0.25">
      <c r="A107" t="s">
        <v>1029</v>
      </c>
      <c r="B107" t="s">
        <v>494</v>
      </c>
      <c r="C107" t="s">
        <v>918</v>
      </c>
      <c r="D107" t="s">
        <v>218</v>
      </c>
      <c r="F107">
        <v>3</v>
      </c>
      <c r="G107" t="str">
        <f>INDEX(Base!$D$2:$D$601,MATCH(B107,Base!$A$2:$A$601,0))</f>
        <v>Pequeno Escritório</v>
      </c>
      <c r="H107" t="str">
        <f>INDEX(Base!$C$2:$C$601,MATCH(B107,Base!$A$2:$A$601,0))</f>
        <v>Sudeste</v>
      </c>
      <c r="I107">
        <f>INDEX(Base!$M$2:$M$601,MATCH(B107,Base!$A$2:$A$601,0))</f>
        <v>0</v>
      </c>
      <c r="J107">
        <f t="shared" si="2"/>
        <v>0</v>
      </c>
      <c r="K107">
        <f t="shared" si="3"/>
        <v>0</v>
      </c>
      <c r="L107" t="str">
        <f>IF(INDEX(Base!$U$2:$U$601,MATCH(B107,Base!$A$2:$A$601,0))="","",INDEX(Base!$U$2:$U$601,MATCH(B107,Base!$A$2:$A$601,0)))</f>
        <v>Média</v>
      </c>
      <c r="M107">
        <f>INDEX(Base!$R$2:$R$601,MATCH(B107,Base!$A$2:$A$601,0))</f>
        <v>0</v>
      </c>
      <c r="N107" t="str">
        <f>INDEX(Base!$AB$2:$AB$601,MATCH(B107,Base!$A$2:$A$601,0))</f>
        <v>Média</v>
      </c>
      <c r="O107">
        <v>111</v>
      </c>
    </row>
    <row r="108" spans="1:16" x14ac:dyDescent="0.25">
      <c r="A108" t="s">
        <v>1030</v>
      </c>
      <c r="B108" t="s">
        <v>805</v>
      </c>
      <c r="C108" t="s">
        <v>918</v>
      </c>
      <c r="D108" t="s">
        <v>216</v>
      </c>
      <c r="F108">
        <v>2</v>
      </c>
      <c r="G108" t="str">
        <f>INDEX(Base!$D$2:$D$601,MATCH(B108,Base!$A$2:$A$601,0))</f>
        <v>Pequeno Escritório</v>
      </c>
      <c r="H108" t="str">
        <f>INDEX(Base!$C$2:$C$601,MATCH(B108,Base!$A$2:$A$601,0))</f>
        <v>Sudeste</v>
      </c>
      <c r="I108">
        <f>INDEX(Base!$M$2:$M$601,MATCH(B108,Base!$A$2:$A$601,0))</f>
        <v>1</v>
      </c>
      <c r="J108">
        <f t="shared" si="2"/>
        <v>0</v>
      </c>
      <c r="K108">
        <f t="shared" si="3"/>
        <v>0</v>
      </c>
      <c r="L108" t="str">
        <f>IF(INDEX(Base!$U$2:$U$601,MATCH(B108,Base!$A$2:$A$601,0))="","",INDEX(Base!$U$2:$U$601,MATCH(B108,Base!$A$2:$A$601,0)))</f>
        <v/>
      </c>
      <c r="M108">
        <f>INDEX(Base!$R$2:$R$601,MATCH(B108,Base!$A$2:$A$601,0))</f>
        <v>0</v>
      </c>
      <c r="N108" t="str">
        <f>INDEX(Base!$AB$2:$AB$601,MATCH(B108,Base!$A$2:$A$601,0))</f>
        <v>Média</v>
      </c>
      <c r="O108">
        <v>34</v>
      </c>
    </row>
    <row r="109" spans="1:16" x14ac:dyDescent="0.25">
      <c r="A109" t="s">
        <v>1031</v>
      </c>
      <c r="B109" t="s">
        <v>748</v>
      </c>
      <c r="C109" t="s">
        <v>981</v>
      </c>
      <c r="D109" t="s">
        <v>218</v>
      </c>
      <c r="F109">
        <v>3</v>
      </c>
      <c r="G109" t="str">
        <f>INDEX(Base!$D$2:$D$601,MATCH(B109,Base!$A$2:$A$601,0))</f>
        <v>Pequeno Escritório</v>
      </c>
      <c r="H109" t="str">
        <f>INDEX(Base!$C$2:$C$601,MATCH(B109,Base!$A$2:$A$601,0))</f>
        <v>Sul</v>
      </c>
      <c r="I109">
        <f>INDEX(Base!$M$2:$M$601,MATCH(B109,Base!$A$2:$A$601,0))</f>
        <v>1</v>
      </c>
      <c r="J109">
        <f t="shared" si="2"/>
        <v>0</v>
      </c>
      <c r="K109">
        <f t="shared" si="3"/>
        <v>0</v>
      </c>
      <c r="L109" t="str">
        <f>IF(INDEX(Base!$U$2:$U$601,MATCH(B109,Base!$A$2:$A$601,0))="","",INDEX(Base!$U$2:$U$601,MATCH(B109,Base!$A$2:$A$601,0)))</f>
        <v/>
      </c>
      <c r="M109">
        <f>INDEX(Base!$R$2:$R$601,MATCH(B109,Base!$A$2:$A$601,0))</f>
        <v>0</v>
      </c>
      <c r="N109" t="str">
        <f>INDEX(Base!$AB$2:$AB$601,MATCH(B109,Base!$A$2:$A$601,0))</f>
        <v>Média</v>
      </c>
      <c r="O109">
        <v>51</v>
      </c>
    </row>
    <row r="110" spans="1:16" x14ac:dyDescent="0.25">
      <c r="A110" t="s">
        <v>1032</v>
      </c>
      <c r="B110" t="s">
        <v>789</v>
      </c>
      <c r="C110" t="s">
        <v>918</v>
      </c>
      <c r="D110" t="s">
        <v>218</v>
      </c>
      <c r="F110">
        <v>7</v>
      </c>
      <c r="G110" t="str">
        <f>INDEX(Base!$D$2:$D$601,MATCH(B110,Base!$A$2:$A$601,0))</f>
        <v>Autônomo</v>
      </c>
      <c r="H110" t="str">
        <f>INDEX(Base!$C$2:$C$601,MATCH(B110,Base!$A$2:$A$601,0))</f>
        <v>Centro-Oeste</v>
      </c>
      <c r="I110">
        <f>INDEX(Base!$M$2:$M$601,MATCH(B110,Base!$A$2:$A$601,0))</f>
        <v>0</v>
      </c>
      <c r="J110">
        <f t="shared" si="2"/>
        <v>0</v>
      </c>
      <c r="K110">
        <f t="shared" si="3"/>
        <v>0</v>
      </c>
      <c r="L110" t="str">
        <f>IF(INDEX(Base!$U$2:$U$601,MATCH(B110,Base!$A$2:$A$601,0))="","",INDEX(Base!$U$2:$U$601,MATCH(B110,Base!$A$2:$A$601,0)))</f>
        <v/>
      </c>
      <c r="M110">
        <f>INDEX(Base!$R$2:$R$601,MATCH(B110,Base!$A$2:$A$601,0))</f>
        <v>0</v>
      </c>
      <c r="N110" t="str">
        <f>INDEX(Base!$AB$2:$AB$601,MATCH(B110,Base!$A$2:$A$601,0))</f>
        <v>Média</v>
      </c>
      <c r="O110">
        <v>178</v>
      </c>
    </row>
    <row r="111" spans="1:16" x14ac:dyDescent="0.25">
      <c r="A111" t="s">
        <v>1033</v>
      </c>
      <c r="B111" t="s">
        <v>752</v>
      </c>
      <c r="C111" t="s">
        <v>918</v>
      </c>
      <c r="D111" t="s">
        <v>218</v>
      </c>
      <c r="F111">
        <v>12</v>
      </c>
      <c r="G111" t="str">
        <f>INDEX(Base!$D$2:$D$601,MATCH(B111,Base!$A$2:$A$601,0))</f>
        <v>Pequeno Escritório</v>
      </c>
      <c r="H111" t="str">
        <f>INDEX(Base!$C$2:$C$601,MATCH(B111,Base!$A$2:$A$601,0))</f>
        <v>Centro-Oeste</v>
      </c>
      <c r="I111">
        <f>INDEX(Base!$M$2:$M$601,MATCH(B111,Base!$A$2:$A$601,0))</f>
        <v>0</v>
      </c>
      <c r="J111">
        <f t="shared" si="2"/>
        <v>0</v>
      </c>
      <c r="K111">
        <f t="shared" si="3"/>
        <v>0</v>
      </c>
      <c r="L111" t="str">
        <f>IF(INDEX(Base!$U$2:$U$601,MATCH(B111,Base!$A$2:$A$601,0))="","",INDEX(Base!$U$2:$U$601,MATCH(B111,Base!$A$2:$A$601,0)))</f>
        <v>Alta</v>
      </c>
      <c r="M111">
        <f>INDEX(Base!$R$2:$R$601,MATCH(B111,Base!$A$2:$A$601,0))</f>
        <v>1</v>
      </c>
      <c r="N111" t="str">
        <f>INDEX(Base!$AB$2:$AB$601,MATCH(B111,Base!$A$2:$A$601,0))</f>
        <v>Média</v>
      </c>
      <c r="O111">
        <v>19</v>
      </c>
    </row>
    <row r="112" spans="1:16" x14ac:dyDescent="0.25">
      <c r="A112" t="s">
        <v>1034</v>
      </c>
      <c r="B112" t="s">
        <v>867</v>
      </c>
      <c r="C112" t="s">
        <v>918</v>
      </c>
      <c r="D112" t="s">
        <v>220</v>
      </c>
      <c r="F112">
        <v>6</v>
      </c>
      <c r="G112" t="str">
        <f>INDEX(Base!$D$2:$D$601,MATCH(B112,Base!$A$2:$A$601,0))</f>
        <v>Autônomo</v>
      </c>
      <c r="H112" t="str">
        <f>INDEX(Base!$C$2:$C$601,MATCH(B112,Base!$A$2:$A$601,0))</f>
        <v>Sudeste</v>
      </c>
      <c r="I112">
        <f>INDEX(Base!$M$2:$M$601,MATCH(B112,Base!$A$2:$A$601,0))</f>
        <v>0</v>
      </c>
      <c r="J112">
        <f t="shared" si="2"/>
        <v>0</v>
      </c>
      <c r="K112">
        <f t="shared" si="3"/>
        <v>0</v>
      </c>
      <c r="L112" t="str">
        <f>IF(INDEX(Base!$U$2:$U$601,MATCH(B112,Base!$A$2:$A$601,0))="","",INDEX(Base!$U$2:$U$601,MATCH(B112,Base!$A$2:$A$601,0)))</f>
        <v>Baixa</v>
      </c>
      <c r="M112">
        <f>INDEX(Base!$R$2:$R$601,MATCH(B112,Base!$A$2:$A$601,0))</f>
        <v>0</v>
      </c>
      <c r="N112" t="str">
        <f>INDEX(Base!$AB$2:$AB$601,MATCH(B112,Base!$A$2:$A$601,0))</f>
        <v>Baixa</v>
      </c>
      <c r="O112">
        <v>71</v>
      </c>
    </row>
    <row r="113" spans="1:16" x14ac:dyDescent="0.25">
      <c r="A113" t="s">
        <v>1035</v>
      </c>
      <c r="B113" t="s">
        <v>436</v>
      </c>
      <c r="C113" t="s">
        <v>918</v>
      </c>
      <c r="D113" t="s">
        <v>220</v>
      </c>
      <c r="F113">
        <v>4</v>
      </c>
      <c r="G113" t="str">
        <f>INDEX(Base!$D$2:$D$601,MATCH(B113,Base!$A$2:$A$601,0))</f>
        <v>Grande Escritório</v>
      </c>
      <c r="H113" t="str">
        <f>INDEX(Base!$C$2:$C$601,MATCH(B113,Base!$A$2:$A$601,0))</f>
        <v>Sudeste</v>
      </c>
      <c r="I113">
        <f>INDEX(Base!$M$2:$M$601,MATCH(B113,Base!$A$2:$A$601,0))</f>
        <v>1</v>
      </c>
      <c r="J113">
        <f t="shared" si="2"/>
        <v>0</v>
      </c>
      <c r="K113">
        <f t="shared" si="3"/>
        <v>0</v>
      </c>
      <c r="L113" t="str">
        <f>IF(INDEX(Base!$U$2:$U$601,MATCH(B113,Base!$A$2:$A$601,0))="","",INDEX(Base!$U$2:$U$601,MATCH(B113,Base!$A$2:$A$601,0)))</f>
        <v/>
      </c>
      <c r="M113">
        <f>INDEX(Base!$R$2:$R$601,MATCH(B113,Base!$A$2:$A$601,0))</f>
        <v>1</v>
      </c>
      <c r="N113" t="str">
        <f>INDEX(Base!$AB$2:$AB$601,MATCH(B113,Base!$A$2:$A$601,0))</f>
        <v>Alta</v>
      </c>
      <c r="O113">
        <v>157</v>
      </c>
    </row>
    <row r="114" spans="1:16" x14ac:dyDescent="0.25">
      <c r="A114" t="s">
        <v>1036</v>
      </c>
      <c r="B114" t="s">
        <v>367</v>
      </c>
      <c r="C114" t="s">
        <v>921</v>
      </c>
      <c r="D114" t="s">
        <v>215</v>
      </c>
      <c r="F114">
        <v>9</v>
      </c>
      <c r="G114" t="str">
        <f>INDEX(Base!$D$2:$D$601,MATCH(B114,Base!$A$2:$A$601,0))</f>
        <v>Autônomo</v>
      </c>
      <c r="H114" t="str">
        <f>INDEX(Base!$C$2:$C$601,MATCH(B114,Base!$A$2:$A$601,0))</f>
        <v>Nordeste</v>
      </c>
      <c r="I114">
        <f>INDEX(Base!$M$2:$M$601,MATCH(B114,Base!$A$2:$A$601,0))</f>
        <v>0</v>
      </c>
      <c r="J114">
        <f t="shared" si="2"/>
        <v>0</v>
      </c>
      <c r="K114">
        <f t="shared" si="3"/>
        <v>0</v>
      </c>
      <c r="L114" t="str">
        <f>IF(INDEX(Base!$U$2:$U$601,MATCH(B114,Base!$A$2:$A$601,0))="","",INDEX(Base!$U$2:$U$601,MATCH(B114,Base!$A$2:$A$601,0)))</f>
        <v>Baixa</v>
      </c>
      <c r="M114">
        <f>INDEX(Base!$R$2:$R$601,MATCH(B114,Base!$A$2:$A$601,0))</f>
        <v>0</v>
      </c>
      <c r="N114" t="str">
        <f>INDEX(Base!$AB$2:$AB$601,MATCH(B114,Base!$A$2:$A$601,0))</f>
        <v>Baixa</v>
      </c>
      <c r="O114">
        <v>103</v>
      </c>
    </row>
    <row r="115" spans="1:16" x14ac:dyDescent="0.25">
      <c r="A115" t="s">
        <v>1037</v>
      </c>
      <c r="B115" t="s">
        <v>434</v>
      </c>
      <c r="C115" t="s">
        <v>934</v>
      </c>
      <c r="D115" t="s">
        <v>220</v>
      </c>
      <c r="F115">
        <v>8</v>
      </c>
      <c r="G115" t="str">
        <f>INDEX(Base!$D$2:$D$601,MATCH(B115,Base!$A$2:$A$601,0))</f>
        <v>Médio Escritório</v>
      </c>
      <c r="H115" t="str">
        <f>INDEX(Base!$C$2:$C$601,MATCH(B115,Base!$A$2:$A$601,0))</f>
        <v>Nordeste</v>
      </c>
      <c r="I115">
        <f>INDEX(Base!$M$2:$M$601,MATCH(B115,Base!$A$2:$A$601,0))</f>
        <v>1</v>
      </c>
      <c r="J115">
        <f t="shared" si="2"/>
        <v>0</v>
      </c>
      <c r="K115">
        <f t="shared" si="3"/>
        <v>0</v>
      </c>
      <c r="L115" t="str">
        <f>IF(INDEX(Base!$U$2:$U$601,MATCH(B115,Base!$A$2:$A$601,0))="","",INDEX(Base!$U$2:$U$601,MATCH(B115,Base!$A$2:$A$601,0)))</f>
        <v/>
      </c>
      <c r="M115">
        <f>INDEX(Base!$R$2:$R$601,MATCH(B115,Base!$A$2:$A$601,0))</f>
        <v>1</v>
      </c>
      <c r="N115" t="str">
        <f>INDEX(Base!$AB$2:$AB$601,MATCH(B115,Base!$A$2:$A$601,0))</f>
        <v>Alta</v>
      </c>
      <c r="O115">
        <v>146</v>
      </c>
    </row>
    <row r="116" spans="1:16" x14ac:dyDescent="0.25">
      <c r="A116" t="s">
        <v>1038</v>
      </c>
      <c r="B116" t="s">
        <v>470</v>
      </c>
      <c r="C116" t="s">
        <v>921</v>
      </c>
      <c r="D116" t="s">
        <v>220</v>
      </c>
      <c r="F116">
        <v>11</v>
      </c>
      <c r="G116" t="str">
        <f>INDEX(Base!$D$2:$D$601,MATCH(B116,Base!$A$2:$A$601,0))</f>
        <v>Autônomo</v>
      </c>
      <c r="H116" t="str">
        <f>INDEX(Base!$C$2:$C$601,MATCH(B116,Base!$A$2:$A$601,0))</f>
        <v>Nordeste</v>
      </c>
      <c r="I116">
        <f>INDEX(Base!$M$2:$M$601,MATCH(B116,Base!$A$2:$A$601,0))</f>
        <v>0</v>
      </c>
      <c r="J116">
        <f t="shared" si="2"/>
        <v>0</v>
      </c>
      <c r="K116">
        <f t="shared" si="3"/>
        <v>0</v>
      </c>
      <c r="L116" t="str">
        <f>IF(INDEX(Base!$U$2:$U$601,MATCH(B116,Base!$A$2:$A$601,0))="","",INDEX(Base!$U$2:$U$601,MATCH(B116,Base!$A$2:$A$601,0)))</f>
        <v>Média</v>
      </c>
      <c r="M116">
        <f>INDEX(Base!$R$2:$R$601,MATCH(B116,Base!$A$2:$A$601,0))</f>
        <v>0</v>
      </c>
      <c r="N116" t="str">
        <f>INDEX(Base!$AB$2:$AB$601,MATCH(B116,Base!$A$2:$A$601,0))</f>
        <v>Baixa</v>
      </c>
      <c r="O116">
        <v>64</v>
      </c>
    </row>
    <row r="117" spans="1:16" x14ac:dyDescent="0.25">
      <c r="A117" t="s">
        <v>1039</v>
      </c>
      <c r="B117" t="s">
        <v>551</v>
      </c>
      <c r="C117" t="s">
        <v>934</v>
      </c>
      <c r="D117" t="s">
        <v>218</v>
      </c>
      <c r="F117">
        <v>10</v>
      </c>
      <c r="G117" t="str">
        <f>INDEX(Base!$D$2:$D$601,MATCH(B117,Base!$A$2:$A$601,0))</f>
        <v>Pequeno Escritório</v>
      </c>
      <c r="H117" t="str">
        <f>INDEX(Base!$C$2:$C$601,MATCH(B117,Base!$A$2:$A$601,0))</f>
        <v>Centro-Oeste</v>
      </c>
      <c r="I117">
        <f>INDEX(Base!$M$2:$M$601,MATCH(B117,Base!$A$2:$A$601,0))</f>
        <v>0</v>
      </c>
      <c r="J117">
        <f t="shared" si="2"/>
        <v>0</v>
      </c>
      <c r="K117">
        <f t="shared" si="3"/>
        <v>0</v>
      </c>
      <c r="L117" t="str">
        <f>IF(INDEX(Base!$U$2:$U$601,MATCH(B117,Base!$A$2:$A$601,0))="","",INDEX(Base!$U$2:$U$601,MATCH(B117,Base!$A$2:$A$601,0)))</f>
        <v/>
      </c>
      <c r="M117">
        <f>INDEX(Base!$R$2:$R$601,MATCH(B117,Base!$A$2:$A$601,0))</f>
        <v>0</v>
      </c>
      <c r="N117" t="str">
        <f>INDEX(Base!$AB$2:$AB$601,MATCH(B117,Base!$A$2:$A$601,0))</f>
        <v>Média</v>
      </c>
      <c r="O117">
        <v>177</v>
      </c>
    </row>
    <row r="118" spans="1:16" x14ac:dyDescent="0.25">
      <c r="A118" t="s">
        <v>1040</v>
      </c>
      <c r="B118" t="s">
        <v>823</v>
      </c>
      <c r="C118" t="s">
        <v>918</v>
      </c>
      <c r="D118" t="s">
        <v>922</v>
      </c>
      <c r="E118">
        <v>652.61</v>
      </c>
      <c r="F118">
        <v>7</v>
      </c>
      <c r="G118" t="str">
        <f>INDEX(Base!$D$2:$D$601,MATCH(B118,Base!$A$2:$A$601,0))</f>
        <v>Pequeno Escritório</v>
      </c>
      <c r="H118" t="str">
        <f>INDEX(Base!$C$2:$C$601,MATCH(B118,Base!$A$2:$A$601,0))</f>
        <v>Sudeste</v>
      </c>
      <c r="I118">
        <f>INDEX(Base!$M$2:$M$601,MATCH(B118,Base!$A$2:$A$601,0))</f>
        <v>1</v>
      </c>
      <c r="J118">
        <f t="shared" si="2"/>
        <v>1</v>
      </c>
      <c r="K118">
        <f t="shared" si="3"/>
        <v>1</v>
      </c>
      <c r="L118" t="str">
        <f>IF(INDEX(Base!$U$2:$U$601,MATCH(B118,Base!$A$2:$A$601,0))="","",INDEX(Base!$U$2:$U$601,MATCH(B118,Base!$A$2:$A$601,0)))</f>
        <v/>
      </c>
      <c r="M118">
        <f>INDEX(Base!$R$2:$R$601,MATCH(B118,Base!$A$2:$A$601,0))</f>
        <v>1</v>
      </c>
      <c r="N118" t="str">
        <f>INDEX(Base!$AB$2:$AB$601,MATCH(B118,Base!$A$2:$A$601,0))</f>
        <v>Alta</v>
      </c>
      <c r="O118">
        <v>16</v>
      </c>
      <c r="P118" s="33">
        <v>45876</v>
      </c>
    </row>
    <row r="119" spans="1:16" x14ac:dyDescent="0.25">
      <c r="A119" t="s">
        <v>1041</v>
      </c>
      <c r="B119" t="s">
        <v>333</v>
      </c>
      <c r="C119" t="s">
        <v>921</v>
      </c>
      <c r="D119" t="s">
        <v>215</v>
      </c>
      <c r="F119">
        <v>3</v>
      </c>
      <c r="G119" t="str">
        <f>INDEX(Base!$D$2:$D$601,MATCH(B119,Base!$A$2:$A$601,0))</f>
        <v>Autônomo</v>
      </c>
      <c r="H119" t="str">
        <f>INDEX(Base!$C$2:$C$601,MATCH(B119,Base!$A$2:$A$601,0))</f>
        <v>Norte</v>
      </c>
      <c r="I119">
        <f>INDEX(Base!$M$2:$M$601,MATCH(B119,Base!$A$2:$A$601,0))</f>
        <v>0</v>
      </c>
      <c r="J119">
        <f t="shared" si="2"/>
        <v>0</v>
      </c>
      <c r="K119">
        <f t="shared" si="3"/>
        <v>0</v>
      </c>
      <c r="L119" t="str">
        <f>IF(INDEX(Base!$U$2:$U$601,MATCH(B119,Base!$A$2:$A$601,0))="","",INDEX(Base!$U$2:$U$601,MATCH(B119,Base!$A$2:$A$601,0)))</f>
        <v>Baixa</v>
      </c>
      <c r="M119">
        <f>INDEX(Base!$R$2:$R$601,MATCH(B119,Base!$A$2:$A$601,0))</f>
        <v>0</v>
      </c>
      <c r="N119" t="str">
        <f>INDEX(Base!$AB$2:$AB$601,MATCH(B119,Base!$A$2:$A$601,0))</f>
        <v>Média</v>
      </c>
      <c r="O119">
        <v>100</v>
      </c>
    </row>
    <row r="120" spans="1:16" x14ac:dyDescent="0.25">
      <c r="A120" t="s">
        <v>1042</v>
      </c>
      <c r="B120" t="s">
        <v>626</v>
      </c>
      <c r="C120" t="s">
        <v>921</v>
      </c>
      <c r="D120" t="s">
        <v>922</v>
      </c>
      <c r="E120">
        <v>1721.81</v>
      </c>
      <c r="F120">
        <v>9</v>
      </c>
      <c r="G120" t="str">
        <f>INDEX(Base!$D$2:$D$601,MATCH(B120,Base!$A$2:$A$601,0))</f>
        <v>Médio Escritório</v>
      </c>
      <c r="H120" t="str">
        <f>INDEX(Base!$C$2:$C$601,MATCH(B120,Base!$A$2:$A$601,0))</f>
        <v>Nordeste</v>
      </c>
      <c r="I120">
        <f>INDEX(Base!$M$2:$M$601,MATCH(B120,Base!$A$2:$A$601,0))</f>
        <v>1</v>
      </c>
      <c r="J120">
        <f t="shared" si="2"/>
        <v>1</v>
      </c>
      <c r="K120">
        <f t="shared" si="3"/>
        <v>1</v>
      </c>
      <c r="L120" t="str">
        <f>IF(INDEX(Base!$U$2:$U$601,MATCH(B120,Base!$A$2:$A$601,0))="","",INDEX(Base!$U$2:$U$601,MATCH(B120,Base!$A$2:$A$601,0)))</f>
        <v/>
      </c>
      <c r="M120">
        <f>INDEX(Base!$R$2:$R$601,MATCH(B120,Base!$A$2:$A$601,0))</f>
        <v>1</v>
      </c>
      <c r="N120" t="str">
        <f>INDEX(Base!$AB$2:$AB$601,MATCH(B120,Base!$A$2:$A$601,0))</f>
        <v>Alta</v>
      </c>
      <c r="O120">
        <v>68</v>
      </c>
      <c r="P120" s="33">
        <v>45532</v>
      </c>
    </row>
    <row r="121" spans="1:16" x14ac:dyDescent="0.25">
      <c r="A121" t="s">
        <v>1043</v>
      </c>
      <c r="B121" t="s">
        <v>725</v>
      </c>
      <c r="C121" t="s">
        <v>921</v>
      </c>
      <c r="D121" t="s">
        <v>919</v>
      </c>
      <c r="F121">
        <v>5</v>
      </c>
      <c r="G121" t="str">
        <f>INDEX(Base!$D$2:$D$601,MATCH(B121,Base!$A$2:$A$601,0))</f>
        <v>Grande Escritório</v>
      </c>
      <c r="H121" t="str">
        <f>INDEX(Base!$C$2:$C$601,MATCH(B121,Base!$A$2:$A$601,0))</f>
        <v>Sudeste</v>
      </c>
      <c r="I121">
        <f>INDEX(Base!$M$2:$M$601,MATCH(B121,Base!$A$2:$A$601,0))</f>
        <v>1</v>
      </c>
      <c r="J121">
        <f t="shared" si="2"/>
        <v>1</v>
      </c>
      <c r="K121">
        <f t="shared" si="3"/>
        <v>0</v>
      </c>
      <c r="L121" t="str">
        <f>IF(INDEX(Base!$U$2:$U$601,MATCH(B121,Base!$A$2:$A$601,0))="","",INDEX(Base!$U$2:$U$601,MATCH(B121,Base!$A$2:$A$601,0)))</f>
        <v/>
      </c>
      <c r="M121">
        <f>INDEX(Base!$R$2:$R$601,MATCH(B121,Base!$A$2:$A$601,0))</f>
        <v>1</v>
      </c>
      <c r="N121" t="str">
        <f>INDEX(Base!$AB$2:$AB$601,MATCH(B121,Base!$A$2:$A$601,0))</f>
        <v>Alta</v>
      </c>
      <c r="O121">
        <v>172</v>
      </c>
    </row>
    <row r="122" spans="1:16" x14ac:dyDescent="0.25">
      <c r="A122" t="s">
        <v>1044</v>
      </c>
      <c r="B122" t="s">
        <v>370</v>
      </c>
      <c r="C122" t="s">
        <v>981</v>
      </c>
      <c r="D122" t="s">
        <v>220</v>
      </c>
      <c r="F122">
        <v>8</v>
      </c>
      <c r="G122" t="str">
        <f>INDEX(Base!$D$2:$D$601,MATCH(B122,Base!$A$2:$A$601,0))</f>
        <v>Autônomo</v>
      </c>
      <c r="H122" t="str">
        <f>INDEX(Base!$C$2:$C$601,MATCH(B122,Base!$A$2:$A$601,0))</f>
        <v>Sudeste</v>
      </c>
      <c r="I122">
        <f>INDEX(Base!$M$2:$M$601,MATCH(B122,Base!$A$2:$A$601,0))</f>
        <v>0</v>
      </c>
      <c r="J122">
        <f t="shared" si="2"/>
        <v>0</v>
      </c>
      <c r="K122">
        <f t="shared" si="3"/>
        <v>0</v>
      </c>
      <c r="L122" t="str">
        <f>IF(INDEX(Base!$U$2:$U$601,MATCH(B122,Base!$A$2:$A$601,0))="","",INDEX(Base!$U$2:$U$601,MATCH(B122,Base!$A$2:$A$601,0)))</f>
        <v>Baixa</v>
      </c>
      <c r="M122">
        <f>INDEX(Base!$R$2:$R$601,MATCH(B122,Base!$A$2:$A$601,0))</f>
        <v>0</v>
      </c>
      <c r="N122" t="str">
        <f>INDEX(Base!$AB$2:$AB$601,MATCH(B122,Base!$A$2:$A$601,0))</f>
        <v>Baixa</v>
      </c>
      <c r="O122">
        <v>74</v>
      </c>
    </row>
    <row r="123" spans="1:16" x14ac:dyDescent="0.25">
      <c r="A123" t="s">
        <v>1045</v>
      </c>
      <c r="B123" t="s">
        <v>633</v>
      </c>
      <c r="C123" t="s">
        <v>921</v>
      </c>
      <c r="D123" t="s">
        <v>216</v>
      </c>
      <c r="F123">
        <v>6</v>
      </c>
      <c r="G123" t="str">
        <f>INDEX(Base!$D$2:$D$601,MATCH(B123,Base!$A$2:$A$601,0))</f>
        <v>Pequeno Escritório</v>
      </c>
      <c r="H123" t="str">
        <f>INDEX(Base!$C$2:$C$601,MATCH(B123,Base!$A$2:$A$601,0))</f>
        <v>Nordeste</v>
      </c>
      <c r="I123">
        <f>INDEX(Base!$M$2:$M$601,MATCH(B123,Base!$A$2:$A$601,0))</f>
        <v>1</v>
      </c>
      <c r="J123">
        <f t="shared" si="2"/>
        <v>0</v>
      </c>
      <c r="K123">
        <f t="shared" si="3"/>
        <v>0</v>
      </c>
      <c r="L123" t="str">
        <f>IF(INDEX(Base!$U$2:$U$601,MATCH(B123,Base!$A$2:$A$601,0))="","",INDEX(Base!$U$2:$U$601,MATCH(B123,Base!$A$2:$A$601,0)))</f>
        <v/>
      </c>
      <c r="M123">
        <f>INDEX(Base!$R$2:$R$601,MATCH(B123,Base!$A$2:$A$601,0))</f>
        <v>0</v>
      </c>
      <c r="N123" t="str">
        <f>INDEX(Base!$AB$2:$AB$601,MATCH(B123,Base!$A$2:$A$601,0))</f>
        <v>Média</v>
      </c>
      <c r="O123">
        <v>166</v>
      </c>
    </row>
    <row r="124" spans="1:16" x14ac:dyDescent="0.25">
      <c r="A124" t="s">
        <v>1046</v>
      </c>
      <c r="B124" t="s">
        <v>590</v>
      </c>
      <c r="C124" t="s">
        <v>918</v>
      </c>
      <c r="D124" t="s">
        <v>218</v>
      </c>
      <c r="F124">
        <v>3</v>
      </c>
      <c r="G124" t="str">
        <f>INDEX(Base!$D$2:$D$601,MATCH(B124,Base!$A$2:$A$601,0))</f>
        <v>Médio Escritório</v>
      </c>
      <c r="H124" t="str">
        <f>INDEX(Base!$C$2:$C$601,MATCH(B124,Base!$A$2:$A$601,0))</f>
        <v>Sul</v>
      </c>
      <c r="I124">
        <f>INDEX(Base!$M$2:$M$601,MATCH(B124,Base!$A$2:$A$601,0))</f>
        <v>1</v>
      </c>
      <c r="J124">
        <f t="shared" si="2"/>
        <v>0</v>
      </c>
      <c r="K124">
        <f t="shared" si="3"/>
        <v>0</v>
      </c>
      <c r="L124" t="str">
        <f>IF(INDEX(Base!$U$2:$U$601,MATCH(B124,Base!$A$2:$A$601,0))="","",INDEX(Base!$U$2:$U$601,MATCH(B124,Base!$A$2:$A$601,0)))</f>
        <v/>
      </c>
      <c r="M124">
        <f>INDEX(Base!$R$2:$R$601,MATCH(B124,Base!$A$2:$A$601,0))</f>
        <v>1</v>
      </c>
      <c r="N124" t="str">
        <f>INDEX(Base!$AB$2:$AB$601,MATCH(B124,Base!$A$2:$A$601,0))</f>
        <v>Alta</v>
      </c>
      <c r="O124">
        <v>141</v>
      </c>
    </row>
    <row r="125" spans="1:16" x14ac:dyDescent="0.25">
      <c r="A125" t="s">
        <v>1047</v>
      </c>
      <c r="B125" t="s">
        <v>453</v>
      </c>
      <c r="C125" t="s">
        <v>921</v>
      </c>
      <c r="D125" t="s">
        <v>220</v>
      </c>
      <c r="F125">
        <v>12</v>
      </c>
      <c r="G125" t="str">
        <f>INDEX(Base!$D$2:$D$601,MATCH(B125,Base!$A$2:$A$601,0))</f>
        <v>Autônomo</v>
      </c>
      <c r="H125" t="str">
        <f>INDEX(Base!$C$2:$C$601,MATCH(B125,Base!$A$2:$A$601,0))</f>
        <v>Centro-Oeste</v>
      </c>
      <c r="I125">
        <f>INDEX(Base!$M$2:$M$601,MATCH(B125,Base!$A$2:$A$601,0))</f>
        <v>0</v>
      </c>
      <c r="J125">
        <f t="shared" si="2"/>
        <v>0</v>
      </c>
      <c r="K125">
        <f t="shared" si="3"/>
        <v>0</v>
      </c>
      <c r="L125" t="str">
        <f>IF(INDEX(Base!$U$2:$U$601,MATCH(B125,Base!$A$2:$A$601,0))="","",INDEX(Base!$U$2:$U$601,MATCH(B125,Base!$A$2:$A$601,0)))</f>
        <v>Baixa</v>
      </c>
      <c r="M125">
        <f>INDEX(Base!$R$2:$R$601,MATCH(B125,Base!$A$2:$A$601,0))</f>
        <v>0</v>
      </c>
      <c r="N125" t="str">
        <f>INDEX(Base!$AB$2:$AB$601,MATCH(B125,Base!$A$2:$A$601,0))</f>
        <v>Baixa</v>
      </c>
      <c r="O125">
        <v>36</v>
      </c>
    </row>
    <row r="126" spans="1:16" x14ac:dyDescent="0.25">
      <c r="A126" t="s">
        <v>1048</v>
      </c>
      <c r="B126" t="s">
        <v>472</v>
      </c>
      <c r="C126" t="s">
        <v>927</v>
      </c>
      <c r="D126" t="s">
        <v>221</v>
      </c>
      <c r="F126">
        <v>7</v>
      </c>
      <c r="G126" t="str">
        <f>INDEX(Base!$D$2:$D$601,MATCH(B126,Base!$A$2:$A$601,0))</f>
        <v>Autônomo</v>
      </c>
      <c r="H126" t="str">
        <f>INDEX(Base!$C$2:$C$601,MATCH(B126,Base!$A$2:$A$601,0))</f>
        <v>Sudeste</v>
      </c>
      <c r="I126">
        <f>INDEX(Base!$M$2:$M$601,MATCH(B126,Base!$A$2:$A$601,0))</f>
        <v>0</v>
      </c>
      <c r="J126">
        <f t="shared" si="2"/>
        <v>0</v>
      </c>
      <c r="K126">
        <f t="shared" si="3"/>
        <v>0</v>
      </c>
      <c r="L126" t="str">
        <f>IF(INDEX(Base!$U$2:$U$601,MATCH(B126,Base!$A$2:$A$601,0))="","",INDEX(Base!$U$2:$U$601,MATCH(B126,Base!$A$2:$A$601,0)))</f>
        <v>Alta</v>
      </c>
      <c r="M126">
        <f>INDEX(Base!$R$2:$R$601,MATCH(B126,Base!$A$2:$A$601,0))</f>
        <v>0</v>
      </c>
      <c r="N126" t="str">
        <f>INDEX(Base!$AB$2:$AB$601,MATCH(B126,Base!$A$2:$A$601,0))</f>
        <v>Baixa</v>
      </c>
      <c r="O126">
        <v>58</v>
      </c>
    </row>
    <row r="127" spans="1:16" x14ac:dyDescent="0.25">
      <c r="A127" t="s">
        <v>1049</v>
      </c>
      <c r="B127" t="s">
        <v>776</v>
      </c>
      <c r="C127" t="s">
        <v>921</v>
      </c>
      <c r="D127" t="s">
        <v>919</v>
      </c>
      <c r="F127">
        <v>11</v>
      </c>
      <c r="G127" t="str">
        <f>INDEX(Base!$D$2:$D$601,MATCH(B127,Base!$A$2:$A$601,0))</f>
        <v>Autônomo</v>
      </c>
      <c r="H127" t="str">
        <f>INDEX(Base!$C$2:$C$601,MATCH(B127,Base!$A$2:$A$601,0))</f>
        <v>Sudeste</v>
      </c>
      <c r="I127">
        <f>INDEX(Base!$M$2:$M$601,MATCH(B127,Base!$A$2:$A$601,0))</f>
        <v>0</v>
      </c>
      <c r="J127">
        <f t="shared" si="2"/>
        <v>1</v>
      </c>
      <c r="K127">
        <f t="shared" si="3"/>
        <v>0</v>
      </c>
      <c r="L127" t="str">
        <f>IF(INDEX(Base!$U$2:$U$601,MATCH(B127,Base!$A$2:$A$601,0))="","",INDEX(Base!$U$2:$U$601,MATCH(B127,Base!$A$2:$A$601,0)))</f>
        <v/>
      </c>
      <c r="M127">
        <f>INDEX(Base!$R$2:$R$601,MATCH(B127,Base!$A$2:$A$601,0))</f>
        <v>0</v>
      </c>
      <c r="N127" t="str">
        <f>INDEX(Base!$AB$2:$AB$601,MATCH(B127,Base!$A$2:$A$601,0))</f>
        <v>Baixa</v>
      </c>
      <c r="O127">
        <v>71</v>
      </c>
    </row>
    <row r="128" spans="1:16" x14ac:dyDescent="0.25">
      <c r="A128" t="s">
        <v>1050</v>
      </c>
      <c r="B128" t="s">
        <v>390</v>
      </c>
      <c r="C128" t="s">
        <v>981</v>
      </c>
      <c r="D128" t="s">
        <v>216</v>
      </c>
      <c r="F128">
        <v>4</v>
      </c>
      <c r="G128" t="str">
        <f>INDEX(Base!$D$2:$D$601,MATCH(B128,Base!$A$2:$A$601,0))</f>
        <v>Autônomo</v>
      </c>
      <c r="H128" t="str">
        <f>INDEX(Base!$C$2:$C$601,MATCH(B128,Base!$A$2:$A$601,0))</f>
        <v>Norte</v>
      </c>
      <c r="I128">
        <f>INDEX(Base!$M$2:$M$601,MATCH(B128,Base!$A$2:$A$601,0))</f>
        <v>0</v>
      </c>
      <c r="J128">
        <f t="shared" si="2"/>
        <v>0</v>
      </c>
      <c r="K128">
        <f t="shared" si="3"/>
        <v>0</v>
      </c>
      <c r="L128" t="str">
        <f>IF(INDEX(Base!$U$2:$U$601,MATCH(B128,Base!$A$2:$A$601,0))="","",INDEX(Base!$U$2:$U$601,MATCH(B128,Base!$A$2:$A$601,0)))</f>
        <v>Baixa</v>
      </c>
      <c r="M128">
        <f>INDEX(Base!$R$2:$R$601,MATCH(B128,Base!$A$2:$A$601,0))</f>
        <v>0</v>
      </c>
      <c r="N128" t="str">
        <f>INDEX(Base!$AB$2:$AB$601,MATCH(B128,Base!$A$2:$A$601,0))</f>
        <v>Baixa</v>
      </c>
      <c r="O128">
        <v>174</v>
      </c>
    </row>
    <row r="129" spans="1:16" x14ac:dyDescent="0.25">
      <c r="A129" t="s">
        <v>1051</v>
      </c>
      <c r="B129" t="s">
        <v>591</v>
      </c>
      <c r="C129" t="s">
        <v>981</v>
      </c>
      <c r="D129" t="s">
        <v>218</v>
      </c>
      <c r="F129">
        <v>10</v>
      </c>
      <c r="G129" t="str">
        <f>INDEX(Base!$D$2:$D$601,MATCH(B129,Base!$A$2:$A$601,0))</f>
        <v>Pequeno Escritório</v>
      </c>
      <c r="H129" t="str">
        <f>INDEX(Base!$C$2:$C$601,MATCH(B129,Base!$A$2:$A$601,0))</f>
        <v>Nordeste</v>
      </c>
      <c r="I129">
        <f>INDEX(Base!$M$2:$M$601,MATCH(B129,Base!$A$2:$A$601,0))</f>
        <v>1</v>
      </c>
      <c r="J129">
        <f t="shared" si="2"/>
        <v>0</v>
      </c>
      <c r="K129">
        <f t="shared" si="3"/>
        <v>0</v>
      </c>
      <c r="L129" t="str">
        <f>IF(INDEX(Base!$U$2:$U$601,MATCH(B129,Base!$A$2:$A$601,0))="","",INDEX(Base!$U$2:$U$601,MATCH(B129,Base!$A$2:$A$601,0)))</f>
        <v/>
      </c>
      <c r="M129">
        <f>INDEX(Base!$R$2:$R$601,MATCH(B129,Base!$A$2:$A$601,0))</f>
        <v>1</v>
      </c>
      <c r="N129" t="str">
        <f>INDEX(Base!$AB$2:$AB$601,MATCH(B129,Base!$A$2:$A$601,0))</f>
        <v>Alta</v>
      </c>
      <c r="O129">
        <v>89</v>
      </c>
    </row>
    <row r="130" spans="1:16" x14ac:dyDescent="0.25">
      <c r="A130" t="s">
        <v>1052</v>
      </c>
      <c r="B130" t="s">
        <v>526</v>
      </c>
      <c r="C130" t="s">
        <v>918</v>
      </c>
      <c r="D130" t="s">
        <v>922</v>
      </c>
      <c r="E130">
        <v>1154.5</v>
      </c>
      <c r="F130">
        <v>1</v>
      </c>
      <c r="G130" t="str">
        <f>INDEX(Base!$D$2:$D$601,MATCH(B130,Base!$A$2:$A$601,0))</f>
        <v>Pequeno Escritório</v>
      </c>
      <c r="H130" t="str">
        <f>INDEX(Base!$C$2:$C$601,MATCH(B130,Base!$A$2:$A$601,0))</f>
        <v>Norte</v>
      </c>
      <c r="I130">
        <f>INDEX(Base!$M$2:$M$601,MATCH(B130,Base!$A$2:$A$601,0))</f>
        <v>0</v>
      </c>
      <c r="J130">
        <f t="shared" ref="J130:J193" si="4">IF(OR(D130="Ganho",D130="Perdido"),1,0)</f>
        <v>1</v>
      </c>
      <c r="K130">
        <f t="shared" ref="K130:K193" si="5">IF(D130="Ganho",1,0)</f>
        <v>1</v>
      </c>
      <c r="L130" t="str">
        <f>IF(INDEX(Base!$U$2:$U$601,MATCH(B130,Base!$A$2:$A$601,0))="","",INDEX(Base!$U$2:$U$601,MATCH(B130,Base!$A$2:$A$601,0)))</f>
        <v>Média</v>
      </c>
      <c r="M130">
        <f>INDEX(Base!$R$2:$R$601,MATCH(B130,Base!$A$2:$A$601,0))</f>
        <v>0</v>
      </c>
      <c r="N130" t="str">
        <f>INDEX(Base!$AB$2:$AB$601,MATCH(B130,Base!$A$2:$A$601,0))</f>
        <v>Média</v>
      </c>
      <c r="O130">
        <v>0</v>
      </c>
      <c r="P130" s="33">
        <v>45428</v>
      </c>
    </row>
    <row r="131" spans="1:16" x14ac:dyDescent="0.25">
      <c r="A131" t="s">
        <v>1053</v>
      </c>
      <c r="B131" t="s">
        <v>490</v>
      </c>
      <c r="C131" t="s">
        <v>934</v>
      </c>
      <c r="D131" t="s">
        <v>218</v>
      </c>
      <c r="F131">
        <v>9</v>
      </c>
      <c r="G131" t="str">
        <f>INDEX(Base!$D$2:$D$601,MATCH(B131,Base!$A$2:$A$601,0))</f>
        <v>Grande Escritório</v>
      </c>
      <c r="H131" t="str">
        <f>INDEX(Base!$C$2:$C$601,MATCH(B131,Base!$A$2:$A$601,0))</f>
        <v>Sudeste</v>
      </c>
      <c r="I131">
        <f>INDEX(Base!$M$2:$M$601,MATCH(B131,Base!$A$2:$A$601,0))</f>
        <v>1</v>
      </c>
      <c r="J131">
        <f t="shared" si="4"/>
        <v>0</v>
      </c>
      <c r="K131">
        <f t="shared" si="5"/>
        <v>0</v>
      </c>
      <c r="L131" t="str">
        <f>IF(INDEX(Base!$U$2:$U$601,MATCH(B131,Base!$A$2:$A$601,0))="","",INDEX(Base!$U$2:$U$601,MATCH(B131,Base!$A$2:$A$601,0)))</f>
        <v/>
      </c>
      <c r="M131">
        <f>INDEX(Base!$R$2:$R$601,MATCH(B131,Base!$A$2:$A$601,0))</f>
        <v>1</v>
      </c>
      <c r="N131" t="str">
        <f>INDEX(Base!$AB$2:$AB$601,MATCH(B131,Base!$A$2:$A$601,0))</f>
        <v>Alta</v>
      </c>
      <c r="O131">
        <v>130</v>
      </c>
    </row>
    <row r="132" spans="1:16" x14ac:dyDescent="0.25">
      <c r="A132" t="s">
        <v>1054</v>
      </c>
      <c r="B132" t="s">
        <v>693</v>
      </c>
      <c r="C132" t="s">
        <v>927</v>
      </c>
      <c r="D132" t="s">
        <v>220</v>
      </c>
      <c r="F132">
        <v>11</v>
      </c>
      <c r="G132" t="str">
        <f>INDEX(Base!$D$2:$D$601,MATCH(B132,Base!$A$2:$A$601,0))</f>
        <v>Pequeno Escritório</v>
      </c>
      <c r="H132" t="str">
        <f>INDEX(Base!$C$2:$C$601,MATCH(B132,Base!$A$2:$A$601,0))</f>
        <v>Sudeste</v>
      </c>
      <c r="I132">
        <f>INDEX(Base!$M$2:$M$601,MATCH(B132,Base!$A$2:$A$601,0))</f>
        <v>1</v>
      </c>
      <c r="J132">
        <f t="shared" si="4"/>
        <v>0</v>
      </c>
      <c r="K132">
        <f t="shared" si="5"/>
        <v>0</v>
      </c>
      <c r="L132" t="str">
        <f>IF(INDEX(Base!$U$2:$U$601,MATCH(B132,Base!$A$2:$A$601,0))="","",INDEX(Base!$U$2:$U$601,MATCH(B132,Base!$A$2:$A$601,0)))</f>
        <v/>
      </c>
      <c r="M132">
        <f>INDEX(Base!$R$2:$R$601,MATCH(B132,Base!$A$2:$A$601,0))</f>
        <v>0</v>
      </c>
      <c r="N132" t="str">
        <f>INDEX(Base!$AB$2:$AB$601,MATCH(B132,Base!$A$2:$A$601,0))</f>
        <v>Média</v>
      </c>
      <c r="O132">
        <v>171</v>
      </c>
    </row>
    <row r="133" spans="1:16" x14ac:dyDescent="0.25">
      <c r="A133" t="s">
        <v>1055</v>
      </c>
      <c r="B133" t="s">
        <v>849</v>
      </c>
      <c r="C133" t="s">
        <v>918</v>
      </c>
      <c r="D133" t="s">
        <v>216</v>
      </c>
      <c r="F133">
        <v>2</v>
      </c>
      <c r="G133" t="str">
        <f>INDEX(Base!$D$2:$D$601,MATCH(B133,Base!$A$2:$A$601,0))</f>
        <v>Médio Escritório</v>
      </c>
      <c r="H133" t="str">
        <f>INDEX(Base!$C$2:$C$601,MATCH(B133,Base!$A$2:$A$601,0))</f>
        <v>Sudeste</v>
      </c>
      <c r="I133">
        <f>INDEX(Base!$M$2:$M$601,MATCH(B133,Base!$A$2:$A$601,0))</f>
        <v>1</v>
      </c>
      <c r="J133">
        <f t="shared" si="4"/>
        <v>0</v>
      </c>
      <c r="K133">
        <f t="shared" si="5"/>
        <v>0</v>
      </c>
      <c r="L133" t="str">
        <f>IF(INDEX(Base!$U$2:$U$601,MATCH(B133,Base!$A$2:$A$601,0))="","",INDEX(Base!$U$2:$U$601,MATCH(B133,Base!$A$2:$A$601,0)))</f>
        <v/>
      </c>
      <c r="M133">
        <f>INDEX(Base!$R$2:$R$601,MATCH(B133,Base!$A$2:$A$601,0))</f>
        <v>1</v>
      </c>
      <c r="N133" t="str">
        <f>INDEX(Base!$AB$2:$AB$601,MATCH(B133,Base!$A$2:$A$601,0))</f>
        <v>Alta</v>
      </c>
      <c r="O133">
        <v>95</v>
      </c>
    </row>
    <row r="134" spans="1:16" x14ac:dyDescent="0.25">
      <c r="A134" t="s">
        <v>1056</v>
      </c>
      <c r="B134" t="s">
        <v>316</v>
      </c>
      <c r="C134" t="s">
        <v>981</v>
      </c>
      <c r="D134" t="s">
        <v>919</v>
      </c>
      <c r="F134">
        <v>7</v>
      </c>
      <c r="G134" t="str">
        <f>INDEX(Base!$D$2:$D$601,MATCH(B134,Base!$A$2:$A$601,0))</f>
        <v>Médio Escritório</v>
      </c>
      <c r="H134" t="str">
        <f>INDEX(Base!$C$2:$C$601,MATCH(B134,Base!$A$2:$A$601,0))</f>
        <v>Centro-Oeste</v>
      </c>
      <c r="I134">
        <f>INDEX(Base!$M$2:$M$601,MATCH(B134,Base!$A$2:$A$601,0))</f>
        <v>1</v>
      </c>
      <c r="J134">
        <f t="shared" si="4"/>
        <v>1</v>
      </c>
      <c r="K134">
        <f t="shared" si="5"/>
        <v>0</v>
      </c>
      <c r="L134" t="str">
        <f>IF(INDEX(Base!$U$2:$U$601,MATCH(B134,Base!$A$2:$A$601,0))="","",INDEX(Base!$U$2:$U$601,MATCH(B134,Base!$A$2:$A$601,0)))</f>
        <v/>
      </c>
      <c r="M134">
        <f>INDEX(Base!$R$2:$R$601,MATCH(B134,Base!$A$2:$A$601,0))</f>
        <v>1</v>
      </c>
      <c r="N134" t="str">
        <f>INDEX(Base!$AB$2:$AB$601,MATCH(B134,Base!$A$2:$A$601,0))</f>
        <v>Alta</v>
      </c>
      <c r="O134">
        <v>50</v>
      </c>
    </row>
    <row r="135" spans="1:16" x14ac:dyDescent="0.25">
      <c r="A135" t="s">
        <v>1057</v>
      </c>
      <c r="B135" t="s">
        <v>749</v>
      </c>
      <c r="C135" t="s">
        <v>927</v>
      </c>
      <c r="D135" t="s">
        <v>221</v>
      </c>
      <c r="F135">
        <v>2</v>
      </c>
      <c r="G135" t="str">
        <f>INDEX(Base!$D$2:$D$601,MATCH(B135,Base!$A$2:$A$601,0))</f>
        <v>Autônomo</v>
      </c>
      <c r="H135" t="str">
        <f>INDEX(Base!$C$2:$C$601,MATCH(B135,Base!$A$2:$A$601,0))</f>
        <v>Nordeste</v>
      </c>
      <c r="I135">
        <f>INDEX(Base!$M$2:$M$601,MATCH(B135,Base!$A$2:$A$601,0))</f>
        <v>0</v>
      </c>
      <c r="J135">
        <f t="shared" si="4"/>
        <v>0</v>
      </c>
      <c r="K135">
        <f t="shared" si="5"/>
        <v>0</v>
      </c>
      <c r="L135" t="str">
        <f>IF(INDEX(Base!$U$2:$U$601,MATCH(B135,Base!$A$2:$A$601,0))="","",INDEX(Base!$U$2:$U$601,MATCH(B135,Base!$A$2:$A$601,0)))</f>
        <v>Baixa</v>
      </c>
      <c r="M135">
        <f>INDEX(Base!$R$2:$R$601,MATCH(B135,Base!$A$2:$A$601,0))</f>
        <v>0</v>
      </c>
      <c r="N135" t="str">
        <f>INDEX(Base!$AB$2:$AB$601,MATCH(B135,Base!$A$2:$A$601,0))</f>
        <v>Baixa</v>
      </c>
      <c r="O135">
        <v>123</v>
      </c>
    </row>
    <row r="136" spans="1:16" x14ac:dyDescent="0.25">
      <c r="A136" t="s">
        <v>1058</v>
      </c>
      <c r="B136" t="s">
        <v>785</v>
      </c>
      <c r="C136" t="s">
        <v>918</v>
      </c>
      <c r="D136" t="s">
        <v>220</v>
      </c>
      <c r="F136">
        <v>12</v>
      </c>
      <c r="G136" t="str">
        <f>INDEX(Base!$D$2:$D$601,MATCH(B136,Base!$A$2:$A$601,0))</f>
        <v>Pequeno Escritório</v>
      </c>
      <c r="H136" t="str">
        <f>INDEX(Base!$C$2:$C$601,MATCH(B136,Base!$A$2:$A$601,0))</f>
        <v>Centro-Oeste</v>
      </c>
      <c r="I136">
        <f>INDEX(Base!$M$2:$M$601,MATCH(B136,Base!$A$2:$A$601,0))</f>
        <v>0</v>
      </c>
      <c r="J136">
        <f t="shared" si="4"/>
        <v>0</v>
      </c>
      <c r="K136">
        <f t="shared" si="5"/>
        <v>0</v>
      </c>
      <c r="L136" t="str">
        <f>IF(INDEX(Base!$U$2:$U$601,MATCH(B136,Base!$A$2:$A$601,0))="","",INDEX(Base!$U$2:$U$601,MATCH(B136,Base!$A$2:$A$601,0)))</f>
        <v>Alta</v>
      </c>
      <c r="M136">
        <f>INDEX(Base!$R$2:$R$601,MATCH(B136,Base!$A$2:$A$601,0))</f>
        <v>0</v>
      </c>
      <c r="N136" t="str">
        <f>INDEX(Base!$AB$2:$AB$601,MATCH(B136,Base!$A$2:$A$601,0))</f>
        <v>Alta</v>
      </c>
      <c r="O136">
        <v>10</v>
      </c>
    </row>
    <row r="137" spans="1:16" x14ac:dyDescent="0.25">
      <c r="A137" t="s">
        <v>1059</v>
      </c>
      <c r="B137" t="s">
        <v>332</v>
      </c>
      <c r="C137" t="s">
        <v>927</v>
      </c>
      <c r="D137" t="s">
        <v>919</v>
      </c>
      <c r="F137">
        <v>4</v>
      </c>
      <c r="G137" t="str">
        <f>INDEX(Base!$D$2:$D$601,MATCH(B137,Base!$A$2:$A$601,0))</f>
        <v>Autônomo</v>
      </c>
      <c r="H137" t="str">
        <f>INDEX(Base!$C$2:$C$601,MATCH(B137,Base!$A$2:$A$601,0))</f>
        <v>Sul</v>
      </c>
      <c r="I137">
        <f>INDEX(Base!$M$2:$M$601,MATCH(B137,Base!$A$2:$A$601,0))</f>
        <v>0</v>
      </c>
      <c r="J137">
        <f t="shared" si="4"/>
        <v>1</v>
      </c>
      <c r="K137">
        <f t="shared" si="5"/>
        <v>0</v>
      </c>
      <c r="L137" t="str">
        <f>IF(INDEX(Base!$U$2:$U$601,MATCH(B137,Base!$A$2:$A$601,0))="","",INDEX(Base!$U$2:$U$601,MATCH(B137,Base!$A$2:$A$601,0)))</f>
        <v>Baixa</v>
      </c>
      <c r="M137">
        <f>INDEX(Base!$R$2:$R$601,MATCH(B137,Base!$A$2:$A$601,0))</f>
        <v>0</v>
      </c>
      <c r="N137" t="str">
        <f>INDEX(Base!$AB$2:$AB$601,MATCH(B137,Base!$A$2:$A$601,0))</f>
        <v>Baixa</v>
      </c>
      <c r="O137">
        <v>28</v>
      </c>
    </row>
    <row r="138" spans="1:16" x14ac:dyDescent="0.25">
      <c r="A138" t="s">
        <v>1060</v>
      </c>
      <c r="B138" t="s">
        <v>856</v>
      </c>
      <c r="C138" t="s">
        <v>927</v>
      </c>
      <c r="D138" t="s">
        <v>218</v>
      </c>
      <c r="F138">
        <v>12</v>
      </c>
      <c r="G138" t="str">
        <f>INDEX(Base!$D$2:$D$601,MATCH(B138,Base!$A$2:$A$601,0))</f>
        <v>Autônomo</v>
      </c>
      <c r="H138" t="str">
        <f>INDEX(Base!$C$2:$C$601,MATCH(B138,Base!$A$2:$A$601,0))</f>
        <v>Centro-Oeste</v>
      </c>
      <c r="I138">
        <f>INDEX(Base!$M$2:$M$601,MATCH(B138,Base!$A$2:$A$601,0))</f>
        <v>0</v>
      </c>
      <c r="J138">
        <f t="shared" si="4"/>
        <v>0</v>
      </c>
      <c r="K138">
        <f t="shared" si="5"/>
        <v>0</v>
      </c>
      <c r="L138" t="str">
        <f>IF(INDEX(Base!$U$2:$U$601,MATCH(B138,Base!$A$2:$A$601,0))="","",INDEX(Base!$U$2:$U$601,MATCH(B138,Base!$A$2:$A$601,0)))</f>
        <v>Baixa</v>
      </c>
      <c r="M138">
        <f>INDEX(Base!$R$2:$R$601,MATCH(B138,Base!$A$2:$A$601,0))</f>
        <v>0</v>
      </c>
      <c r="N138" t="str">
        <f>INDEX(Base!$AB$2:$AB$601,MATCH(B138,Base!$A$2:$A$601,0))</f>
        <v>Baixa</v>
      </c>
      <c r="O138">
        <v>61</v>
      </c>
    </row>
    <row r="139" spans="1:16" x14ac:dyDescent="0.25">
      <c r="A139" t="s">
        <v>1061</v>
      </c>
      <c r="B139" t="s">
        <v>708</v>
      </c>
      <c r="C139" t="s">
        <v>918</v>
      </c>
      <c r="D139" t="s">
        <v>220</v>
      </c>
      <c r="F139">
        <v>8</v>
      </c>
      <c r="G139" t="str">
        <f>INDEX(Base!$D$2:$D$601,MATCH(B139,Base!$A$2:$A$601,0))</f>
        <v>Pequeno Escritório</v>
      </c>
      <c r="H139" t="str">
        <f>INDEX(Base!$C$2:$C$601,MATCH(B139,Base!$A$2:$A$601,0))</f>
        <v>Sudeste</v>
      </c>
      <c r="I139">
        <f>INDEX(Base!$M$2:$M$601,MATCH(B139,Base!$A$2:$A$601,0))</f>
        <v>0</v>
      </c>
      <c r="J139">
        <f t="shared" si="4"/>
        <v>0</v>
      </c>
      <c r="K139">
        <f t="shared" si="5"/>
        <v>0</v>
      </c>
      <c r="L139" t="str">
        <f>IF(INDEX(Base!$U$2:$U$601,MATCH(B139,Base!$A$2:$A$601,0))="","",INDEX(Base!$U$2:$U$601,MATCH(B139,Base!$A$2:$A$601,0)))</f>
        <v>Baixa</v>
      </c>
      <c r="M139">
        <f>INDEX(Base!$R$2:$R$601,MATCH(B139,Base!$A$2:$A$601,0))</f>
        <v>0</v>
      </c>
      <c r="N139" t="str">
        <f>INDEX(Base!$AB$2:$AB$601,MATCH(B139,Base!$A$2:$A$601,0))</f>
        <v>Média</v>
      </c>
      <c r="O139">
        <v>160</v>
      </c>
    </row>
    <row r="140" spans="1:16" x14ac:dyDescent="0.25">
      <c r="A140" t="s">
        <v>1062</v>
      </c>
      <c r="B140" t="s">
        <v>457</v>
      </c>
      <c r="C140" t="s">
        <v>918</v>
      </c>
      <c r="D140" t="s">
        <v>216</v>
      </c>
      <c r="F140">
        <v>5</v>
      </c>
      <c r="G140" t="str">
        <f>INDEX(Base!$D$2:$D$601,MATCH(B140,Base!$A$2:$A$601,0))</f>
        <v>Grande Escritório</v>
      </c>
      <c r="H140" t="str">
        <f>INDEX(Base!$C$2:$C$601,MATCH(B140,Base!$A$2:$A$601,0))</f>
        <v>Sul</v>
      </c>
      <c r="I140">
        <f>INDEX(Base!$M$2:$M$601,MATCH(B140,Base!$A$2:$A$601,0))</f>
        <v>1</v>
      </c>
      <c r="J140">
        <f t="shared" si="4"/>
        <v>0</v>
      </c>
      <c r="K140">
        <f t="shared" si="5"/>
        <v>0</v>
      </c>
      <c r="L140" t="str">
        <f>IF(INDEX(Base!$U$2:$U$601,MATCH(B140,Base!$A$2:$A$601,0))="","",INDEX(Base!$U$2:$U$601,MATCH(B140,Base!$A$2:$A$601,0)))</f>
        <v/>
      </c>
      <c r="M140">
        <f>INDEX(Base!$R$2:$R$601,MATCH(B140,Base!$A$2:$A$601,0))</f>
        <v>1</v>
      </c>
      <c r="N140" t="str">
        <f>INDEX(Base!$AB$2:$AB$601,MATCH(B140,Base!$A$2:$A$601,0))</f>
        <v>Alta</v>
      </c>
      <c r="O140">
        <v>150</v>
      </c>
    </row>
    <row r="141" spans="1:16" x14ac:dyDescent="0.25">
      <c r="A141" t="s">
        <v>1063</v>
      </c>
      <c r="B141" t="s">
        <v>536</v>
      </c>
      <c r="C141" t="s">
        <v>921</v>
      </c>
      <c r="D141" t="s">
        <v>215</v>
      </c>
      <c r="F141">
        <v>11</v>
      </c>
      <c r="G141" t="str">
        <f>INDEX(Base!$D$2:$D$601,MATCH(B141,Base!$A$2:$A$601,0))</f>
        <v>Pequeno Escritório</v>
      </c>
      <c r="H141" t="str">
        <f>INDEX(Base!$C$2:$C$601,MATCH(B141,Base!$A$2:$A$601,0))</f>
        <v>Sudeste</v>
      </c>
      <c r="I141">
        <f>INDEX(Base!$M$2:$M$601,MATCH(B141,Base!$A$2:$A$601,0))</f>
        <v>0</v>
      </c>
      <c r="J141">
        <f t="shared" si="4"/>
        <v>0</v>
      </c>
      <c r="K141">
        <f t="shared" si="5"/>
        <v>0</v>
      </c>
      <c r="L141" t="str">
        <f>IF(INDEX(Base!$U$2:$U$601,MATCH(B141,Base!$A$2:$A$601,0))="","",INDEX(Base!$U$2:$U$601,MATCH(B141,Base!$A$2:$A$601,0)))</f>
        <v>Alta</v>
      </c>
      <c r="M141">
        <f>INDEX(Base!$R$2:$R$601,MATCH(B141,Base!$A$2:$A$601,0))</f>
        <v>0</v>
      </c>
      <c r="N141" t="str">
        <f>INDEX(Base!$AB$2:$AB$601,MATCH(B141,Base!$A$2:$A$601,0))</f>
        <v>Média</v>
      </c>
      <c r="O141">
        <v>149</v>
      </c>
    </row>
    <row r="142" spans="1:16" x14ac:dyDescent="0.25">
      <c r="A142" t="s">
        <v>1064</v>
      </c>
      <c r="B142" t="s">
        <v>689</v>
      </c>
      <c r="C142" t="s">
        <v>927</v>
      </c>
      <c r="D142" t="s">
        <v>215</v>
      </c>
      <c r="F142">
        <v>2</v>
      </c>
      <c r="G142" t="str">
        <f>INDEX(Base!$D$2:$D$601,MATCH(B142,Base!$A$2:$A$601,0))</f>
        <v>Pequeno Escritório</v>
      </c>
      <c r="H142" t="str">
        <f>INDEX(Base!$C$2:$C$601,MATCH(B142,Base!$A$2:$A$601,0))</f>
        <v>Sudeste</v>
      </c>
      <c r="I142">
        <f>INDEX(Base!$M$2:$M$601,MATCH(B142,Base!$A$2:$A$601,0))</f>
        <v>0</v>
      </c>
      <c r="J142">
        <f t="shared" si="4"/>
        <v>0</v>
      </c>
      <c r="K142">
        <f t="shared" si="5"/>
        <v>0</v>
      </c>
      <c r="L142" t="str">
        <f>IF(INDEX(Base!$U$2:$U$601,MATCH(B142,Base!$A$2:$A$601,0))="","",INDEX(Base!$U$2:$U$601,MATCH(B142,Base!$A$2:$A$601,0)))</f>
        <v>Média</v>
      </c>
      <c r="M142">
        <f>INDEX(Base!$R$2:$R$601,MATCH(B142,Base!$A$2:$A$601,0))</f>
        <v>0</v>
      </c>
      <c r="N142" t="str">
        <f>INDEX(Base!$AB$2:$AB$601,MATCH(B142,Base!$A$2:$A$601,0))</f>
        <v>Média</v>
      </c>
      <c r="O142">
        <v>155</v>
      </c>
    </row>
    <row r="143" spans="1:16" x14ac:dyDescent="0.25">
      <c r="A143" t="s">
        <v>1065</v>
      </c>
      <c r="B143" t="s">
        <v>726</v>
      </c>
      <c r="C143" t="s">
        <v>918</v>
      </c>
      <c r="D143" t="s">
        <v>218</v>
      </c>
      <c r="F143">
        <v>10</v>
      </c>
      <c r="G143" t="str">
        <f>INDEX(Base!$D$2:$D$601,MATCH(B143,Base!$A$2:$A$601,0))</f>
        <v>Autônomo</v>
      </c>
      <c r="H143" t="str">
        <f>INDEX(Base!$C$2:$C$601,MATCH(B143,Base!$A$2:$A$601,0))</f>
        <v>Sudeste</v>
      </c>
      <c r="I143">
        <f>INDEX(Base!$M$2:$M$601,MATCH(B143,Base!$A$2:$A$601,0))</f>
        <v>0</v>
      </c>
      <c r="J143">
        <f t="shared" si="4"/>
        <v>0</v>
      </c>
      <c r="K143">
        <f t="shared" si="5"/>
        <v>0</v>
      </c>
      <c r="L143" t="str">
        <f>IF(INDEX(Base!$U$2:$U$601,MATCH(B143,Base!$A$2:$A$601,0))="","",INDEX(Base!$U$2:$U$601,MATCH(B143,Base!$A$2:$A$601,0)))</f>
        <v>Média</v>
      </c>
      <c r="M143">
        <f>INDEX(Base!$R$2:$R$601,MATCH(B143,Base!$A$2:$A$601,0))</f>
        <v>0</v>
      </c>
      <c r="N143" t="str">
        <f>INDEX(Base!$AB$2:$AB$601,MATCH(B143,Base!$A$2:$A$601,0))</f>
        <v>Baixa</v>
      </c>
      <c r="O143">
        <v>63</v>
      </c>
    </row>
    <row r="144" spans="1:16" x14ac:dyDescent="0.25">
      <c r="A144" t="s">
        <v>1066</v>
      </c>
      <c r="B144" t="s">
        <v>847</v>
      </c>
      <c r="C144" t="s">
        <v>934</v>
      </c>
      <c r="D144" t="s">
        <v>218</v>
      </c>
      <c r="F144">
        <v>11</v>
      </c>
      <c r="G144" t="str">
        <f>INDEX(Base!$D$2:$D$601,MATCH(B144,Base!$A$2:$A$601,0))</f>
        <v>Autônomo</v>
      </c>
      <c r="H144" t="str">
        <f>INDEX(Base!$C$2:$C$601,MATCH(B144,Base!$A$2:$A$601,0))</f>
        <v>Norte</v>
      </c>
      <c r="I144">
        <f>INDEX(Base!$M$2:$M$601,MATCH(B144,Base!$A$2:$A$601,0))</f>
        <v>0</v>
      </c>
      <c r="J144">
        <f t="shared" si="4"/>
        <v>0</v>
      </c>
      <c r="K144">
        <f t="shared" si="5"/>
        <v>0</v>
      </c>
      <c r="L144" t="str">
        <f>IF(INDEX(Base!$U$2:$U$601,MATCH(B144,Base!$A$2:$A$601,0))="","",INDEX(Base!$U$2:$U$601,MATCH(B144,Base!$A$2:$A$601,0)))</f>
        <v>Baixa</v>
      </c>
      <c r="M144">
        <f>INDEX(Base!$R$2:$R$601,MATCH(B144,Base!$A$2:$A$601,0))</f>
        <v>0</v>
      </c>
      <c r="N144" t="str">
        <f>INDEX(Base!$AB$2:$AB$601,MATCH(B144,Base!$A$2:$A$601,0))</f>
        <v>Média</v>
      </c>
      <c r="O144">
        <v>10</v>
      </c>
    </row>
    <row r="145" spans="1:16" x14ac:dyDescent="0.25">
      <c r="A145" t="s">
        <v>1067</v>
      </c>
      <c r="B145" t="s">
        <v>717</v>
      </c>
      <c r="C145" t="s">
        <v>981</v>
      </c>
      <c r="D145" t="s">
        <v>922</v>
      </c>
      <c r="E145">
        <v>567.32000000000005</v>
      </c>
      <c r="F145">
        <v>9</v>
      </c>
      <c r="G145" t="str">
        <f>INDEX(Base!$D$2:$D$601,MATCH(B145,Base!$A$2:$A$601,0))</f>
        <v>Pequeno Escritório</v>
      </c>
      <c r="H145" t="str">
        <f>INDEX(Base!$C$2:$C$601,MATCH(B145,Base!$A$2:$A$601,0))</f>
        <v>Centro-Oeste</v>
      </c>
      <c r="I145">
        <f>INDEX(Base!$M$2:$M$601,MATCH(B145,Base!$A$2:$A$601,0))</f>
        <v>0</v>
      </c>
      <c r="J145">
        <f t="shared" si="4"/>
        <v>1</v>
      </c>
      <c r="K145">
        <f t="shared" si="5"/>
        <v>1</v>
      </c>
      <c r="L145" t="str">
        <f>IF(INDEX(Base!$U$2:$U$601,MATCH(B145,Base!$A$2:$A$601,0))="","",INDEX(Base!$U$2:$U$601,MATCH(B145,Base!$A$2:$A$601,0)))</f>
        <v>Baixa</v>
      </c>
      <c r="M145">
        <f>INDEX(Base!$R$2:$R$601,MATCH(B145,Base!$A$2:$A$601,0))</f>
        <v>0</v>
      </c>
      <c r="N145" t="str">
        <f>INDEX(Base!$AB$2:$AB$601,MATCH(B145,Base!$A$2:$A$601,0))</f>
        <v>Média</v>
      </c>
      <c r="O145">
        <v>78</v>
      </c>
      <c r="P145" s="33">
        <v>46079</v>
      </c>
    </row>
    <row r="146" spans="1:16" x14ac:dyDescent="0.25">
      <c r="A146" t="s">
        <v>1068</v>
      </c>
      <c r="B146" t="s">
        <v>626</v>
      </c>
      <c r="C146" t="s">
        <v>934</v>
      </c>
      <c r="D146" t="s">
        <v>221</v>
      </c>
      <c r="F146">
        <v>11</v>
      </c>
      <c r="G146" t="str">
        <f>INDEX(Base!$D$2:$D$601,MATCH(B146,Base!$A$2:$A$601,0))</f>
        <v>Médio Escritório</v>
      </c>
      <c r="H146" t="str">
        <f>INDEX(Base!$C$2:$C$601,MATCH(B146,Base!$A$2:$A$601,0))</f>
        <v>Nordeste</v>
      </c>
      <c r="I146">
        <f>INDEX(Base!$M$2:$M$601,MATCH(B146,Base!$A$2:$A$601,0))</f>
        <v>1</v>
      </c>
      <c r="J146">
        <f t="shared" si="4"/>
        <v>0</v>
      </c>
      <c r="K146">
        <f t="shared" si="5"/>
        <v>0</v>
      </c>
      <c r="L146" t="str">
        <f>IF(INDEX(Base!$U$2:$U$601,MATCH(B146,Base!$A$2:$A$601,0))="","",INDEX(Base!$U$2:$U$601,MATCH(B146,Base!$A$2:$A$601,0)))</f>
        <v/>
      </c>
      <c r="M146">
        <f>INDEX(Base!$R$2:$R$601,MATCH(B146,Base!$A$2:$A$601,0))</f>
        <v>1</v>
      </c>
      <c r="N146" t="str">
        <f>INDEX(Base!$AB$2:$AB$601,MATCH(B146,Base!$A$2:$A$601,0))</f>
        <v>Alta</v>
      </c>
      <c r="O146">
        <v>177</v>
      </c>
    </row>
    <row r="147" spans="1:16" x14ac:dyDescent="0.25">
      <c r="A147" t="s">
        <v>1069</v>
      </c>
      <c r="B147" t="s">
        <v>447</v>
      </c>
      <c r="C147" t="s">
        <v>934</v>
      </c>
      <c r="D147" t="s">
        <v>919</v>
      </c>
      <c r="F147">
        <v>7</v>
      </c>
      <c r="G147" t="str">
        <f>INDEX(Base!$D$2:$D$601,MATCH(B147,Base!$A$2:$A$601,0))</f>
        <v>Pequeno Escritório</v>
      </c>
      <c r="H147" t="str">
        <f>INDEX(Base!$C$2:$C$601,MATCH(B147,Base!$A$2:$A$601,0))</f>
        <v>Sul</v>
      </c>
      <c r="I147">
        <f>INDEX(Base!$M$2:$M$601,MATCH(B147,Base!$A$2:$A$601,0))</f>
        <v>0</v>
      </c>
      <c r="J147">
        <f t="shared" si="4"/>
        <v>1</v>
      </c>
      <c r="K147">
        <f t="shared" si="5"/>
        <v>0</v>
      </c>
      <c r="L147" t="str">
        <f>IF(INDEX(Base!$U$2:$U$601,MATCH(B147,Base!$A$2:$A$601,0))="","",INDEX(Base!$U$2:$U$601,MATCH(B147,Base!$A$2:$A$601,0)))</f>
        <v>Média</v>
      </c>
      <c r="M147">
        <f>INDEX(Base!$R$2:$R$601,MATCH(B147,Base!$A$2:$A$601,0))</f>
        <v>0</v>
      </c>
      <c r="N147" t="str">
        <f>INDEX(Base!$AB$2:$AB$601,MATCH(B147,Base!$A$2:$A$601,0))</f>
        <v>Média</v>
      </c>
      <c r="O147">
        <v>109</v>
      </c>
    </row>
    <row r="148" spans="1:16" x14ac:dyDescent="0.25">
      <c r="A148" t="s">
        <v>1070</v>
      </c>
      <c r="B148" t="s">
        <v>571</v>
      </c>
      <c r="C148" t="s">
        <v>918</v>
      </c>
      <c r="D148" t="s">
        <v>216</v>
      </c>
      <c r="F148">
        <v>6</v>
      </c>
      <c r="G148" t="str">
        <f>INDEX(Base!$D$2:$D$601,MATCH(B148,Base!$A$2:$A$601,0))</f>
        <v>Pequeno Escritório</v>
      </c>
      <c r="H148" t="str">
        <f>INDEX(Base!$C$2:$C$601,MATCH(B148,Base!$A$2:$A$601,0))</f>
        <v>Centro-Oeste</v>
      </c>
      <c r="I148">
        <f>INDEX(Base!$M$2:$M$601,MATCH(B148,Base!$A$2:$A$601,0))</f>
        <v>0</v>
      </c>
      <c r="J148">
        <f t="shared" si="4"/>
        <v>0</v>
      </c>
      <c r="K148">
        <f t="shared" si="5"/>
        <v>0</v>
      </c>
      <c r="L148" t="str">
        <f>IF(INDEX(Base!$U$2:$U$601,MATCH(B148,Base!$A$2:$A$601,0))="","",INDEX(Base!$U$2:$U$601,MATCH(B148,Base!$A$2:$A$601,0)))</f>
        <v>Média</v>
      </c>
      <c r="M148">
        <f>INDEX(Base!$R$2:$R$601,MATCH(B148,Base!$A$2:$A$601,0))</f>
        <v>0</v>
      </c>
      <c r="N148" t="str">
        <f>INDEX(Base!$AB$2:$AB$601,MATCH(B148,Base!$A$2:$A$601,0))</f>
        <v>Alta</v>
      </c>
      <c r="O148">
        <v>137</v>
      </c>
    </row>
    <row r="149" spans="1:16" x14ac:dyDescent="0.25">
      <c r="A149" t="s">
        <v>1071</v>
      </c>
      <c r="B149" t="s">
        <v>291</v>
      </c>
      <c r="C149" t="s">
        <v>927</v>
      </c>
      <c r="D149" t="s">
        <v>220</v>
      </c>
      <c r="F149">
        <v>7</v>
      </c>
      <c r="G149" t="str">
        <f>INDEX(Base!$D$2:$D$601,MATCH(B149,Base!$A$2:$A$601,0))</f>
        <v>Médio Escritório</v>
      </c>
      <c r="H149" t="str">
        <f>INDEX(Base!$C$2:$C$601,MATCH(B149,Base!$A$2:$A$601,0))</f>
        <v>Centro-Oeste</v>
      </c>
      <c r="I149">
        <f>INDEX(Base!$M$2:$M$601,MATCH(B149,Base!$A$2:$A$601,0))</f>
        <v>0</v>
      </c>
      <c r="J149">
        <f t="shared" si="4"/>
        <v>0</v>
      </c>
      <c r="K149">
        <f t="shared" si="5"/>
        <v>0</v>
      </c>
      <c r="L149" t="str">
        <f>IF(INDEX(Base!$U$2:$U$601,MATCH(B149,Base!$A$2:$A$601,0))="","",INDEX(Base!$U$2:$U$601,MATCH(B149,Base!$A$2:$A$601,0)))</f>
        <v>Média</v>
      </c>
      <c r="M149">
        <f>INDEX(Base!$R$2:$R$601,MATCH(B149,Base!$A$2:$A$601,0))</f>
        <v>1</v>
      </c>
      <c r="N149" t="str">
        <f>INDEX(Base!$AB$2:$AB$601,MATCH(B149,Base!$A$2:$A$601,0))</f>
        <v>Alta</v>
      </c>
      <c r="O149">
        <v>141</v>
      </c>
    </row>
    <row r="150" spans="1:16" x14ac:dyDescent="0.25">
      <c r="A150" t="s">
        <v>1072</v>
      </c>
      <c r="B150" t="s">
        <v>882</v>
      </c>
      <c r="C150" t="s">
        <v>921</v>
      </c>
      <c r="D150" t="s">
        <v>216</v>
      </c>
      <c r="F150">
        <v>6</v>
      </c>
      <c r="G150" t="str">
        <f>INDEX(Base!$D$2:$D$601,MATCH(B150,Base!$A$2:$A$601,0))</f>
        <v>Autônomo</v>
      </c>
      <c r="H150" t="str">
        <f>INDEX(Base!$C$2:$C$601,MATCH(B150,Base!$A$2:$A$601,0))</f>
        <v>Sul</v>
      </c>
      <c r="I150">
        <f>INDEX(Base!$M$2:$M$601,MATCH(B150,Base!$A$2:$A$601,0))</f>
        <v>0</v>
      </c>
      <c r="J150">
        <f t="shared" si="4"/>
        <v>0</v>
      </c>
      <c r="K150">
        <f t="shared" si="5"/>
        <v>0</v>
      </c>
      <c r="L150" t="str">
        <f>IF(INDEX(Base!$U$2:$U$601,MATCH(B150,Base!$A$2:$A$601,0))="","",INDEX(Base!$U$2:$U$601,MATCH(B150,Base!$A$2:$A$601,0)))</f>
        <v>Alta</v>
      </c>
      <c r="M150">
        <f>INDEX(Base!$R$2:$R$601,MATCH(B150,Base!$A$2:$A$601,0))</f>
        <v>0</v>
      </c>
      <c r="N150" t="str">
        <f>INDEX(Base!$AB$2:$AB$601,MATCH(B150,Base!$A$2:$A$601,0))</f>
        <v>Média</v>
      </c>
      <c r="O150">
        <v>25</v>
      </c>
    </row>
    <row r="151" spans="1:16" x14ac:dyDescent="0.25">
      <c r="A151" t="s">
        <v>1073</v>
      </c>
      <c r="B151" t="s">
        <v>862</v>
      </c>
      <c r="C151" t="s">
        <v>934</v>
      </c>
      <c r="D151" t="s">
        <v>221</v>
      </c>
      <c r="F151">
        <v>4</v>
      </c>
      <c r="G151" t="str">
        <f>INDEX(Base!$D$2:$D$601,MATCH(B151,Base!$A$2:$A$601,0))</f>
        <v>Autônomo</v>
      </c>
      <c r="H151" t="str">
        <f>INDEX(Base!$C$2:$C$601,MATCH(B151,Base!$A$2:$A$601,0))</f>
        <v>Sudeste</v>
      </c>
      <c r="I151">
        <f>INDEX(Base!$M$2:$M$601,MATCH(B151,Base!$A$2:$A$601,0))</f>
        <v>0</v>
      </c>
      <c r="J151">
        <f t="shared" si="4"/>
        <v>0</v>
      </c>
      <c r="K151">
        <f t="shared" si="5"/>
        <v>0</v>
      </c>
      <c r="L151" t="str">
        <f>IF(INDEX(Base!$U$2:$U$601,MATCH(B151,Base!$A$2:$A$601,0))="","",INDEX(Base!$U$2:$U$601,MATCH(B151,Base!$A$2:$A$601,0)))</f>
        <v>Média</v>
      </c>
      <c r="M151">
        <f>INDEX(Base!$R$2:$R$601,MATCH(B151,Base!$A$2:$A$601,0))</f>
        <v>0</v>
      </c>
      <c r="N151" t="str">
        <f>INDEX(Base!$AB$2:$AB$601,MATCH(B151,Base!$A$2:$A$601,0))</f>
        <v>Baixa</v>
      </c>
      <c r="O151">
        <v>113</v>
      </c>
    </row>
    <row r="152" spans="1:16" x14ac:dyDescent="0.25">
      <c r="A152" t="s">
        <v>1074</v>
      </c>
      <c r="B152" t="s">
        <v>856</v>
      </c>
      <c r="C152" t="s">
        <v>981</v>
      </c>
      <c r="D152" t="s">
        <v>218</v>
      </c>
      <c r="F152">
        <v>6</v>
      </c>
      <c r="G152" t="str">
        <f>INDEX(Base!$D$2:$D$601,MATCH(B152,Base!$A$2:$A$601,0))</f>
        <v>Autônomo</v>
      </c>
      <c r="H152" t="str">
        <f>INDEX(Base!$C$2:$C$601,MATCH(B152,Base!$A$2:$A$601,0))</f>
        <v>Centro-Oeste</v>
      </c>
      <c r="I152">
        <f>INDEX(Base!$M$2:$M$601,MATCH(B152,Base!$A$2:$A$601,0))</f>
        <v>0</v>
      </c>
      <c r="J152">
        <f t="shared" si="4"/>
        <v>0</v>
      </c>
      <c r="K152">
        <f t="shared" si="5"/>
        <v>0</v>
      </c>
      <c r="L152" t="str">
        <f>IF(INDEX(Base!$U$2:$U$601,MATCH(B152,Base!$A$2:$A$601,0))="","",INDEX(Base!$U$2:$U$601,MATCH(B152,Base!$A$2:$A$601,0)))</f>
        <v>Baixa</v>
      </c>
      <c r="M152">
        <f>INDEX(Base!$R$2:$R$601,MATCH(B152,Base!$A$2:$A$601,0))</f>
        <v>0</v>
      </c>
      <c r="N152" t="str">
        <f>INDEX(Base!$AB$2:$AB$601,MATCH(B152,Base!$A$2:$A$601,0))</f>
        <v>Baixa</v>
      </c>
      <c r="O152">
        <v>84</v>
      </c>
    </row>
    <row r="153" spans="1:16" x14ac:dyDescent="0.25">
      <c r="A153" t="s">
        <v>1075</v>
      </c>
      <c r="B153" t="s">
        <v>486</v>
      </c>
      <c r="C153" t="s">
        <v>918</v>
      </c>
      <c r="D153" t="s">
        <v>220</v>
      </c>
      <c r="F153">
        <v>7</v>
      </c>
      <c r="G153" t="str">
        <f>INDEX(Base!$D$2:$D$601,MATCH(B153,Base!$A$2:$A$601,0))</f>
        <v>Pequeno Escritório</v>
      </c>
      <c r="H153" t="str">
        <f>INDEX(Base!$C$2:$C$601,MATCH(B153,Base!$A$2:$A$601,0))</f>
        <v>Centro-Oeste</v>
      </c>
      <c r="I153">
        <f>INDEX(Base!$M$2:$M$601,MATCH(B153,Base!$A$2:$A$601,0))</f>
        <v>0</v>
      </c>
      <c r="J153">
        <f t="shared" si="4"/>
        <v>0</v>
      </c>
      <c r="K153">
        <f t="shared" si="5"/>
        <v>0</v>
      </c>
      <c r="L153" t="str">
        <f>IF(INDEX(Base!$U$2:$U$601,MATCH(B153,Base!$A$2:$A$601,0))="","",INDEX(Base!$U$2:$U$601,MATCH(B153,Base!$A$2:$A$601,0)))</f>
        <v>Alta</v>
      </c>
      <c r="M153">
        <f>INDEX(Base!$R$2:$R$601,MATCH(B153,Base!$A$2:$A$601,0))</f>
        <v>0</v>
      </c>
      <c r="N153" t="str">
        <f>INDEX(Base!$AB$2:$AB$601,MATCH(B153,Base!$A$2:$A$601,0))</f>
        <v>Média</v>
      </c>
      <c r="O153">
        <v>11</v>
      </c>
    </row>
    <row r="154" spans="1:16" x14ac:dyDescent="0.25">
      <c r="A154" t="s">
        <v>1076</v>
      </c>
      <c r="B154" t="s">
        <v>867</v>
      </c>
      <c r="C154" t="s">
        <v>921</v>
      </c>
      <c r="D154" t="s">
        <v>221</v>
      </c>
      <c r="F154">
        <v>5</v>
      </c>
      <c r="G154" t="str">
        <f>INDEX(Base!$D$2:$D$601,MATCH(B154,Base!$A$2:$A$601,0))</f>
        <v>Autônomo</v>
      </c>
      <c r="H154" t="str">
        <f>INDEX(Base!$C$2:$C$601,MATCH(B154,Base!$A$2:$A$601,0))</f>
        <v>Sudeste</v>
      </c>
      <c r="I154">
        <f>INDEX(Base!$M$2:$M$601,MATCH(B154,Base!$A$2:$A$601,0))</f>
        <v>0</v>
      </c>
      <c r="J154">
        <f t="shared" si="4"/>
        <v>0</v>
      </c>
      <c r="K154">
        <f t="shared" si="5"/>
        <v>0</v>
      </c>
      <c r="L154" t="str">
        <f>IF(INDEX(Base!$U$2:$U$601,MATCH(B154,Base!$A$2:$A$601,0))="","",INDEX(Base!$U$2:$U$601,MATCH(B154,Base!$A$2:$A$601,0)))</f>
        <v>Baixa</v>
      </c>
      <c r="M154">
        <f>INDEX(Base!$R$2:$R$601,MATCH(B154,Base!$A$2:$A$601,0))</f>
        <v>0</v>
      </c>
      <c r="N154" t="str">
        <f>INDEX(Base!$AB$2:$AB$601,MATCH(B154,Base!$A$2:$A$601,0))</f>
        <v>Baixa</v>
      </c>
      <c r="O154">
        <v>68</v>
      </c>
    </row>
    <row r="155" spans="1:16" x14ac:dyDescent="0.25">
      <c r="A155" t="s">
        <v>1077</v>
      </c>
      <c r="B155" t="s">
        <v>760</v>
      </c>
      <c r="C155" t="s">
        <v>918</v>
      </c>
      <c r="D155" t="s">
        <v>919</v>
      </c>
      <c r="F155">
        <v>9</v>
      </c>
      <c r="G155" t="str">
        <f>INDEX(Base!$D$2:$D$601,MATCH(B155,Base!$A$2:$A$601,0))</f>
        <v>Pequeno Escritório</v>
      </c>
      <c r="H155" t="str">
        <f>INDEX(Base!$C$2:$C$601,MATCH(B155,Base!$A$2:$A$601,0))</f>
        <v>Sudeste</v>
      </c>
      <c r="I155">
        <f>INDEX(Base!$M$2:$M$601,MATCH(B155,Base!$A$2:$A$601,0))</f>
        <v>0</v>
      </c>
      <c r="J155">
        <f t="shared" si="4"/>
        <v>1</v>
      </c>
      <c r="K155">
        <f t="shared" si="5"/>
        <v>0</v>
      </c>
      <c r="L155" t="str">
        <f>IF(INDEX(Base!$U$2:$U$601,MATCH(B155,Base!$A$2:$A$601,0))="","",INDEX(Base!$U$2:$U$601,MATCH(B155,Base!$A$2:$A$601,0)))</f>
        <v>Média</v>
      </c>
      <c r="M155">
        <f>INDEX(Base!$R$2:$R$601,MATCH(B155,Base!$A$2:$A$601,0))</f>
        <v>0</v>
      </c>
      <c r="N155" t="str">
        <f>INDEX(Base!$AB$2:$AB$601,MATCH(B155,Base!$A$2:$A$601,0))</f>
        <v>Média</v>
      </c>
      <c r="O155">
        <v>65</v>
      </c>
    </row>
    <row r="156" spans="1:16" x14ac:dyDescent="0.25">
      <c r="A156" t="s">
        <v>1078</v>
      </c>
      <c r="B156" t="s">
        <v>484</v>
      </c>
      <c r="C156" t="s">
        <v>934</v>
      </c>
      <c r="D156" t="s">
        <v>215</v>
      </c>
      <c r="F156">
        <v>2</v>
      </c>
      <c r="G156" t="str">
        <f>INDEX(Base!$D$2:$D$601,MATCH(B156,Base!$A$2:$A$601,0))</f>
        <v>Autônomo</v>
      </c>
      <c r="H156" t="str">
        <f>INDEX(Base!$C$2:$C$601,MATCH(B156,Base!$A$2:$A$601,0))</f>
        <v>Sudeste</v>
      </c>
      <c r="I156">
        <f>INDEX(Base!$M$2:$M$601,MATCH(B156,Base!$A$2:$A$601,0))</f>
        <v>0</v>
      </c>
      <c r="J156">
        <f t="shared" si="4"/>
        <v>0</v>
      </c>
      <c r="K156">
        <f t="shared" si="5"/>
        <v>0</v>
      </c>
      <c r="L156" t="str">
        <f>IF(INDEX(Base!$U$2:$U$601,MATCH(B156,Base!$A$2:$A$601,0))="","",INDEX(Base!$U$2:$U$601,MATCH(B156,Base!$A$2:$A$601,0)))</f>
        <v>Baixa</v>
      </c>
      <c r="M156">
        <f>INDEX(Base!$R$2:$R$601,MATCH(B156,Base!$A$2:$A$601,0))</f>
        <v>0</v>
      </c>
      <c r="N156" t="str">
        <f>INDEX(Base!$AB$2:$AB$601,MATCH(B156,Base!$A$2:$A$601,0))</f>
        <v>Baixa</v>
      </c>
      <c r="O156">
        <v>165</v>
      </c>
    </row>
    <row r="157" spans="1:16" x14ac:dyDescent="0.25">
      <c r="A157" t="s">
        <v>1079</v>
      </c>
      <c r="B157" t="s">
        <v>821</v>
      </c>
      <c r="C157" t="s">
        <v>921</v>
      </c>
      <c r="D157" t="s">
        <v>220</v>
      </c>
      <c r="F157">
        <v>1</v>
      </c>
      <c r="G157" t="str">
        <f>INDEX(Base!$D$2:$D$601,MATCH(B157,Base!$A$2:$A$601,0))</f>
        <v>Médio Escritório</v>
      </c>
      <c r="H157" t="str">
        <f>INDEX(Base!$C$2:$C$601,MATCH(B157,Base!$A$2:$A$601,0))</f>
        <v>Nordeste</v>
      </c>
      <c r="I157">
        <f>INDEX(Base!$M$2:$M$601,MATCH(B157,Base!$A$2:$A$601,0))</f>
        <v>1</v>
      </c>
      <c r="J157">
        <f t="shared" si="4"/>
        <v>0</v>
      </c>
      <c r="K157">
        <f t="shared" si="5"/>
        <v>0</v>
      </c>
      <c r="L157" t="str">
        <f>IF(INDEX(Base!$U$2:$U$601,MATCH(B157,Base!$A$2:$A$601,0))="","",INDEX(Base!$U$2:$U$601,MATCH(B157,Base!$A$2:$A$601,0)))</f>
        <v/>
      </c>
      <c r="M157">
        <f>INDEX(Base!$R$2:$R$601,MATCH(B157,Base!$A$2:$A$601,0))</f>
        <v>1</v>
      </c>
      <c r="N157" t="str">
        <f>INDEX(Base!$AB$2:$AB$601,MATCH(B157,Base!$A$2:$A$601,0))</f>
        <v>Alta</v>
      </c>
      <c r="O157">
        <v>13</v>
      </c>
    </row>
    <row r="158" spans="1:16" x14ac:dyDescent="0.25">
      <c r="A158" t="s">
        <v>1080</v>
      </c>
      <c r="B158" t="s">
        <v>401</v>
      </c>
      <c r="C158" t="s">
        <v>918</v>
      </c>
      <c r="D158" t="s">
        <v>220</v>
      </c>
      <c r="F158">
        <v>3</v>
      </c>
      <c r="G158" t="str">
        <f>INDEX(Base!$D$2:$D$601,MATCH(B158,Base!$A$2:$A$601,0))</f>
        <v>Pequeno Escritório</v>
      </c>
      <c r="H158" t="str">
        <f>INDEX(Base!$C$2:$C$601,MATCH(B158,Base!$A$2:$A$601,0))</f>
        <v>Norte</v>
      </c>
      <c r="I158">
        <f>INDEX(Base!$M$2:$M$601,MATCH(B158,Base!$A$2:$A$601,0))</f>
        <v>0</v>
      </c>
      <c r="J158">
        <f t="shared" si="4"/>
        <v>0</v>
      </c>
      <c r="K158">
        <f t="shared" si="5"/>
        <v>0</v>
      </c>
      <c r="L158" t="str">
        <f>IF(INDEX(Base!$U$2:$U$601,MATCH(B158,Base!$A$2:$A$601,0))="","",INDEX(Base!$U$2:$U$601,MATCH(B158,Base!$A$2:$A$601,0)))</f>
        <v>Alta</v>
      </c>
      <c r="M158">
        <f>INDEX(Base!$R$2:$R$601,MATCH(B158,Base!$A$2:$A$601,0))</f>
        <v>1</v>
      </c>
      <c r="N158" t="str">
        <f>INDEX(Base!$AB$2:$AB$601,MATCH(B158,Base!$A$2:$A$601,0))</f>
        <v>Média</v>
      </c>
      <c r="O158">
        <v>20</v>
      </c>
    </row>
    <row r="159" spans="1:16" x14ac:dyDescent="0.25">
      <c r="A159" t="s">
        <v>1081</v>
      </c>
      <c r="B159" t="s">
        <v>569</v>
      </c>
      <c r="C159" t="s">
        <v>934</v>
      </c>
      <c r="D159" t="s">
        <v>220</v>
      </c>
      <c r="F159">
        <v>10</v>
      </c>
      <c r="G159" t="str">
        <f>INDEX(Base!$D$2:$D$601,MATCH(B159,Base!$A$2:$A$601,0))</f>
        <v>Autônomo</v>
      </c>
      <c r="H159" t="str">
        <f>INDEX(Base!$C$2:$C$601,MATCH(B159,Base!$A$2:$A$601,0))</f>
        <v>Sudeste</v>
      </c>
      <c r="I159">
        <f>INDEX(Base!$M$2:$M$601,MATCH(B159,Base!$A$2:$A$601,0))</f>
        <v>1</v>
      </c>
      <c r="J159">
        <f t="shared" si="4"/>
        <v>0</v>
      </c>
      <c r="K159">
        <f t="shared" si="5"/>
        <v>0</v>
      </c>
      <c r="L159" t="str">
        <f>IF(INDEX(Base!$U$2:$U$601,MATCH(B159,Base!$A$2:$A$601,0))="","",INDEX(Base!$U$2:$U$601,MATCH(B159,Base!$A$2:$A$601,0)))</f>
        <v/>
      </c>
      <c r="M159">
        <f>INDEX(Base!$R$2:$R$601,MATCH(B159,Base!$A$2:$A$601,0))</f>
        <v>0</v>
      </c>
      <c r="N159" t="str">
        <f>INDEX(Base!$AB$2:$AB$601,MATCH(B159,Base!$A$2:$A$601,0))</f>
        <v>Média</v>
      </c>
      <c r="O159">
        <v>165</v>
      </c>
    </row>
    <row r="160" spans="1:16" x14ac:dyDescent="0.25">
      <c r="A160" t="s">
        <v>1082</v>
      </c>
      <c r="B160" t="s">
        <v>496</v>
      </c>
      <c r="C160" t="s">
        <v>921</v>
      </c>
      <c r="D160" t="s">
        <v>922</v>
      </c>
      <c r="E160">
        <v>236.14</v>
      </c>
      <c r="F160">
        <v>7</v>
      </c>
      <c r="G160" t="str">
        <f>INDEX(Base!$D$2:$D$601,MATCH(B160,Base!$A$2:$A$601,0))</f>
        <v>Autônomo</v>
      </c>
      <c r="H160" t="str">
        <f>INDEX(Base!$C$2:$C$601,MATCH(B160,Base!$A$2:$A$601,0))</f>
        <v>Sudeste</v>
      </c>
      <c r="I160">
        <f>INDEX(Base!$M$2:$M$601,MATCH(B160,Base!$A$2:$A$601,0))</f>
        <v>0</v>
      </c>
      <c r="J160">
        <f t="shared" si="4"/>
        <v>1</v>
      </c>
      <c r="K160">
        <f t="shared" si="5"/>
        <v>1</v>
      </c>
      <c r="L160" t="str">
        <f>IF(INDEX(Base!$U$2:$U$601,MATCH(B160,Base!$A$2:$A$601,0))="","",INDEX(Base!$U$2:$U$601,MATCH(B160,Base!$A$2:$A$601,0)))</f>
        <v/>
      </c>
      <c r="M160">
        <f>INDEX(Base!$R$2:$R$601,MATCH(B160,Base!$A$2:$A$601,0))</f>
        <v>0</v>
      </c>
      <c r="N160" t="str">
        <f>INDEX(Base!$AB$2:$AB$601,MATCH(B160,Base!$A$2:$A$601,0))</f>
        <v>Média</v>
      </c>
      <c r="O160">
        <v>71</v>
      </c>
      <c r="P160" s="33">
        <v>45467</v>
      </c>
    </row>
    <row r="161" spans="1:16" x14ac:dyDescent="0.25">
      <c r="A161" t="s">
        <v>1083</v>
      </c>
      <c r="B161" t="s">
        <v>793</v>
      </c>
      <c r="C161" t="s">
        <v>921</v>
      </c>
      <c r="D161" t="s">
        <v>922</v>
      </c>
      <c r="E161">
        <v>1576.56</v>
      </c>
      <c r="F161">
        <v>11</v>
      </c>
      <c r="G161" t="str">
        <f>INDEX(Base!$D$2:$D$601,MATCH(B161,Base!$A$2:$A$601,0))</f>
        <v>Grande Escritório</v>
      </c>
      <c r="H161" t="str">
        <f>INDEX(Base!$C$2:$C$601,MATCH(B161,Base!$A$2:$A$601,0))</f>
        <v>Centro-Oeste</v>
      </c>
      <c r="I161">
        <f>INDEX(Base!$M$2:$M$601,MATCH(B161,Base!$A$2:$A$601,0))</f>
        <v>1</v>
      </c>
      <c r="J161">
        <f t="shared" si="4"/>
        <v>1</v>
      </c>
      <c r="K161">
        <f t="shared" si="5"/>
        <v>1</v>
      </c>
      <c r="L161" t="str">
        <f>IF(INDEX(Base!$U$2:$U$601,MATCH(B161,Base!$A$2:$A$601,0))="","",INDEX(Base!$U$2:$U$601,MATCH(B161,Base!$A$2:$A$601,0)))</f>
        <v/>
      </c>
      <c r="M161">
        <f>INDEX(Base!$R$2:$R$601,MATCH(B161,Base!$A$2:$A$601,0))</f>
        <v>1</v>
      </c>
      <c r="N161" t="str">
        <f>INDEX(Base!$AB$2:$AB$601,MATCH(B161,Base!$A$2:$A$601,0))</f>
        <v>Alta</v>
      </c>
      <c r="O161">
        <v>29</v>
      </c>
      <c r="P161" s="33">
        <v>45953</v>
      </c>
    </row>
    <row r="162" spans="1:16" x14ac:dyDescent="0.25">
      <c r="A162" t="s">
        <v>1084</v>
      </c>
      <c r="B162" t="s">
        <v>692</v>
      </c>
      <c r="C162" t="s">
        <v>921</v>
      </c>
      <c r="D162" t="s">
        <v>216</v>
      </c>
      <c r="F162">
        <v>7</v>
      </c>
      <c r="G162" t="str">
        <f>INDEX(Base!$D$2:$D$601,MATCH(B162,Base!$A$2:$A$601,0))</f>
        <v>Pequeno Escritório</v>
      </c>
      <c r="H162" t="str">
        <f>INDEX(Base!$C$2:$C$601,MATCH(B162,Base!$A$2:$A$601,0))</f>
        <v>Sudeste</v>
      </c>
      <c r="I162">
        <f>INDEX(Base!$M$2:$M$601,MATCH(B162,Base!$A$2:$A$601,0))</f>
        <v>1</v>
      </c>
      <c r="J162">
        <f t="shared" si="4"/>
        <v>0</v>
      </c>
      <c r="K162">
        <f t="shared" si="5"/>
        <v>0</v>
      </c>
      <c r="L162" t="str">
        <f>IF(INDEX(Base!$U$2:$U$601,MATCH(B162,Base!$A$2:$A$601,0))="","",INDEX(Base!$U$2:$U$601,MATCH(B162,Base!$A$2:$A$601,0)))</f>
        <v/>
      </c>
      <c r="M162">
        <f>INDEX(Base!$R$2:$R$601,MATCH(B162,Base!$A$2:$A$601,0))</f>
        <v>0</v>
      </c>
      <c r="N162" t="str">
        <f>INDEX(Base!$AB$2:$AB$601,MATCH(B162,Base!$A$2:$A$601,0))</f>
        <v>Alta</v>
      </c>
      <c r="O162">
        <v>163</v>
      </c>
    </row>
    <row r="163" spans="1:16" x14ac:dyDescent="0.25">
      <c r="A163" t="s">
        <v>1085</v>
      </c>
      <c r="B163" t="s">
        <v>779</v>
      </c>
      <c r="C163" t="s">
        <v>921</v>
      </c>
      <c r="D163" t="s">
        <v>922</v>
      </c>
      <c r="E163">
        <v>1441.83</v>
      </c>
      <c r="F163">
        <v>8</v>
      </c>
      <c r="G163" t="str">
        <f>INDEX(Base!$D$2:$D$601,MATCH(B163,Base!$A$2:$A$601,0))</f>
        <v>Autônomo</v>
      </c>
      <c r="H163" t="str">
        <f>INDEX(Base!$C$2:$C$601,MATCH(B163,Base!$A$2:$A$601,0))</f>
        <v>Sudeste</v>
      </c>
      <c r="I163">
        <f>INDEX(Base!$M$2:$M$601,MATCH(B163,Base!$A$2:$A$601,0))</f>
        <v>0</v>
      </c>
      <c r="J163">
        <f t="shared" si="4"/>
        <v>1</v>
      </c>
      <c r="K163">
        <f t="shared" si="5"/>
        <v>1</v>
      </c>
      <c r="L163" t="str">
        <f>IF(INDEX(Base!$U$2:$U$601,MATCH(B163,Base!$A$2:$A$601,0))="","",INDEX(Base!$U$2:$U$601,MATCH(B163,Base!$A$2:$A$601,0)))</f>
        <v>Baixa</v>
      </c>
      <c r="M163">
        <f>INDEX(Base!$R$2:$R$601,MATCH(B163,Base!$A$2:$A$601,0))</f>
        <v>0</v>
      </c>
      <c r="N163" t="str">
        <f>INDEX(Base!$AB$2:$AB$601,MATCH(B163,Base!$A$2:$A$601,0))</f>
        <v>Baixa</v>
      </c>
      <c r="O163">
        <v>86</v>
      </c>
      <c r="P163" s="33">
        <v>45725</v>
      </c>
    </row>
    <row r="164" spans="1:16" x14ac:dyDescent="0.25">
      <c r="A164" t="s">
        <v>1086</v>
      </c>
      <c r="B164" t="s">
        <v>470</v>
      </c>
      <c r="C164" t="s">
        <v>921</v>
      </c>
      <c r="D164" t="s">
        <v>218</v>
      </c>
      <c r="F164">
        <v>2</v>
      </c>
      <c r="G164" t="str">
        <f>INDEX(Base!$D$2:$D$601,MATCH(B164,Base!$A$2:$A$601,0))</f>
        <v>Autônomo</v>
      </c>
      <c r="H164" t="str">
        <f>INDEX(Base!$C$2:$C$601,MATCH(B164,Base!$A$2:$A$601,0))</f>
        <v>Nordeste</v>
      </c>
      <c r="I164">
        <f>INDEX(Base!$M$2:$M$601,MATCH(B164,Base!$A$2:$A$601,0))</f>
        <v>0</v>
      </c>
      <c r="J164">
        <f t="shared" si="4"/>
        <v>0</v>
      </c>
      <c r="K164">
        <f t="shared" si="5"/>
        <v>0</v>
      </c>
      <c r="L164" t="str">
        <f>IF(INDEX(Base!$U$2:$U$601,MATCH(B164,Base!$A$2:$A$601,0))="","",INDEX(Base!$U$2:$U$601,MATCH(B164,Base!$A$2:$A$601,0)))</f>
        <v>Média</v>
      </c>
      <c r="M164">
        <f>INDEX(Base!$R$2:$R$601,MATCH(B164,Base!$A$2:$A$601,0))</f>
        <v>0</v>
      </c>
      <c r="N164" t="str">
        <f>INDEX(Base!$AB$2:$AB$601,MATCH(B164,Base!$A$2:$A$601,0))</f>
        <v>Baixa</v>
      </c>
      <c r="O164">
        <v>8</v>
      </c>
    </row>
    <row r="165" spans="1:16" x14ac:dyDescent="0.25">
      <c r="A165" t="s">
        <v>1087</v>
      </c>
      <c r="B165" t="s">
        <v>349</v>
      </c>
      <c r="C165" t="s">
        <v>921</v>
      </c>
      <c r="D165" t="s">
        <v>215</v>
      </c>
      <c r="F165">
        <v>4</v>
      </c>
      <c r="G165" t="str">
        <f>INDEX(Base!$D$2:$D$601,MATCH(B165,Base!$A$2:$A$601,0))</f>
        <v>Autônomo</v>
      </c>
      <c r="H165" t="str">
        <f>INDEX(Base!$C$2:$C$601,MATCH(B165,Base!$A$2:$A$601,0))</f>
        <v>Sul</v>
      </c>
      <c r="I165">
        <f>INDEX(Base!$M$2:$M$601,MATCH(B165,Base!$A$2:$A$601,0))</f>
        <v>0</v>
      </c>
      <c r="J165">
        <f t="shared" si="4"/>
        <v>0</v>
      </c>
      <c r="K165">
        <f t="shared" si="5"/>
        <v>0</v>
      </c>
      <c r="L165" t="str">
        <f>IF(INDEX(Base!$U$2:$U$601,MATCH(B165,Base!$A$2:$A$601,0))="","",INDEX(Base!$U$2:$U$601,MATCH(B165,Base!$A$2:$A$601,0)))</f>
        <v>Baixa</v>
      </c>
      <c r="M165">
        <f>INDEX(Base!$R$2:$R$601,MATCH(B165,Base!$A$2:$A$601,0))</f>
        <v>0</v>
      </c>
      <c r="N165" t="str">
        <f>INDEX(Base!$AB$2:$AB$601,MATCH(B165,Base!$A$2:$A$601,0))</f>
        <v>Média</v>
      </c>
      <c r="O165">
        <v>151</v>
      </c>
    </row>
    <row r="166" spans="1:16" x14ac:dyDescent="0.25">
      <c r="A166" t="s">
        <v>1088</v>
      </c>
      <c r="B166" t="s">
        <v>773</v>
      </c>
      <c r="C166" t="s">
        <v>918</v>
      </c>
      <c r="D166" t="s">
        <v>216</v>
      </c>
      <c r="F166">
        <v>8</v>
      </c>
      <c r="G166" t="str">
        <f>INDEX(Base!$D$2:$D$601,MATCH(B166,Base!$A$2:$A$601,0))</f>
        <v>Pequeno Escritório</v>
      </c>
      <c r="H166" t="str">
        <f>INDEX(Base!$C$2:$C$601,MATCH(B166,Base!$A$2:$A$601,0))</f>
        <v>Centro-Oeste</v>
      </c>
      <c r="I166">
        <f>INDEX(Base!$M$2:$M$601,MATCH(B166,Base!$A$2:$A$601,0))</f>
        <v>0</v>
      </c>
      <c r="J166">
        <f t="shared" si="4"/>
        <v>0</v>
      </c>
      <c r="K166">
        <f t="shared" si="5"/>
        <v>0</v>
      </c>
      <c r="L166" t="str">
        <f>IF(INDEX(Base!$U$2:$U$601,MATCH(B166,Base!$A$2:$A$601,0))="","",INDEX(Base!$U$2:$U$601,MATCH(B166,Base!$A$2:$A$601,0)))</f>
        <v>Média</v>
      </c>
      <c r="M166">
        <f>INDEX(Base!$R$2:$R$601,MATCH(B166,Base!$A$2:$A$601,0))</f>
        <v>0</v>
      </c>
      <c r="N166" t="str">
        <f>INDEX(Base!$AB$2:$AB$601,MATCH(B166,Base!$A$2:$A$601,0))</f>
        <v>Média</v>
      </c>
      <c r="O166">
        <v>163</v>
      </c>
    </row>
    <row r="167" spans="1:16" x14ac:dyDescent="0.25">
      <c r="A167" t="s">
        <v>1089</v>
      </c>
      <c r="B167" t="s">
        <v>601</v>
      </c>
      <c r="C167" t="s">
        <v>921</v>
      </c>
      <c r="D167" t="s">
        <v>220</v>
      </c>
      <c r="F167">
        <v>1</v>
      </c>
      <c r="G167" t="str">
        <f>INDEX(Base!$D$2:$D$601,MATCH(B167,Base!$A$2:$A$601,0))</f>
        <v>Pequeno Escritório</v>
      </c>
      <c r="H167" t="str">
        <f>INDEX(Base!$C$2:$C$601,MATCH(B167,Base!$A$2:$A$601,0))</f>
        <v>Sul</v>
      </c>
      <c r="I167">
        <f>INDEX(Base!$M$2:$M$601,MATCH(B167,Base!$A$2:$A$601,0))</f>
        <v>1</v>
      </c>
      <c r="J167">
        <f t="shared" si="4"/>
        <v>0</v>
      </c>
      <c r="K167">
        <f t="shared" si="5"/>
        <v>0</v>
      </c>
      <c r="L167" t="str">
        <f>IF(INDEX(Base!$U$2:$U$601,MATCH(B167,Base!$A$2:$A$601,0))="","",INDEX(Base!$U$2:$U$601,MATCH(B167,Base!$A$2:$A$601,0)))</f>
        <v/>
      </c>
      <c r="M167">
        <f>INDEX(Base!$R$2:$R$601,MATCH(B167,Base!$A$2:$A$601,0))</f>
        <v>0</v>
      </c>
      <c r="N167" t="str">
        <f>INDEX(Base!$AB$2:$AB$601,MATCH(B167,Base!$A$2:$A$601,0))</f>
        <v>Média</v>
      </c>
      <c r="O167">
        <v>20</v>
      </c>
    </row>
    <row r="168" spans="1:16" x14ac:dyDescent="0.25">
      <c r="A168" t="s">
        <v>1090</v>
      </c>
      <c r="B168" t="s">
        <v>748</v>
      </c>
      <c r="C168" t="s">
        <v>918</v>
      </c>
      <c r="D168" t="s">
        <v>215</v>
      </c>
      <c r="F168">
        <v>11</v>
      </c>
      <c r="G168" t="str">
        <f>INDEX(Base!$D$2:$D$601,MATCH(B168,Base!$A$2:$A$601,0))</f>
        <v>Pequeno Escritório</v>
      </c>
      <c r="H168" t="str">
        <f>INDEX(Base!$C$2:$C$601,MATCH(B168,Base!$A$2:$A$601,0))</f>
        <v>Sul</v>
      </c>
      <c r="I168">
        <f>INDEX(Base!$M$2:$M$601,MATCH(B168,Base!$A$2:$A$601,0))</f>
        <v>1</v>
      </c>
      <c r="J168">
        <f t="shared" si="4"/>
        <v>0</v>
      </c>
      <c r="K168">
        <f t="shared" si="5"/>
        <v>0</v>
      </c>
      <c r="L168" t="str">
        <f>IF(INDEX(Base!$U$2:$U$601,MATCH(B168,Base!$A$2:$A$601,0))="","",INDEX(Base!$U$2:$U$601,MATCH(B168,Base!$A$2:$A$601,0)))</f>
        <v/>
      </c>
      <c r="M168">
        <f>INDEX(Base!$R$2:$R$601,MATCH(B168,Base!$A$2:$A$601,0))</f>
        <v>0</v>
      </c>
      <c r="N168" t="str">
        <f>INDEX(Base!$AB$2:$AB$601,MATCH(B168,Base!$A$2:$A$601,0))</f>
        <v>Média</v>
      </c>
      <c r="O168">
        <v>96</v>
      </c>
    </row>
    <row r="169" spans="1:16" x14ac:dyDescent="0.25">
      <c r="A169" t="s">
        <v>1091</v>
      </c>
      <c r="B169" t="s">
        <v>861</v>
      </c>
      <c r="C169" t="s">
        <v>918</v>
      </c>
      <c r="D169" t="s">
        <v>922</v>
      </c>
      <c r="E169">
        <v>924.71</v>
      </c>
      <c r="F169">
        <v>10</v>
      </c>
      <c r="G169" t="str">
        <f>INDEX(Base!$D$2:$D$601,MATCH(B169,Base!$A$2:$A$601,0))</f>
        <v>Pequeno Escritório</v>
      </c>
      <c r="H169" t="str">
        <f>INDEX(Base!$C$2:$C$601,MATCH(B169,Base!$A$2:$A$601,0))</f>
        <v>Sul</v>
      </c>
      <c r="I169">
        <f>INDEX(Base!$M$2:$M$601,MATCH(B169,Base!$A$2:$A$601,0))</f>
        <v>0</v>
      </c>
      <c r="J169">
        <f t="shared" si="4"/>
        <v>1</v>
      </c>
      <c r="K169">
        <f t="shared" si="5"/>
        <v>1</v>
      </c>
      <c r="L169" t="str">
        <f>IF(INDEX(Base!$U$2:$U$601,MATCH(B169,Base!$A$2:$A$601,0))="","",INDEX(Base!$U$2:$U$601,MATCH(B169,Base!$A$2:$A$601,0)))</f>
        <v>Baixa</v>
      </c>
      <c r="M169">
        <f>INDEX(Base!$R$2:$R$601,MATCH(B169,Base!$A$2:$A$601,0))</f>
        <v>0</v>
      </c>
      <c r="N169" t="str">
        <f>INDEX(Base!$AB$2:$AB$601,MATCH(B169,Base!$A$2:$A$601,0))</f>
        <v>Média</v>
      </c>
      <c r="O169">
        <v>18</v>
      </c>
      <c r="P169" s="33">
        <v>45864</v>
      </c>
    </row>
    <row r="170" spans="1:16" x14ac:dyDescent="0.25">
      <c r="A170" t="s">
        <v>1092</v>
      </c>
      <c r="B170" t="s">
        <v>505</v>
      </c>
      <c r="C170" t="s">
        <v>918</v>
      </c>
      <c r="D170" t="s">
        <v>215</v>
      </c>
      <c r="F170">
        <v>11</v>
      </c>
      <c r="G170" t="str">
        <f>INDEX(Base!$D$2:$D$601,MATCH(B170,Base!$A$2:$A$601,0))</f>
        <v>Autônomo</v>
      </c>
      <c r="H170" t="str">
        <f>INDEX(Base!$C$2:$C$601,MATCH(B170,Base!$A$2:$A$601,0))</f>
        <v>Nordeste</v>
      </c>
      <c r="I170">
        <f>INDEX(Base!$M$2:$M$601,MATCH(B170,Base!$A$2:$A$601,0))</f>
        <v>0</v>
      </c>
      <c r="J170">
        <f t="shared" si="4"/>
        <v>0</v>
      </c>
      <c r="K170">
        <f t="shared" si="5"/>
        <v>0</v>
      </c>
      <c r="L170" t="str">
        <f>IF(INDEX(Base!$U$2:$U$601,MATCH(B170,Base!$A$2:$A$601,0))="","",INDEX(Base!$U$2:$U$601,MATCH(B170,Base!$A$2:$A$601,0)))</f>
        <v>Baixa</v>
      </c>
      <c r="M170">
        <f>INDEX(Base!$R$2:$R$601,MATCH(B170,Base!$A$2:$A$601,0))</f>
        <v>0</v>
      </c>
      <c r="N170" t="str">
        <f>INDEX(Base!$AB$2:$AB$601,MATCH(B170,Base!$A$2:$A$601,0))</f>
        <v>Baixa</v>
      </c>
      <c r="O170">
        <v>178</v>
      </c>
    </row>
    <row r="171" spans="1:16" x14ac:dyDescent="0.25">
      <c r="A171" t="s">
        <v>1093</v>
      </c>
      <c r="B171" t="s">
        <v>559</v>
      </c>
      <c r="C171" t="s">
        <v>918</v>
      </c>
      <c r="D171" t="s">
        <v>919</v>
      </c>
      <c r="F171">
        <v>1</v>
      </c>
      <c r="G171" t="str">
        <f>INDEX(Base!$D$2:$D$601,MATCH(B171,Base!$A$2:$A$601,0))</f>
        <v>Pequeno Escritório</v>
      </c>
      <c r="H171" t="str">
        <f>INDEX(Base!$C$2:$C$601,MATCH(B171,Base!$A$2:$A$601,0))</f>
        <v>Sudeste</v>
      </c>
      <c r="I171">
        <f>INDEX(Base!$M$2:$M$601,MATCH(B171,Base!$A$2:$A$601,0))</f>
        <v>0</v>
      </c>
      <c r="J171">
        <f t="shared" si="4"/>
        <v>1</v>
      </c>
      <c r="K171">
        <f t="shared" si="5"/>
        <v>0</v>
      </c>
      <c r="L171" t="str">
        <f>IF(INDEX(Base!$U$2:$U$601,MATCH(B171,Base!$A$2:$A$601,0))="","",INDEX(Base!$U$2:$U$601,MATCH(B171,Base!$A$2:$A$601,0)))</f>
        <v>Baixa</v>
      </c>
      <c r="M171">
        <f>INDEX(Base!$R$2:$R$601,MATCH(B171,Base!$A$2:$A$601,0))</f>
        <v>0</v>
      </c>
      <c r="N171" t="str">
        <f>INDEX(Base!$AB$2:$AB$601,MATCH(B171,Base!$A$2:$A$601,0))</f>
        <v>Média</v>
      </c>
      <c r="O171">
        <v>113</v>
      </c>
    </row>
    <row r="172" spans="1:16" x14ac:dyDescent="0.25">
      <c r="A172" t="s">
        <v>1094</v>
      </c>
      <c r="B172" t="s">
        <v>857</v>
      </c>
      <c r="C172" t="s">
        <v>918</v>
      </c>
      <c r="D172" t="s">
        <v>919</v>
      </c>
      <c r="F172">
        <v>6</v>
      </c>
      <c r="G172" t="str">
        <f>INDEX(Base!$D$2:$D$601,MATCH(B172,Base!$A$2:$A$601,0))</f>
        <v>Autônomo</v>
      </c>
      <c r="H172" t="str">
        <f>INDEX(Base!$C$2:$C$601,MATCH(B172,Base!$A$2:$A$601,0))</f>
        <v>Sul</v>
      </c>
      <c r="I172">
        <f>INDEX(Base!$M$2:$M$601,MATCH(B172,Base!$A$2:$A$601,0))</f>
        <v>0</v>
      </c>
      <c r="J172">
        <f t="shared" si="4"/>
        <v>1</v>
      </c>
      <c r="K172">
        <f t="shared" si="5"/>
        <v>0</v>
      </c>
      <c r="L172" t="str">
        <f>IF(INDEX(Base!$U$2:$U$601,MATCH(B172,Base!$A$2:$A$601,0))="","",INDEX(Base!$U$2:$U$601,MATCH(B172,Base!$A$2:$A$601,0)))</f>
        <v>Baixa</v>
      </c>
      <c r="M172">
        <f>INDEX(Base!$R$2:$R$601,MATCH(B172,Base!$A$2:$A$601,0))</f>
        <v>0</v>
      </c>
      <c r="N172" t="str">
        <f>INDEX(Base!$AB$2:$AB$601,MATCH(B172,Base!$A$2:$A$601,0))</f>
        <v>Baixa</v>
      </c>
      <c r="O172">
        <v>53</v>
      </c>
    </row>
    <row r="173" spans="1:16" x14ac:dyDescent="0.25">
      <c r="A173" t="s">
        <v>1095</v>
      </c>
      <c r="B173" t="s">
        <v>362</v>
      </c>
      <c r="C173" t="s">
        <v>927</v>
      </c>
      <c r="D173" t="s">
        <v>922</v>
      </c>
      <c r="E173">
        <v>1139.6099999999999</v>
      </c>
      <c r="F173">
        <v>6</v>
      </c>
      <c r="G173" t="str">
        <f>INDEX(Base!$D$2:$D$601,MATCH(B173,Base!$A$2:$A$601,0))</f>
        <v>Pequeno Escritório</v>
      </c>
      <c r="H173" t="str">
        <f>INDEX(Base!$C$2:$C$601,MATCH(B173,Base!$A$2:$A$601,0))</f>
        <v>Norte</v>
      </c>
      <c r="I173">
        <f>INDEX(Base!$M$2:$M$601,MATCH(B173,Base!$A$2:$A$601,0))</f>
        <v>1</v>
      </c>
      <c r="J173">
        <f t="shared" si="4"/>
        <v>1</v>
      </c>
      <c r="K173">
        <f t="shared" si="5"/>
        <v>1</v>
      </c>
      <c r="L173" t="str">
        <f>IF(INDEX(Base!$U$2:$U$601,MATCH(B173,Base!$A$2:$A$601,0))="","",INDEX(Base!$U$2:$U$601,MATCH(B173,Base!$A$2:$A$601,0)))</f>
        <v/>
      </c>
      <c r="M173">
        <f>INDEX(Base!$R$2:$R$601,MATCH(B173,Base!$A$2:$A$601,0))</f>
        <v>1</v>
      </c>
      <c r="N173" t="str">
        <f>INDEX(Base!$AB$2:$AB$601,MATCH(B173,Base!$A$2:$A$601,0))</f>
        <v>Alta</v>
      </c>
      <c r="O173">
        <v>59</v>
      </c>
      <c r="P173" s="33">
        <v>46062</v>
      </c>
    </row>
    <row r="174" spans="1:16" x14ac:dyDescent="0.25">
      <c r="A174" t="s">
        <v>1096</v>
      </c>
      <c r="B174" t="s">
        <v>401</v>
      </c>
      <c r="C174" t="s">
        <v>934</v>
      </c>
      <c r="D174" t="s">
        <v>221</v>
      </c>
      <c r="F174">
        <v>10</v>
      </c>
      <c r="G174" t="str">
        <f>INDEX(Base!$D$2:$D$601,MATCH(B174,Base!$A$2:$A$601,0))</f>
        <v>Pequeno Escritório</v>
      </c>
      <c r="H174" t="str">
        <f>INDEX(Base!$C$2:$C$601,MATCH(B174,Base!$A$2:$A$601,0))</f>
        <v>Norte</v>
      </c>
      <c r="I174">
        <f>INDEX(Base!$M$2:$M$601,MATCH(B174,Base!$A$2:$A$601,0))</f>
        <v>0</v>
      </c>
      <c r="J174">
        <f t="shared" si="4"/>
        <v>0</v>
      </c>
      <c r="K174">
        <f t="shared" si="5"/>
        <v>0</v>
      </c>
      <c r="L174" t="str">
        <f>IF(INDEX(Base!$U$2:$U$601,MATCH(B174,Base!$A$2:$A$601,0))="","",INDEX(Base!$U$2:$U$601,MATCH(B174,Base!$A$2:$A$601,0)))</f>
        <v>Alta</v>
      </c>
      <c r="M174">
        <f>INDEX(Base!$R$2:$R$601,MATCH(B174,Base!$A$2:$A$601,0))</f>
        <v>1</v>
      </c>
      <c r="N174" t="str">
        <f>INDEX(Base!$AB$2:$AB$601,MATCH(B174,Base!$A$2:$A$601,0))</f>
        <v>Média</v>
      </c>
      <c r="O174">
        <v>81</v>
      </c>
    </row>
    <row r="175" spans="1:16" x14ac:dyDescent="0.25">
      <c r="A175" t="s">
        <v>1097</v>
      </c>
      <c r="B175" t="s">
        <v>462</v>
      </c>
      <c r="C175" t="s">
        <v>921</v>
      </c>
      <c r="D175" t="s">
        <v>220</v>
      </c>
      <c r="F175">
        <v>1</v>
      </c>
      <c r="G175" t="str">
        <f>INDEX(Base!$D$2:$D$601,MATCH(B175,Base!$A$2:$A$601,0))</f>
        <v>Autônomo</v>
      </c>
      <c r="H175" t="str">
        <f>INDEX(Base!$C$2:$C$601,MATCH(B175,Base!$A$2:$A$601,0))</f>
        <v>Sudeste</v>
      </c>
      <c r="I175">
        <f>INDEX(Base!$M$2:$M$601,MATCH(B175,Base!$A$2:$A$601,0))</f>
        <v>0</v>
      </c>
      <c r="J175">
        <f t="shared" si="4"/>
        <v>0</v>
      </c>
      <c r="K175">
        <f t="shared" si="5"/>
        <v>0</v>
      </c>
      <c r="L175" t="str">
        <f>IF(INDEX(Base!$U$2:$U$601,MATCH(B175,Base!$A$2:$A$601,0))="","",INDEX(Base!$U$2:$U$601,MATCH(B175,Base!$A$2:$A$601,0)))</f>
        <v>Baixa</v>
      </c>
      <c r="M175">
        <f>INDEX(Base!$R$2:$R$601,MATCH(B175,Base!$A$2:$A$601,0))</f>
        <v>0</v>
      </c>
      <c r="N175" t="str">
        <f>INDEX(Base!$AB$2:$AB$601,MATCH(B175,Base!$A$2:$A$601,0))</f>
        <v>Baixa</v>
      </c>
      <c r="O175">
        <v>131</v>
      </c>
    </row>
    <row r="176" spans="1:16" x14ac:dyDescent="0.25">
      <c r="A176" t="s">
        <v>1098</v>
      </c>
      <c r="B176" t="s">
        <v>340</v>
      </c>
      <c r="C176" t="s">
        <v>918</v>
      </c>
      <c r="D176" t="s">
        <v>218</v>
      </c>
      <c r="F176">
        <v>4</v>
      </c>
      <c r="G176" t="str">
        <f>INDEX(Base!$D$2:$D$601,MATCH(B176,Base!$A$2:$A$601,0))</f>
        <v>Pequeno Escritório</v>
      </c>
      <c r="H176" t="str">
        <f>INDEX(Base!$C$2:$C$601,MATCH(B176,Base!$A$2:$A$601,0))</f>
        <v>Sul</v>
      </c>
      <c r="I176">
        <f>INDEX(Base!$M$2:$M$601,MATCH(B176,Base!$A$2:$A$601,0))</f>
        <v>0</v>
      </c>
      <c r="J176">
        <f t="shared" si="4"/>
        <v>0</v>
      </c>
      <c r="K176">
        <f t="shared" si="5"/>
        <v>0</v>
      </c>
      <c r="L176" t="str">
        <f>IF(INDEX(Base!$U$2:$U$601,MATCH(B176,Base!$A$2:$A$601,0))="","",INDEX(Base!$U$2:$U$601,MATCH(B176,Base!$A$2:$A$601,0)))</f>
        <v>Média</v>
      </c>
      <c r="M176">
        <f>INDEX(Base!$R$2:$R$601,MATCH(B176,Base!$A$2:$A$601,0))</f>
        <v>0</v>
      </c>
      <c r="N176" t="str">
        <f>INDEX(Base!$AB$2:$AB$601,MATCH(B176,Base!$A$2:$A$601,0))</f>
        <v>Média</v>
      </c>
      <c r="O176">
        <v>124</v>
      </c>
    </row>
    <row r="177" spans="1:16" x14ac:dyDescent="0.25">
      <c r="A177" t="s">
        <v>1099</v>
      </c>
      <c r="B177" t="s">
        <v>558</v>
      </c>
      <c r="C177" t="s">
        <v>921</v>
      </c>
      <c r="D177" t="s">
        <v>215</v>
      </c>
      <c r="F177">
        <v>6</v>
      </c>
      <c r="G177" t="str">
        <f>INDEX(Base!$D$2:$D$601,MATCH(B177,Base!$A$2:$A$601,0))</f>
        <v>Autônomo</v>
      </c>
      <c r="H177" t="str">
        <f>INDEX(Base!$C$2:$C$601,MATCH(B177,Base!$A$2:$A$601,0))</f>
        <v>Sudeste</v>
      </c>
      <c r="I177">
        <f>INDEX(Base!$M$2:$M$601,MATCH(B177,Base!$A$2:$A$601,0))</f>
        <v>0</v>
      </c>
      <c r="J177">
        <f t="shared" si="4"/>
        <v>0</v>
      </c>
      <c r="K177">
        <f t="shared" si="5"/>
        <v>0</v>
      </c>
      <c r="L177" t="str">
        <f>IF(INDEX(Base!$U$2:$U$601,MATCH(B177,Base!$A$2:$A$601,0))="","",INDEX(Base!$U$2:$U$601,MATCH(B177,Base!$A$2:$A$601,0)))</f>
        <v>Baixa</v>
      </c>
      <c r="M177">
        <f>INDEX(Base!$R$2:$R$601,MATCH(B177,Base!$A$2:$A$601,0))</f>
        <v>0</v>
      </c>
      <c r="N177" t="str">
        <f>INDEX(Base!$AB$2:$AB$601,MATCH(B177,Base!$A$2:$A$601,0))</f>
        <v>Baixa</v>
      </c>
      <c r="O177">
        <v>101</v>
      </c>
    </row>
    <row r="178" spans="1:16" x14ac:dyDescent="0.25">
      <c r="A178" t="s">
        <v>1100</v>
      </c>
      <c r="B178" t="s">
        <v>743</v>
      </c>
      <c r="C178" t="s">
        <v>918</v>
      </c>
      <c r="D178" t="s">
        <v>216</v>
      </c>
      <c r="F178">
        <v>2</v>
      </c>
      <c r="G178" t="str">
        <f>INDEX(Base!$D$2:$D$601,MATCH(B178,Base!$A$2:$A$601,0))</f>
        <v>Médio Escritório</v>
      </c>
      <c r="H178" t="str">
        <f>INDEX(Base!$C$2:$C$601,MATCH(B178,Base!$A$2:$A$601,0))</f>
        <v>Nordeste</v>
      </c>
      <c r="I178">
        <f>INDEX(Base!$M$2:$M$601,MATCH(B178,Base!$A$2:$A$601,0))</f>
        <v>1</v>
      </c>
      <c r="J178">
        <f t="shared" si="4"/>
        <v>0</v>
      </c>
      <c r="K178">
        <f t="shared" si="5"/>
        <v>0</v>
      </c>
      <c r="L178" t="str">
        <f>IF(INDEX(Base!$U$2:$U$601,MATCH(B178,Base!$A$2:$A$601,0))="","",INDEX(Base!$U$2:$U$601,MATCH(B178,Base!$A$2:$A$601,0)))</f>
        <v/>
      </c>
      <c r="M178">
        <f>INDEX(Base!$R$2:$R$601,MATCH(B178,Base!$A$2:$A$601,0))</f>
        <v>1</v>
      </c>
      <c r="N178" t="str">
        <f>INDEX(Base!$AB$2:$AB$601,MATCH(B178,Base!$A$2:$A$601,0))</f>
        <v>Alta</v>
      </c>
      <c r="O178">
        <v>96</v>
      </c>
    </row>
    <row r="179" spans="1:16" x14ac:dyDescent="0.25">
      <c r="A179" t="s">
        <v>1101</v>
      </c>
      <c r="B179" t="s">
        <v>634</v>
      </c>
      <c r="C179" t="s">
        <v>918</v>
      </c>
      <c r="D179" t="s">
        <v>218</v>
      </c>
      <c r="F179">
        <v>4</v>
      </c>
      <c r="G179" t="str">
        <f>INDEX(Base!$D$2:$D$601,MATCH(B179,Base!$A$2:$A$601,0))</f>
        <v>Autônomo</v>
      </c>
      <c r="H179" t="str">
        <f>INDEX(Base!$C$2:$C$601,MATCH(B179,Base!$A$2:$A$601,0))</f>
        <v>Centro-Oeste</v>
      </c>
      <c r="I179">
        <f>INDEX(Base!$M$2:$M$601,MATCH(B179,Base!$A$2:$A$601,0))</f>
        <v>0</v>
      </c>
      <c r="J179">
        <f t="shared" si="4"/>
        <v>0</v>
      </c>
      <c r="K179">
        <f t="shared" si="5"/>
        <v>0</v>
      </c>
      <c r="L179" t="str">
        <f>IF(INDEX(Base!$U$2:$U$601,MATCH(B179,Base!$A$2:$A$601,0))="","",INDEX(Base!$U$2:$U$601,MATCH(B179,Base!$A$2:$A$601,0)))</f>
        <v>Baixa</v>
      </c>
      <c r="M179">
        <f>INDEX(Base!$R$2:$R$601,MATCH(B179,Base!$A$2:$A$601,0))</f>
        <v>0</v>
      </c>
      <c r="N179" t="str">
        <f>INDEX(Base!$AB$2:$AB$601,MATCH(B179,Base!$A$2:$A$601,0))</f>
        <v>Média</v>
      </c>
      <c r="O179">
        <v>166</v>
      </c>
    </row>
    <row r="180" spans="1:16" x14ac:dyDescent="0.25">
      <c r="A180" t="s">
        <v>1102</v>
      </c>
      <c r="B180" t="s">
        <v>502</v>
      </c>
      <c r="C180" t="s">
        <v>921</v>
      </c>
      <c r="D180" t="s">
        <v>220</v>
      </c>
      <c r="F180">
        <v>1</v>
      </c>
      <c r="G180" t="str">
        <f>INDEX(Base!$D$2:$D$601,MATCH(B180,Base!$A$2:$A$601,0))</f>
        <v>Pequeno Escritório</v>
      </c>
      <c r="H180" t="str">
        <f>INDEX(Base!$C$2:$C$601,MATCH(B180,Base!$A$2:$A$601,0))</f>
        <v>Sul</v>
      </c>
      <c r="I180">
        <f>INDEX(Base!$M$2:$M$601,MATCH(B180,Base!$A$2:$A$601,0))</f>
        <v>0</v>
      </c>
      <c r="J180">
        <f t="shared" si="4"/>
        <v>0</v>
      </c>
      <c r="K180">
        <f t="shared" si="5"/>
        <v>0</v>
      </c>
      <c r="L180" t="str">
        <f>IF(INDEX(Base!$U$2:$U$601,MATCH(B180,Base!$A$2:$A$601,0))="","",INDEX(Base!$U$2:$U$601,MATCH(B180,Base!$A$2:$A$601,0)))</f>
        <v>Média</v>
      </c>
      <c r="M180">
        <f>INDEX(Base!$R$2:$R$601,MATCH(B180,Base!$A$2:$A$601,0))</f>
        <v>0</v>
      </c>
      <c r="N180" t="str">
        <f>INDEX(Base!$AB$2:$AB$601,MATCH(B180,Base!$A$2:$A$601,0))</f>
        <v>Média</v>
      </c>
      <c r="O180">
        <v>55</v>
      </c>
    </row>
    <row r="181" spans="1:16" x14ac:dyDescent="0.25">
      <c r="A181" t="s">
        <v>1103</v>
      </c>
      <c r="B181" t="s">
        <v>723</v>
      </c>
      <c r="C181" t="s">
        <v>918</v>
      </c>
      <c r="D181" t="s">
        <v>919</v>
      </c>
      <c r="F181">
        <v>6</v>
      </c>
      <c r="G181" t="str">
        <f>INDEX(Base!$D$2:$D$601,MATCH(B181,Base!$A$2:$A$601,0))</f>
        <v>Autônomo</v>
      </c>
      <c r="H181" t="str">
        <f>INDEX(Base!$C$2:$C$601,MATCH(B181,Base!$A$2:$A$601,0))</f>
        <v>Sudeste</v>
      </c>
      <c r="I181">
        <f>INDEX(Base!$M$2:$M$601,MATCH(B181,Base!$A$2:$A$601,0))</f>
        <v>0</v>
      </c>
      <c r="J181">
        <f t="shared" si="4"/>
        <v>1</v>
      </c>
      <c r="K181">
        <f t="shared" si="5"/>
        <v>0</v>
      </c>
      <c r="L181" t="str">
        <f>IF(INDEX(Base!$U$2:$U$601,MATCH(B181,Base!$A$2:$A$601,0))="","",INDEX(Base!$U$2:$U$601,MATCH(B181,Base!$A$2:$A$601,0)))</f>
        <v>Média</v>
      </c>
      <c r="M181">
        <f>INDEX(Base!$R$2:$R$601,MATCH(B181,Base!$A$2:$A$601,0))</f>
        <v>0</v>
      </c>
      <c r="N181" t="str">
        <f>INDEX(Base!$AB$2:$AB$601,MATCH(B181,Base!$A$2:$A$601,0))</f>
        <v>Média</v>
      </c>
      <c r="O181">
        <v>146</v>
      </c>
    </row>
    <row r="182" spans="1:16" x14ac:dyDescent="0.25">
      <c r="A182" t="s">
        <v>1104</v>
      </c>
      <c r="B182" t="s">
        <v>763</v>
      </c>
      <c r="C182" t="s">
        <v>918</v>
      </c>
      <c r="D182" t="s">
        <v>218</v>
      </c>
      <c r="F182">
        <v>5</v>
      </c>
      <c r="G182" t="str">
        <f>INDEX(Base!$D$2:$D$601,MATCH(B182,Base!$A$2:$A$601,0))</f>
        <v>Pequeno Escritório</v>
      </c>
      <c r="H182" t="str">
        <f>INDEX(Base!$C$2:$C$601,MATCH(B182,Base!$A$2:$A$601,0))</f>
        <v>Sul</v>
      </c>
      <c r="I182">
        <f>INDEX(Base!$M$2:$M$601,MATCH(B182,Base!$A$2:$A$601,0))</f>
        <v>1</v>
      </c>
      <c r="J182">
        <f t="shared" si="4"/>
        <v>0</v>
      </c>
      <c r="K182">
        <f t="shared" si="5"/>
        <v>0</v>
      </c>
      <c r="L182" t="str">
        <f>IF(INDEX(Base!$U$2:$U$601,MATCH(B182,Base!$A$2:$A$601,0))="","",INDEX(Base!$U$2:$U$601,MATCH(B182,Base!$A$2:$A$601,0)))</f>
        <v/>
      </c>
      <c r="M182">
        <f>INDEX(Base!$R$2:$R$601,MATCH(B182,Base!$A$2:$A$601,0))</f>
        <v>0</v>
      </c>
      <c r="N182" t="str">
        <f>INDEX(Base!$AB$2:$AB$601,MATCH(B182,Base!$A$2:$A$601,0))</f>
        <v>Média</v>
      </c>
      <c r="O182">
        <v>30</v>
      </c>
    </row>
    <row r="183" spans="1:16" x14ac:dyDescent="0.25">
      <c r="A183" t="s">
        <v>1105</v>
      </c>
      <c r="B183" t="s">
        <v>690</v>
      </c>
      <c r="C183" t="s">
        <v>918</v>
      </c>
      <c r="D183" t="s">
        <v>216</v>
      </c>
      <c r="F183">
        <v>2</v>
      </c>
      <c r="G183" t="str">
        <f>INDEX(Base!$D$2:$D$601,MATCH(B183,Base!$A$2:$A$601,0))</f>
        <v>Pequeno Escritório</v>
      </c>
      <c r="H183" t="str">
        <f>INDEX(Base!$C$2:$C$601,MATCH(B183,Base!$A$2:$A$601,0))</f>
        <v>Sudeste</v>
      </c>
      <c r="I183">
        <f>INDEX(Base!$M$2:$M$601,MATCH(B183,Base!$A$2:$A$601,0))</f>
        <v>0</v>
      </c>
      <c r="J183">
        <f t="shared" si="4"/>
        <v>0</v>
      </c>
      <c r="K183">
        <f t="shared" si="5"/>
        <v>0</v>
      </c>
      <c r="L183" t="str">
        <f>IF(INDEX(Base!$U$2:$U$601,MATCH(B183,Base!$A$2:$A$601,0))="","",INDEX(Base!$U$2:$U$601,MATCH(B183,Base!$A$2:$A$601,0)))</f>
        <v>Alta</v>
      </c>
      <c r="M183">
        <f>INDEX(Base!$R$2:$R$601,MATCH(B183,Base!$A$2:$A$601,0))</f>
        <v>1</v>
      </c>
      <c r="N183" t="str">
        <f>INDEX(Base!$AB$2:$AB$601,MATCH(B183,Base!$A$2:$A$601,0))</f>
        <v>Alta</v>
      </c>
      <c r="O183">
        <v>91</v>
      </c>
    </row>
    <row r="184" spans="1:16" x14ac:dyDescent="0.25">
      <c r="A184" t="s">
        <v>1106</v>
      </c>
      <c r="B184" t="s">
        <v>415</v>
      </c>
      <c r="C184" t="s">
        <v>934</v>
      </c>
      <c r="D184" t="s">
        <v>216</v>
      </c>
      <c r="F184">
        <v>6</v>
      </c>
      <c r="G184" t="str">
        <f>INDEX(Base!$D$2:$D$601,MATCH(B184,Base!$A$2:$A$601,0))</f>
        <v>Autônomo</v>
      </c>
      <c r="H184" t="str">
        <f>INDEX(Base!$C$2:$C$601,MATCH(B184,Base!$A$2:$A$601,0))</f>
        <v>Nordeste</v>
      </c>
      <c r="I184">
        <f>INDEX(Base!$M$2:$M$601,MATCH(B184,Base!$A$2:$A$601,0))</f>
        <v>0</v>
      </c>
      <c r="J184">
        <f t="shared" si="4"/>
        <v>0</v>
      </c>
      <c r="K184">
        <f t="shared" si="5"/>
        <v>0</v>
      </c>
      <c r="L184" t="str">
        <f>IF(INDEX(Base!$U$2:$U$601,MATCH(B184,Base!$A$2:$A$601,0))="","",INDEX(Base!$U$2:$U$601,MATCH(B184,Base!$A$2:$A$601,0)))</f>
        <v>Baixa</v>
      </c>
      <c r="M184">
        <f>INDEX(Base!$R$2:$R$601,MATCH(B184,Base!$A$2:$A$601,0))</f>
        <v>0</v>
      </c>
      <c r="N184" t="str">
        <f>INDEX(Base!$AB$2:$AB$601,MATCH(B184,Base!$A$2:$A$601,0))</f>
        <v>Baixa</v>
      </c>
      <c r="O184">
        <v>100</v>
      </c>
    </row>
    <row r="185" spans="1:16" x14ac:dyDescent="0.25">
      <c r="A185" t="s">
        <v>1107</v>
      </c>
      <c r="B185" t="s">
        <v>572</v>
      </c>
      <c r="C185" t="s">
        <v>927</v>
      </c>
      <c r="D185" t="s">
        <v>221</v>
      </c>
      <c r="F185">
        <v>10</v>
      </c>
      <c r="G185" t="str">
        <f>INDEX(Base!$D$2:$D$601,MATCH(B185,Base!$A$2:$A$601,0))</f>
        <v>Médio Escritório</v>
      </c>
      <c r="H185" t="str">
        <f>INDEX(Base!$C$2:$C$601,MATCH(B185,Base!$A$2:$A$601,0))</f>
        <v>Sul</v>
      </c>
      <c r="I185">
        <f>INDEX(Base!$M$2:$M$601,MATCH(B185,Base!$A$2:$A$601,0))</f>
        <v>1</v>
      </c>
      <c r="J185">
        <f t="shared" si="4"/>
        <v>0</v>
      </c>
      <c r="K185">
        <f t="shared" si="5"/>
        <v>0</v>
      </c>
      <c r="L185" t="str">
        <f>IF(INDEX(Base!$U$2:$U$601,MATCH(B185,Base!$A$2:$A$601,0))="","",INDEX(Base!$U$2:$U$601,MATCH(B185,Base!$A$2:$A$601,0)))</f>
        <v/>
      </c>
      <c r="M185">
        <f>INDEX(Base!$R$2:$R$601,MATCH(B185,Base!$A$2:$A$601,0))</f>
        <v>1</v>
      </c>
      <c r="N185" t="str">
        <f>INDEX(Base!$AB$2:$AB$601,MATCH(B185,Base!$A$2:$A$601,0))</f>
        <v>Alta</v>
      </c>
      <c r="O185">
        <v>116</v>
      </c>
    </row>
    <row r="186" spans="1:16" x14ac:dyDescent="0.25">
      <c r="A186" t="s">
        <v>1108</v>
      </c>
      <c r="B186" t="s">
        <v>690</v>
      </c>
      <c r="C186" t="s">
        <v>934</v>
      </c>
      <c r="D186" t="s">
        <v>220</v>
      </c>
      <c r="F186">
        <v>3</v>
      </c>
      <c r="G186" t="str">
        <f>INDEX(Base!$D$2:$D$601,MATCH(B186,Base!$A$2:$A$601,0))</f>
        <v>Pequeno Escritório</v>
      </c>
      <c r="H186" t="str">
        <f>INDEX(Base!$C$2:$C$601,MATCH(B186,Base!$A$2:$A$601,0))</f>
        <v>Sudeste</v>
      </c>
      <c r="I186">
        <f>INDEX(Base!$M$2:$M$601,MATCH(B186,Base!$A$2:$A$601,0))</f>
        <v>0</v>
      </c>
      <c r="J186">
        <f t="shared" si="4"/>
        <v>0</v>
      </c>
      <c r="K186">
        <f t="shared" si="5"/>
        <v>0</v>
      </c>
      <c r="L186" t="str">
        <f>IF(INDEX(Base!$U$2:$U$601,MATCH(B186,Base!$A$2:$A$601,0))="","",INDEX(Base!$U$2:$U$601,MATCH(B186,Base!$A$2:$A$601,0)))</f>
        <v>Alta</v>
      </c>
      <c r="M186">
        <f>INDEX(Base!$R$2:$R$601,MATCH(B186,Base!$A$2:$A$601,0))</f>
        <v>1</v>
      </c>
      <c r="N186" t="str">
        <f>INDEX(Base!$AB$2:$AB$601,MATCH(B186,Base!$A$2:$A$601,0))</f>
        <v>Alta</v>
      </c>
      <c r="O186">
        <v>53</v>
      </c>
    </row>
    <row r="187" spans="1:16" x14ac:dyDescent="0.25">
      <c r="A187" t="s">
        <v>1109</v>
      </c>
      <c r="B187" t="s">
        <v>285</v>
      </c>
      <c r="C187" t="s">
        <v>918</v>
      </c>
      <c r="D187" t="s">
        <v>216</v>
      </c>
      <c r="F187">
        <v>10</v>
      </c>
      <c r="G187" t="str">
        <f>INDEX(Base!$D$2:$D$601,MATCH(B187,Base!$A$2:$A$601,0))</f>
        <v>Médio Escritório</v>
      </c>
      <c r="H187" t="str">
        <f>INDEX(Base!$C$2:$C$601,MATCH(B187,Base!$A$2:$A$601,0))</f>
        <v>Sudeste</v>
      </c>
      <c r="I187">
        <f>INDEX(Base!$M$2:$M$601,MATCH(B187,Base!$A$2:$A$601,0))</f>
        <v>1</v>
      </c>
      <c r="J187">
        <f t="shared" si="4"/>
        <v>0</v>
      </c>
      <c r="K187">
        <f t="shared" si="5"/>
        <v>0</v>
      </c>
      <c r="L187" t="str">
        <f>IF(INDEX(Base!$U$2:$U$601,MATCH(B187,Base!$A$2:$A$601,0))="","",INDEX(Base!$U$2:$U$601,MATCH(B187,Base!$A$2:$A$601,0)))</f>
        <v/>
      </c>
      <c r="M187">
        <f>INDEX(Base!$R$2:$R$601,MATCH(B187,Base!$A$2:$A$601,0))</f>
        <v>1</v>
      </c>
      <c r="N187" t="str">
        <f>INDEX(Base!$AB$2:$AB$601,MATCH(B187,Base!$A$2:$A$601,0))</f>
        <v>Alta</v>
      </c>
      <c r="O187">
        <v>114</v>
      </c>
    </row>
    <row r="188" spans="1:16" x14ac:dyDescent="0.25">
      <c r="A188" t="s">
        <v>1110</v>
      </c>
      <c r="B188" t="s">
        <v>425</v>
      </c>
      <c r="C188" t="s">
        <v>981</v>
      </c>
      <c r="D188" t="s">
        <v>919</v>
      </c>
      <c r="F188">
        <v>10</v>
      </c>
      <c r="G188" t="str">
        <f>INDEX(Base!$D$2:$D$601,MATCH(B188,Base!$A$2:$A$601,0))</f>
        <v>Médio Escritório</v>
      </c>
      <c r="H188" t="str">
        <f>INDEX(Base!$C$2:$C$601,MATCH(B188,Base!$A$2:$A$601,0))</f>
        <v>Centro-Oeste</v>
      </c>
      <c r="I188">
        <f>INDEX(Base!$M$2:$M$601,MATCH(B188,Base!$A$2:$A$601,0))</f>
        <v>1</v>
      </c>
      <c r="J188">
        <f t="shared" si="4"/>
        <v>1</v>
      </c>
      <c r="K188">
        <f t="shared" si="5"/>
        <v>0</v>
      </c>
      <c r="L188" t="str">
        <f>IF(INDEX(Base!$U$2:$U$601,MATCH(B188,Base!$A$2:$A$601,0))="","",INDEX(Base!$U$2:$U$601,MATCH(B188,Base!$A$2:$A$601,0)))</f>
        <v/>
      </c>
      <c r="M188">
        <f>INDEX(Base!$R$2:$R$601,MATCH(B188,Base!$A$2:$A$601,0))</f>
        <v>1</v>
      </c>
      <c r="N188" t="str">
        <f>INDEX(Base!$AB$2:$AB$601,MATCH(B188,Base!$A$2:$A$601,0))</f>
        <v>Alta</v>
      </c>
      <c r="O188">
        <v>53</v>
      </c>
    </row>
    <row r="189" spans="1:16" x14ac:dyDescent="0.25">
      <c r="A189" t="s">
        <v>1111</v>
      </c>
      <c r="B189" t="s">
        <v>489</v>
      </c>
      <c r="C189" t="s">
        <v>934</v>
      </c>
      <c r="D189" t="s">
        <v>922</v>
      </c>
      <c r="E189">
        <v>557.83000000000004</v>
      </c>
      <c r="F189">
        <v>11</v>
      </c>
      <c r="G189" t="str">
        <f>INDEX(Base!$D$2:$D$601,MATCH(B189,Base!$A$2:$A$601,0))</f>
        <v>Médio Escritório</v>
      </c>
      <c r="H189" t="str">
        <f>INDEX(Base!$C$2:$C$601,MATCH(B189,Base!$A$2:$A$601,0))</f>
        <v>Sudeste</v>
      </c>
      <c r="I189">
        <f>INDEX(Base!$M$2:$M$601,MATCH(B189,Base!$A$2:$A$601,0))</f>
        <v>1</v>
      </c>
      <c r="J189">
        <f t="shared" si="4"/>
        <v>1</v>
      </c>
      <c r="K189">
        <f t="shared" si="5"/>
        <v>1</v>
      </c>
      <c r="L189" t="str">
        <f>IF(INDEX(Base!$U$2:$U$601,MATCH(B189,Base!$A$2:$A$601,0))="","",INDEX(Base!$U$2:$U$601,MATCH(B189,Base!$A$2:$A$601,0)))</f>
        <v/>
      </c>
      <c r="M189">
        <f>INDEX(Base!$R$2:$R$601,MATCH(B189,Base!$A$2:$A$601,0))</f>
        <v>1</v>
      </c>
      <c r="N189" t="str">
        <f>INDEX(Base!$AB$2:$AB$601,MATCH(B189,Base!$A$2:$A$601,0))</f>
        <v>Alta</v>
      </c>
      <c r="O189">
        <v>41</v>
      </c>
      <c r="P189" s="33">
        <v>45634</v>
      </c>
    </row>
    <row r="190" spans="1:16" x14ac:dyDescent="0.25">
      <c r="A190" t="s">
        <v>1112</v>
      </c>
      <c r="B190" t="s">
        <v>651</v>
      </c>
      <c r="C190" t="s">
        <v>927</v>
      </c>
      <c r="D190" t="s">
        <v>919</v>
      </c>
      <c r="F190">
        <v>8</v>
      </c>
      <c r="G190" t="str">
        <f>INDEX(Base!$D$2:$D$601,MATCH(B190,Base!$A$2:$A$601,0))</f>
        <v>Pequeno Escritório</v>
      </c>
      <c r="H190" t="str">
        <f>INDEX(Base!$C$2:$C$601,MATCH(B190,Base!$A$2:$A$601,0))</f>
        <v>Nordeste</v>
      </c>
      <c r="I190">
        <f>INDEX(Base!$M$2:$M$601,MATCH(B190,Base!$A$2:$A$601,0))</f>
        <v>0</v>
      </c>
      <c r="J190">
        <f t="shared" si="4"/>
        <v>1</v>
      </c>
      <c r="K190">
        <f t="shared" si="5"/>
        <v>0</v>
      </c>
      <c r="L190" t="str">
        <f>IF(INDEX(Base!$U$2:$U$601,MATCH(B190,Base!$A$2:$A$601,0))="","",INDEX(Base!$U$2:$U$601,MATCH(B190,Base!$A$2:$A$601,0)))</f>
        <v>Média</v>
      </c>
      <c r="M190">
        <f>INDEX(Base!$R$2:$R$601,MATCH(B190,Base!$A$2:$A$601,0))</f>
        <v>0</v>
      </c>
      <c r="N190" t="str">
        <f>INDEX(Base!$AB$2:$AB$601,MATCH(B190,Base!$A$2:$A$601,0))</f>
        <v>Média</v>
      </c>
      <c r="O190">
        <v>58</v>
      </c>
    </row>
    <row r="191" spans="1:16" x14ac:dyDescent="0.25">
      <c r="A191" t="s">
        <v>1113</v>
      </c>
      <c r="B191" t="s">
        <v>369</v>
      </c>
      <c r="C191" t="s">
        <v>927</v>
      </c>
      <c r="D191" t="s">
        <v>922</v>
      </c>
      <c r="E191">
        <v>257.04000000000002</v>
      </c>
      <c r="F191">
        <v>9</v>
      </c>
      <c r="G191" t="str">
        <f>INDEX(Base!$D$2:$D$601,MATCH(B191,Base!$A$2:$A$601,0))</f>
        <v>Autônomo</v>
      </c>
      <c r="H191" t="str">
        <f>INDEX(Base!$C$2:$C$601,MATCH(B191,Base!$A$2:$A$601,0))</f>
        <v>Sudeste</v>
      </c>
      <c r="I191">
        <f>INDEX(Base!$M$2:$M$601,MATCH(B191,Base!$A$2:$A$601,0))</f>
        <v>0</v>
      </c>
      <c r="J191">
        <f t="shared" si="4"/>
        <v>1</v>
      </c>
      <c r="K191">
        <f t="shared" si="5"/>
        <v>1</v>
      </c>
      <c r="L191" t="str">
        <f>IF(INDEX(Base!$U$2:$U$601,MATCH(B191,Base!$A$2:$A$601,0))="","",INDEX(Base!$U$2:$U$601,MATCH(B191,Base!$A$2:$A$601,0)))</f>
        <v>Baixa</v>
      </c>
      <c r="M191">
        <f>INDEX(Base!$R$2:$R$601,MATCH(B191,Base!$A$2:$A$601,0))</f>
        <v>0</v>
      </c>
      <c r="N191" t="str">
        <f>INDEX(Base!$AB$2:$AB$601,MATCH(B191,Base!$A$2:$A$601,0))</f>
        <v>Média</v>
      </c>
      <c r="O191">
        <v>78</v>
      </c>
      <c r="P191" s="33">
        <v>45851</v>
      </c>
    </row>
    <row r="192" spans="1:16" x14ac:dyDescent="0.25">
      <c r="A192" t="s">
        <v>1114</v>
      </c>
      <c r="B192" t="s">
        <v>455</v>
      </c>
      <c r="C192" t="s">
        <v>918</v>
      </c>
      <c r="D192" t="s">
        <v>922</v>
      </c>
      <c r="E192">
        <v>972.67</v>
      </c>
      <c r="F192">
        <v>8</v>
      </c>
      <c r="G192" t="str">
        <f>INDEX(Base!$D$2:$D$601,MATCH(B192,Base!$A$2:$A$601,0))</f>
        <v>Autônomo</v>
      </c>
      <c r="H192" t="str">
        <f>INDEX(Base!$C$2:$C$601,MATCH(B192,Base!$A$2:$A$601,0))</f>
        <v>Sudeste</v>
      </c>
      <c r="I192">
        <f>INDEX(Base!$M$2:$M$601,MATCH(B192,Base!$A$2:$A$601,0))</f>
        <v>0</v>
      </c>
      <c r="J192">
        <f t="shared" si="4"/>
        <v>1</v>
      </c>
      <c r="K192">
        <f t="shared" si="5"/>
        <v>1</v>
      </c>
      <c r="L192" t="str">
        <f>IF(INDEX(Base!$U$2:$U$601,MATCH(B192,Base!$A$2:$A$601,0))="","",INDEX(Base!$U$2:$U$601,MATCH(B192,Base!$A$2:$A$601,0)))</f>
        <v>Baixa</v>
      </c>
      <c r="M192">
        <f>INDEX(Base!$R$2:$R$601,MATCH(B192,Base!$A$2:$A$601,0))</f>
        <v>0</v>
      </c>
      <c r="N192" t="str">
        <f>INDEX(Base!$AB$2:$AB$601,MATCH(B192,Base!$A$2:$A$601,0))</f>
        <v>Baixa</v>
      </c>
      <c r="O192">
        <v>47</v>
      </c>
      <c r="P192" s="33">
        <v>45999</v>
      </c>
    </row>
    <row r="193" spans="1:16" x14ac:dyDescent="0.25">
      <c r="A193" t="s">
        <v>1115</v>
      </c>
      <c r="B193" t="s">
        <v>734</v>
      </c>
      <c r="C193" t="s">
        <v>918</v>
      </c>
      <c r="D193" t="s">
        <v>215</v>
      </c>
      <c r="F193">
        <v>8</v>
      </c>
      <c r="G193" t="str">
        <f>INDEX(Base!$D$2:$D$601,MATCH(B193,Base!$A$2:$A$601,0))</f>
        <v>Pequeno Escritório</v>
      </c>
      <c r="H193" t="str">
        <f>INDEX(Base!$C$2:$C$601,MATCH(B193,Base!$A$2:$A$601,0))</f>
        <v>Centro-Oeste</v>
      </c>
      <c r="I193">
        <f>INDEX(Base!$M$2:$M$601,MATCH(B193,Base!$A$2:$A$601,0))</f>
        <v>0</v>
      </c>
      <c r="J193">
        <f t="shared" si="4"/>
        <v>0</v>
      </c>
      <c r="K193">
        <f t="shared" si="5"/>
        <v>0</v>
      </c>
      <c r="L193" t="str">
        <f>IF(INDEX(Base!$U$2:$U$601,MATCH(B193,Base!$A$2:$A$601,0))="","",INDEX(Base!$U$2:$U$601,MATCH(B193,Base!$A$2:$A$601,0)))</f>
        <v/>
      </c>
      <c r="M193">
        <f>INDEX(Base!$R$2:$R$601,MATCH(B193,Base!$A$2:$A$601,0))</f>
        <v>0</v>
      </c>
      <c r="N193" t="str">
        <f>INDEX(Base!$AB$2:$AB$601,MATCH(B193,Base!$A$2:$A$601,0))</f>
        <v>Média</v>
      </c>
      <c r="O193">
        <v>131</v>
      </c>
    </row>
    <row r="194" spans="1:16" x14ac:dyDescent="0.25">
      <c r="A194" t="s">
        <v>1116</v>
      </c>
      <c r="B194" t="s">
        <v>766</v>
      </c>
      <c r="C194" t="s">
        <v>921</v>
      </c>
      <c r="D194" t="s">
        <v>216</v>
      </c>
      <c r="F194">
        <v>10</v>
      </c>
      <c r="G194" t="str">
        <f>INDEX(Base!$D$2:$D$601,MATCH(B194,Base!$A$2:$A$601,0))</f>
        <v>Médio Escritório</v>
      </c>
      <c r="H194" t="str">
        <f>INDEX(Base!$C$2:$C$601,MATCH(B194,Base!$A$2:$A$601,0))</f>
        <v>Sudeste</v>
      </c>
      <c r="I194">
        <f>INDEX(Base!$M$2:$M$601,MATCH(B194,Base!$A$2:$A$601,0))</f>
        <v>1</v>
      </c>
      <c r="J194">
        <f t="shared" ref="J194:J257" si="6">IF(OR(D194="Ganho",D194="Perdido"),1,0)</f>
        <v>0</v>
      </c>
      <c r="K194">
        <f t="shared" ref="K194:K257" si="7">IF(D194="Ganho",1,0)</f>
        <v>0</v>
      </c>
      <c r="L194" t="str">
        <f>IF(INDEX(Base!$U$2:$U$601,MATCH(B194,Base!$A$2:$A$601,0))="","",INDEX(Base!$U$2:$U$601,MATCH(B194,Base!$A$2:$A$601,0)))</f>
        <v/>
      </c>
      <c r="M194">
        <f>INDEX(Base!$R$2:$R$601,MATCH(B194,Base!$A$2:$A$601,0))</f>
        <v>1</v>
      </c>
      <c r="N194" t="str">
        <f>INDEX(Base!$AB$2:$AB$601,MATCH(B194,Base!$A$2:$A$601,0))</f>
        <v>Alta</v>
      </c>
      <c r="O194">
        <v>171</v>
      </c>
    </row>
    <row r="195" spans="1:16" x14ac:dyDescent="0.25">
      <c r="A195" t="s">
        <v>1117</v>
      </c>
      <c r="B195" t="s">
        <v>695</v>
      </c>
      <c r="C195" t="s">
        <v>918</v>
      </c>
      <c r="D195" t="s">
        <v>216</v>
      </c>
      <c r="F195">
        <v>4</v>
      </c>
      <c r="G195" t="str">
        <f>INDEX(Base!$D$2:$D$601,MATCH(B195,Base!$A$2:$A$601,0))</f>
        <v>Médio Escritório</v>
      </c>
      <c r="H195" t="str">
        <f>INDEX(Base!$C$2:$C$601,MATCH(B195,Base!$A$2:$A$601,0))</f>
        <v>Centro-Oeste</v>
      </c>
      <c r="I195">
        <f>INDEX(Base!$M$2:$M$601,MATCH(B195,Base!$A$2:$A$601,0))</f>
        <v>1</v>
      </c>
      <c r="J195">
        <f t="shared" si="6"/>
        <v>0</v>
      </c>
      <c r="K195">
        <f t="shared" si="7"/>
        <v>0</v>
      </c>
      <c r="L195" t="str">
        <f>IF(INDEX(Base!$U$2:$U$601,MATCH(B195,Base!$A$2:$A$601,0))="","",INDEX(Base!$U$2:$U$601,MATCH(B195,Base!$A$2:$A$601,0)))</f>
        <v/>
      </c>
      <c r="M195">
        <f>INDEX(Base!$R$2:$R$601,MATCH(B195,Base!$A$2:$A$601,0))</f>
        <v>1</v>
      </c>
      <c r="N195" t="str">
        <f>INDEX(Base!$AB$2:$AB$601,MATCH(B195,Base!$A$2:$A$601,0))</f>
        <v>Alta</v>
      </c>
      <c r="O195">
        <v>106</v>
      </c>
    </row>
    <row r="196" spans="1:16" x14ac:dyDescent="0.25">
      <c r="A196" t="s">
        <v>1118</v>
      </c>
      <c r="B196" t="s">
        <v>382</v>
      </c>
      <c r="C196" t="s">
        <v>918</v>
      </c>
      <c r="D196" t="s">
        <v>215</v>
      </c>
      <c r="F196">
        <v>6</v>
      </c>
      <c r="G196" t="str">
        <f>INDEX(Base!$D$2:$D$601,MATCH(B196,Base!$A$2:$A$601,0))</f>
        <v>Pequeno Escritório</v>
      </c>
      <c r="H196" t="str">
        <f>INDEX(Base!$C$2:$C$601,MATCH(B196,Base!$A$2:$A$601,0))</f>
        <v>Sudeste</v>
      </c>
      <c r="I196">
        <f>INDEX(Base!$M$2:$M$601,MATCH(B196,Base!$A$2:$A$601,0))</f>
        <v>0</v>
      </c>
      <c r="J196">
        <f t="shared" si="6"/>
        <v>0</v>
      </c>
      <c r="K196">
        <f t="shared" si="7"/>
        <v>0</v>
      </c>
      <c r="L196" t="str">
        <f>IF(INDEX(Base!$U$2:$U$601,MATCH(B196,Base!$A$2:$A$601,0))="","",INDEX(Base!$U$2:$U$601,MATCH(B196,Base!$A$2:$A$601,0)))</f>
        <v/>
      </c>
      <c r="M196">
        <f>INDEX(Base!$R$2:$R$601,MATCH(B196,Base!$A$2:$A$601,0))</f>
        <v>0</v>
      </c>
      <c r="N196" t="str">
        <f>INDEX(Base!$AB$2:$AB$601,MATCH(B196,Base!$A$2:$A$601,0))</f>
        <v>Média</v>
      </c>
      <c r="O196">
        <v>70</v>
      </c>
    </row>
    <row r="197" spans="1:16" x14ac:dyDescent="0.25">
      <c r="A197" t="s">
        <v>1119</v>
      </c>
      <c r="B197" t="s">
        <v>662</v>
      </c>
      <c r="C197" t="s">
        <v>921</v>
      </c>
      <c r="D197" t="s">
        <v>922</v>
      </c>
      <c r="E197">
        <v>883.43</v>
      </c>
      <c r="F197">
        <v>6</v>
      </c>
      <c r="G197" t="str">
        <f>INDEX(Base!$D$2:$D$601,MATCH(B197,Base!$A$2:$A$601,0))</f>
        <v>Autônomo</v>
      </c>
      <c r="H197" t="str">
        <f>INDEX(Base!$C$2:$C$601,MATCH(B197,Base!$A$2:$A$601,0))</f>
        <v>Norte</v>
      </c>
      <c r="I197">
        <f>INDEX(Base!$M$2:$M$601,MATCH(B197,Base!$A$2:$A$601,0))</f>
        <v>0</v>
      </c>
      <c r="J197">
        <f t="shared" si="6"/>
        <v>1</v>
      </c>
      <c r="K197">
        <f t="shared" si="7"/>
        <v>1</v>
      </c>
      <c r="L197" t="str">
        <f>IF(INDEX(Base!$U$2:$U$601,MATCH(B197,Base!$A$2:$A$601,0))="","",INDEX(Base!$U$2:$U$601,MATCH(B197,Base!$A$2:$A$601,0)))</f>
        <v>Baixa</v>
      </c>
      <c r="M197">
        <f>INDEX(Base!$R$2:$R$601,MATCH(B197,Base!$A$2:$A$601,0))</f>
        <v>0</v>
      </c>
      <c r="N197" t="str">
        <f>INDEX(Base!$AB$2:$AB$601,MATCH(B197,Base!$A$2:$A$601,0))</f>
        <v>Média</v>
      </c>
      <c r="O197">
        <v>37</v>
      </c>
      <c r="P197" s="33">
        <v>45466</v>
      </c>
    </row>
    <row r="198" spans="1:16" x14ac:dyDescent="0.25">
      <c r="A198" t="s">
        <v>1120</v>
      </c>
      <c r="B198" t="s">
        <v>552</v>
      </c>
      <c r="C198" t="s">
        <v>918</v>
      </c>
      <c r="D198" t="s">
        <v>215</v>
      </c>
      <c r="F198">
        <v>6</v>
      </c>
      <c r="G198" t="str">
        <f>INDEX(Base!$D$2:$D$601,MATCH(B198,Base!$A$2:$A$601,0))</f>
        <v>Pequeno Escritório</v>
      </c>
      <c r="H198" t="str">
        <f>INDEX(Base!$C$2:$C$601,MATCH(B198,Base!$A$2:$A$601,0))</f>
        <v>Sudeste</v>
      </c>
      <c r="I198">
        <f>INDEX(Base!$M$2:$M$601,MATCH(B198,Base!$A$2:$A$601,0))</f>
        <v>0</v>
      </c>
      <c r="J198">
        <f t="shared" si="6"/>
        <v>0</v>
      </c>
      <c r="K198">
        <f t="shared" si="7"/>
        <v>0</v>
      </c>
      <c r="L198" t="str">
        <f>IF(INDEX(Base!$U$2:$U$601,MATCH(B198,Base!$A$2:$A$601,0))="","",INDEX(Base!$U$2:$U$601,MATCH(B198,Base!$A$2:$A$601,0)))</f>
        <v>Média</v>
      </c>
      <c r="M198">
        <f>INDEX(Base!$R$2:$R$601,MATCH(B198,Base!$A$2:$A$601,0))</f>
        <v>0</v>
      </c>
      <c r="N198" t="str">
        <f>INDEX(Base!$AB$2:$AB$601,MATCH(B198,Base!$A$2:$A$601,0))</f>
        <v>Média</v>
      </c>
      <c r="O198">
        <v>114</v>
      </c>
    </row>
    <row r="199" spans="1:16" x14ac:dyDescent="0.25">
      <c r="A199" t="s">
        <v>1121</v>
      </c>
      <c r="B199" t="s">
        <v>869</v>
      </c>
      <c r="C199" t="s">
        <v>921</v>
      </c>
      <c r="D199" t="s">
        <v>216</v>
      </c>
      <c r="F199">
        <v>8</v>
      </c>
      <c r="G199" t="str">
        <f>INDEX(Base!$D$2:$D$601,MATCH(B199,Base!$A$2:$A$601,0))</f>
        <v>Pequeno Escritório</v>
      </c>
      <c r="H199" t="str">
        <f>INDEX(Base!$C$2:$C$601,MATCH(B199,Base!$A$2:$A$601,0))</f>
        <v>Sudeste</v>
      </c>
      <c r="I199">
        <f>INDEX(Base!$M$2:$M$601,MATCH(B199,Base!$A$2:$A$601,0))</f>
        <v>0</v>
      </c>
      <c r="J199">
        <f t="shared" si="6"/>
        <v>0</v>
      </c>
      <c r="K199">
        <f t="shared" si="7"/>
        <v>0</v>
      </c>
      <c r="L199" t="str">
        <f>IF(INDEX(Base!$U$2:$U$601,MATCH(B199,Base!$A$2:$A$601,0))="","",INDEX(Base!$U$2:$U$601,MATCH(B199,Base!$A$2:$A$601,0)))</f>
        <v>Alta</v>
      </c>
      <c r="M199">
        <f>INDEX(Base!$R$2:$R$601,MATCH(B199,Base!$A$2:$A$601,0))</f>
        <v>0</v>
      </c>
      <c r="N199" t="str">
        <f>INDEX(Base!$AB$2:$AB$601,MATCH(B199,Base!$A$2:$A$601,0))</f>
        <v>Média</v>
      </c>
      <c r="O199">
        <v>86</v>
      </c>
    </row>
    <row r="200" spans="1:16" x14ac:dyDescent="0.25">
      <c r="A200" t="s">
        <v>1122</v>
      </c>
      <c r="B200" t="s">
        <v>576</v>
      </c>
      <c r="C200" t="s">
        <v>918</v>
      </c>
      <c r="D200" t="s">
        <v>216</v>
      </c>
      <c r="F200">
        <v>5</v>
      </c>
      <c r="G200" t="str">
        <f>INDEX(Base!$D$2:$D$601,MATCH(B200,Base!$A$2:$A$601,0))</f>
        <v>Médio Escritório</v>
      </c>
      <c r="H200" t="str">
        <f>INDEX(Base!$C$2:$C$601,MATCH(B200,Base!$A$2:$A$601,0))</f>
        <v>Nordeste</v>
      </c>
      <c r="I200">
        <f>INDEX(Base!$M$2:$M$601,MATCH(B200,Base!$A$2:$A$601,0))</f>
        <v>0</v>
      </c>
      <c r="J200">
        <f t="shared" si="6"/>
        <v>0</v>
      </c>
      <c r="K200">
        <f t="shared" si="7"/>
        <v>0</v>
      </c>
      <c r="L200" t="str">
        <f>IF(INDEX(Base!$U$2:$U$601,MATCH(B200,Base!$A$2:$A$601,0))="","",INDEX(Base!$U$2:$U$601,MATCH(B200,Base!$A$2:$A$601,0)))</f>
        <v/>
      </c>
      <c r="M200">
        <f>INDEX(Base!$R$2:$R$601,MATCH(B200,Base!$A$2:$A$601,0))</f>
        <v>1</v>
      </c>
      <c r="N200" t="str">
        <f>INDEX(Base!$AB$2:$AB$601,MATCH(B200,Base!$A$2:$A$601,0))</f>
        <v>Alta</v>
      </c>
      <c r="O200">
        <v>170</v>
      </c>
    </row>
    <row r="201" spans="1:16" x14ac:dyDescent="0.25">
      <c r="A201" t="s">
        <v>1123</v>
      </c>
      <c r="B201" t="s">
        <v>830</v>
      </c>
      <c r="C201" t="s">
        <v>918</v>
      </c>
      <c r="D201" t="s">
        <v>218</v>
      </c>
      <c r="F201">
        <v>9</v>
      </c>
      <c r="G201" t="str">
        <f>INDEX(Base!$D$2:$D$601,MATCH(B201,Base!$A$2:$A$601,0))</f>
        <v>Autônomo</v>
      </c>
      <c r="H201" t="str">
        <f>INDEX(Base!$C$2:$C$601,MATCH(B201,Base!$A$2:$A$601,0))</f>
        <v>Sul</v>
      </c>
      <c r="I201">
        <f>INDEX(Base!$M$2:$M$601,MATCH(B201,Base!$A$2:$A$601,0))</f>
        <v>1</v>
      </c>
      <c r="J201">
        <f t="shared" si="6"/>
        <v>0</v>
      </c>
      <c r="K201">
        <f t="shared" si="7"/>
        <v>0</v>
      </c>
      <c r="L201" t="str">
        <f>IF(INDEX(Base!$U$2:$U$601,MATCH(B201,Base!$A$2:$A$601,0))="","",INDEX(Base!$U$2:$U$601,MATCH(B201,Base!$A$2:$A$601,0)))</f>
        <v/>
      </c>
      <c r="M201">
        <f>INDEX(Base!$R$2:$R$601,MATCH(B201,Base!$A$2:$A$601,0))</f>
        <v>0</v>
      </c>
      <c r="N201" t="str">
        <f>INDEX(Base!$AB$2:$AB$601,MATCH(B201,Base!$A$2:$A$601,0))</f>
        <v>Média</v>
      </c>
      <c r="O201">
        <v>136</v>
      </c>
    </row>
    <row r="202" spans="1:16" x14ac:dyDescent="0.25">
      <c r="A202" t="s">
        <v>1124</v>
      </c>
      <c r="B202" t="s">
        <v>384</v>
      </c>
      <c r="C202" t="s">
        <v>921</v>
      </c>
      <c r="D202" t="s">
        <v>922</v>
      </c>
      <c r="E202">
        <v>312.38</v>
      </c>
      <c r="F202">
        <v>2</v>
      </c>
      <c r="G202" t="str">
        <f>INDEX(Base!$D$2:$D$601,MATCH(B202,Base!$A$2:$A$601,0))</f>
        <v>Autônomo</v>
      </c>
      <c r="H202" t="str">
        <f>INDEX(Base!$C$2:$C$601,MATCH(B202,Base!$A$2:$A$601,0))</f>
        <v>Sul</v>
      </c>
      <c r="I202">
        <f>INDEX(Base!$M$2:$M$601,MATCH(B202,Base!$A$2:$A$601,0))</f>
        <v>0</v>
      </c>
      <c r="J202">
        <f t="shared" si="6"/>
        <v>1</v>
      </c>
      <c r="K202">
        <f t="shared" si="7"/>
        <v>1</v>
      </c>
      <c r="L202" t="str">
        <f>IF(INDEX(Base!$U$2:$U$601,MATCH(B202,Base!$A$2:$A$601,0))="","",INDEX(Base!$U$2:$U$601,MATCH(B202,Base!$A$2:$A$601,0)))</f>
        <v/>
      </c>
      <c r="M202">
        <f>INDEX(Base!$R$2:$R$601,MATCH(B202,Base!$A$2:$A$601,0))</f>
        <v>0</v>
      </c>
      <c r="N202" t="str">
        <f>INDEX(Base!$AB$2:$AB$601,MATCH(B202,Base!$A$2:$A$601,0))</f>
        <v>Baixa</v>
      </c>
      <c r="O202">
        <v>29</v>
      </c>
      <c r="P202" s="33">
        <v>45401</v>
      </c>
    </row>
    <row r="203" spans="1:16" x14ac:dyDescent="0.25">
      <c r="A203" t="s">
        <v>1125</v>
      </c>
      <c r="B203" t="s">
        <v>409</v>
      </c>
      <c r="C203" t="s">
        <v>918</v>
      </c>
      <c r="D203" t="s">
        <v>218</v>
      </c>
      <c r="F203">
        <v>11</v>
      </c>
      <c r="G203" t="str">
        <f>INDEX(Base!$D$2:$D$601,MATCH(B203,Base!$A$2:$A$601,0))</f>
        <v>Pequeno Escritório</v>
      </c>
      <c r="H203" t="str">
        <f>INDEX(Base!$C$2:$C$601,MATCH(B203,Base!$A$2:$A$601,0))</f>
        <v>Sudeste</v>
      </c>
      <c r="I203">
        <f>INDEX(Base!$M$2:$M$601,MATCH(B203,Base!$A$2:$A$601,0))</f>
        <v>0</v>
      </c>
      <c r="J203">
        <f t="shared" si="6"/>
        <v>0</v>
      </c>
      <c r="K203">
        <f t="shared" si="7"/>
        <v>0</v>
      </c>
      <c r="L203" t="str">
        <f>IF(INDEX(Base!$U$2:$U$601,MATCH(B203,Base!$A$2:$A$601,0))="","",INDEX(Base!$U$2:$U$601,MATCH(B203,Base!$A$2:$A$601,0)))</f>
        <v>Alta</v>
      </c>
      <c r="M203">
        <f>INDEX(Base!$R$2:$R$601,MATCH(B203,Base!$A$2:$A$601,0))</f>
        <v>0</v>
      </c>
      <c r="N203" t="str">
        <f>INDEX(Base!$AB$2:$AB$601,MATCH(B203,Base!$A$2:$A$601,0))</f>
        <v>Média</v>
      </c>
      <c r="O203">
        <v>89</v>
      </c>
    </row>
    <row r="204" spans="1:16" x14ac:dyDescent="0.25">
      <c r="A204" t="s">
        <v>1126</v>
      </c>
      <c r="B204" t="s">
        <v>661</v>
      </c>
      <c r="C204" t="s">
        <v>918</v>
      </c>
      <c r="D204" t="s">
        <v>919</v>
      </c>
      <c r="F204">
        <v>12</v>
      </c>
      <c r="G204" t="str">
        <f>INDEX(Base!$D$2:$D$601,MATCH(B204,Base!$A$2:$A$601,0))</f>
        <v>Pequeno Escritório</v>
      </c>
      <c r="H204" t="str">
        <f>INDEX(Base!$C$2:$C$601,MATCH(B204,Base!$A$2:$A$601,0))</f>
        <v>Sudeste</v>
      </c>
      <c r="I204">
        <f>INDEX(Base!$M$2:$M$601,MATCH(B204,Base!$A$2:$A$601,0))</f>
        <v>1</v>
      </c>
      <c r="J204">
        <f t="shared" si="6"/>
        <v>1</v>
      </c>
      <c r="K204">
        <f t="shared" si="7"/>
        <v>0</v>
      </c>
      <c r="L204" t="str">
        <f>IF(INDEX(Base!$U$2:$U$601,MATCH(B204,Base!$A$2:$A$601,0))="","",INDEX(Base!$U$2:$U$601,MATCH(B204,Base!$A$2:$A$601,0)))</f>
        <v/>
      </c>
      <c r="M204">
        <f>INDEX(Base!$R$2:$R$601,MATCH(B204,Base!$A$2:$A$601,0))</f>
        <v>0</v>
      </c>
      <c r="N204" t="str">
        <f>INDEX(Base!$AB$2:$AB$601,MATCH(B204,Base!$A$2:$A$601,0))</f>
        <v>Média</v>
      </c>
      <c r="O204">
        <v>159</v>
      </c>
    </row>
    <row r="205" spans="1:16" x14ac:dyDescent="0.25">
      <c r="A205" t="s">
        <v>1127</v>
      </c>
      <c r="B205" t="s">
        <v>502</v>
      </c>
      <c r="C205" t="s">
        <v>981</v>
      </c>
      <c r="D205" t="s">
        <v>919</v>
      </c>
      <c r="F205">
        <v>5</v>
      </c>
      <c r="G205" t="str">
        <f>INDEX(Base!$D$2:$D$601,MATCH(B205,Base!$A$2:$A$601,0))</f>
        <v>Pequeno Escritório</v>
      </c>
      <c r="H205" t="str">
        <f>INDEX(Base!$C$2:$C$601,MATCH(B205,Base!$A$2:$A$601,0))</f>
        <v>Sul</v>
      </c>
      <c r="I205">
        <f>INDEX(Base!$M$2:$M$601,MATCH(B205,Base!$A$2:$A$601,0))</f>
        <v>0</v>
      </c>
      <c r="J205">
        <f t="shared" si="6"/>
        <v>1</v>
      </c>
      <c r="K205">
        <f t="shared" si="7"/>
        <v>0</v>
      </c>
      <c r="L205" t="str">
        <f>IF(INDEX(Base!$U$2:$U$601,MATCH(B205,Base!$A$2:$A$601,0))="","",INDEX(Base!$U$2:$U$601,MATCH(B205,Base!$A$2:$A$601,0)))</f>
        <v>Média</v>
      </c>
      <c r="M205">
        <f>INDEX(Base!$R$2:$R$601,MATCH(B205,Base!$A$2:$A$601,0))</f>
        <v>0</v>
      </c>
      <c r="N205" t="str">
        <f>INDEX(Base!$AB$2:$AB$601,MATCH(B205,Base!$A$2:$A$601,0))</f>
        <v>Média</v>
      </c>
      <c r="O205">
        <v>77</v>
      </c>
    </row>
    <row r="206" spans="1:16" x14ac:dyDescent="0.25">
      <c r="A206" t="s">
        <v>1128</v>
      </c>
      <c r="B206" t="s">
        <v>475</v>
      </c>
      <c r="C206" t="s">
        <v>927</v>
      </c>
      <c r="D206" t="s">
        <v>221</v>
      </c>
      <c r="F206">
        <v>10</v>
      </c>
      <c r="G206" t="str">
        <f>INDEX(Base!$D$2:$D$601,MATCH(B206,Base!$A$2:$A$601,0))</f>
        <v>Pequeno Escritório</v>
      </c>
      <c r="H206" t="str">
        <f>INDEX(Base!$C$2:$C$601,MATCH(B206,Base!$A$2:$A$601,0))</f>
        <v>Sudeste</v>
      </c>
      <c r="I206">
        <f>INDEX(Base!$M$2:$M$601,MATCH(B206,Base!$A$2:$A$601,0))</f>
        <v>0</v>
      </c>
      <c r="J206">
        <f t="shared" si="6"/>
        <v>0</v>
      </c>
      <c r="K206">
        <f t="shared" si="7"/>
        <v>0</v>
      </c>
      <c r="L206" t="str">
        <f>IF(INDEX(Base!$U$2:$U$601,MATCH(B206,Base!$A$2:$A$601,0))="","",INDEX(Base!$U$2:$U$601,MATCH(B206,Base!$A$2:$A$601,0)))</f>
        <v>Média</v>
      </c>
      <c r="M206">
        <f>INDEX(Base!$R$2:$R$601,MATCH(B206,Base!$A$2:$A$601,0))</f>
        <v>1</v>
      </c>
      <c r="N206" t="str">
        <f>INDEX(Base!$AB$2:$AB$601,MATCH(B206,Base!$A$2:$A$601,0))</f>
        <v>Média</v>
      </c>
      <c r="O206">
        <v>172</v>
      </c>
    </row>
    <row r="207" spans="1:16" x14ac:dyDescent="0.25">
      <c r="A207" t="s">
        <v>1129</v>
      </c>
      <c r="B207" t="s">
        <v>351</v>
      </c>
      <c r="C207" t="s">
        <v>918</v>
      </c>
      <c r="D207" t="s">
        <v>221</v>
      </c>
      <c r="F207">
        <v>3</v>
      </c>
      <c r="G207" t="str">
        <f>INDEX(Base!$D$2:$D$601,MATCH(B207,Base!$A$2:$A$601,0))</f>
        <v>Autônomo</v>
      </c>
      <c r="H207" t="str">
        <f>INDEX(Base!$C$2:$C$601,MATCH(B207,Base!$A$2:$A$601,0))</f>
        <v>Sudeste</v>
      </c>
      <c r="I207">
        <f>INDEX(Base!$M$2:$M$601,MATCH(B207,Base!$A$2:$A$601,0))</f>
        <v>0</v>
      </c>
      <c r="J207">
        <f t="shared" si="6"/>
        <v>0</v>
      </c>
      <c r="K207">
        <f t="shared" si="7"/>
        <v>0</v>
      </c>
      <c r="L207" t="str">
        <f>IF(INDEX(Base!$U$2:$U$601,MATCH(B207,Base!$A$2:$A$601,0))="","",INDEX(Base!$U$2:$U$601,MATCH(B207,Base!$A$2:$A$601,0)))</f>
        <v>Baixa</v>
      </c>
      <c r="M207">
        <f>INDEX(Base!$R$2:$R$601,MATCH(B207,Base!$A$2:$A$601,0))</f>
        <v>0</v>
      </c>
      <c r="N207" t="str">
        <f>INDEX(Base!$AB$2:$AB$601,MATCH(B207,Base!$A$2:$A$601,0))</f>
        <v>Baixa</v>
      </c>
      <c r="O207">
        <v>106</v>
      </c>
    </row>
    <row r="208" spans="1:16" x14ac:dyDescent="0.25">
      <c r="A208" t="s">
        <v>1130</v>
      </c>
      <c r="B208" t="s">
        <v>526</v>
      </c>
      <c r="C208" t="s">
        <v>918</v>
      </c>
      <c r="D208" t="s">
        <v>215</v>
      </c>
      <c r="F208">
        <v>9</v>
      </c>
      <c r="G208" t="str">
        <f>INDEX(Base!$D$2:$D$601,MATCH(B208,Base!$A$2:$A$601,0))</f>
        <v>Pequeno Escritório</v>
      </c>
      <c r="H208" t="str">
        <f>INDEX(Base!$C$2:$C$601,MATCH(B208,Base!$A$2:$A$601,0))</f>
        <v>Norte</v>
      </c>
      <c r="I208">
        <f>INDEX(Base!$M$2:$M$601,MATCH(B208,Base!$A$2:$A$601,0))</f>
        <v>0</v>
      </c>
      <c r="J208">
        <f t="shared" si="6"/>
        <v>0</v>
      </c>
      <c r="K208">
        <f t="shared" si="7"/>
        <v>0</v>
      </c>
      <c r="L208" t="str">
        <f>IF(INDEX(Base!$U$2:$U$601,MATCH(B208,Base!$A$2:$A$601,0))="","",INDEX(Base!$U$2:$U$601,MATCH(B208,Base!$A$2:$A$601,0)))</f>
        <v>Média</v>
      </c>
      <c r="M208">
        <f>INDEX(Base!$R$2:$R$601,MATCH(B208,Base!$A$2:$A$601,0))</f>
        <v>0</v>
      </c>
      <c r="N208" t="str">
        <f>INDEX(Base!$AB$2:$AB$601,MATCH(B208,Base!$A$2:$A$601,0))</f>
        <v>Média</v>
      </c>
      <c r="O208">
        <v>155</v>
      </c>
    </row>
    <row r="209" spans="1:16" x14ac:dyDescent="0.25">
      <c r="A209" t="s">
        <v>1131</v>
      </c>
      <c r="B209" t="s">
        <v>542</v>
      </c>
      <c r="C209" t="s">
        <v>927</v>
      </c>
      <c r="D209" t="s">
        <v>922</v>
      </c>
      <c r="E209">
        <v>712.09</v>
      </c>
      <c r="F209">
        <v>2</v>
      </c>
      <c r="G209" t="str">
        <f>INDEX(Base!$D$2:$D$601,MATCH(B209,Base!$A$2:$A$601,0))</f>
        <v>Médio Escritório</v>
      </c>
      <c r="H209" t="str">
        <f>INDEX(Base!$C$2:$C$601,MATCH(B209,Base!$A$2:$A$601,0))</f>
        <v>Nordeste</v>
      </c>
      <c r="I209">
        <f>INDEX(Base!$M$2:$M$601,MATCH(B209,Base!$A$2:$A$601,0))</f>
        <v>1</v>
      </c>
      <c r="J209">
        <f t="shared" si="6"/>
        <v>1</v>
      </c>
      <c r="K209">
        <f t="shared" si="7"/>
        <v>1</v>
      </c>
      <c r="L209" t="str">
        <f>IF(INDEX(Base!$U$2:$U$601,MATCH(B209,Base!$A$2:$A$601,0))="","",INDEX(Base!$U$2:$U$601,MATCH(B209,Base!$A$2:$A$601,0)))</f>
        <v/>
      </c>
      <c r="M209">
        <f>INDEX(Base!$R$2:$R$601,MATCH(B209,Base!$A$2:$A$601,0))</f>
        <v>1</v>
      </c>
      <c r="N209" t="str">
        <f>INDEX(Base!$AB$2:$AB$601,MATCH(B209,Base!$A$2:$A$601,0))</f>
        <v>Alta</v>
      </c>
      <c r="O209">
        <v>59</v>
      </c>
      <c r="P209" s="33">
        <v>45830</v>
      </c>
    </row>
    <row r="210" spans="1:16" x14ac:dyDescent="0.25">
      <c r="A210" t="s">
        <v>1132</v>
      </c>
      <c r="B210" t="s">
        <v>532</v>
      </c>
      <c r="C210" t="s">
        <v>918</v>
      </c>
      <c r="D210" t="s">
        <v>922</v>
      </c>
      <c r="E210">
        <v>839.18</v>
      </c>
      <c r="F210">
        <v>8</v>
      </c>
      <c r="G210" t="str">
        <f>INDEX(Base!$D$2:$D$601,MATCH(B210,Base!$A$2:$A$601,0))</f>
        <v>Autônomo</v>
      </c>
      <c r="H210" t="str">
        <f>INDEX(Base!$C$2:$C$601,MATCH(B210,Base!$A$2:$A$601,0))</f>
        <v>Sul</v>
      </c>
      <c r="I210">
        <f>INDEX(Base!$M$2:$M$601,MATCH(B210,Base!$A$2:$A$601,0))</f>
        <v>0</v>
      </c>
      <c r="J210">
        <f t="shared" si="6"/>
        <v>1</v>
      </c>
      <c r="K210">
        <f t="shared" si="7"/>
        <v>1</v>
      </c>
      <c r="L210" t="str">
        <f>IF(INDEX(Base!$U$2:$U$601,MATCH(B210,Base!$A$2:$A$601,0))="","",INDEX(Base!$U$2:$U$601,MATCH(B210,Base!$A$2:$A$601,0)))</f>
        <v>Baixa</v>
      </c>
      <c r="M210">
        <f>INDEX(Base!$R$2:$R$601,MATCH(B210,Base!$A$2:$A$601,0))</f>
        <v>0</v>
      </c>
      <c r="N210" t="str">
        <f>INDEX(Base!$AB$2:$AB$601,MATCH(B210,Base!$A$2:$A$601,0))</f>
        <v>Baixa</v>
      </c>
      <c r="O210">
        <v>89</v>
      </c>
      <c r="P210" s="33">
        <v>45820</v>
      </c>
    </row>
    <row r="211" spans="1:16" x14ac:dyDescent="0.25">
      <c r="A211" t="s">
        <v>1133</v>
      </c>
      <c r="B211" t="s">
        <v>806</v>
      </c>
      <c r="C211" t="s">
        <v>921</v>
      </c>
      <c r="D211" t="s">
        <v>220</v>
      </c>
      <c r="F211">
        <v>3</v>
      </c>
      <c r="G211" t="str">
        <f>INDEX(Base!$D$2:$D$601,MATCH(B211,Base!$A$2:$A$601,0))</f>
        <v>Autônomo</v>
      </c>
      <c r="H211" t="str">
        <f>INDEX(Base!$C$2:$C$601,MATCH(B211,Base!$A$2:$A$601,0))</f>
        <v>Sul</v>
      </c>
      <c r="I211">
        <f>INDEX(Base!$M$2:$M$601,MATCH(B211,Base!$A$2:$A$601,0))</f>
        <v>0</v>
      </c>
      <c r="J211">
        <f t="shared" si="6"/>
        <v>0</v>
      </c>
      <c r="K211">
        <f t="shared" si="7"/>
        <v>0</v>
      </c>
      <c r="L211" t="str">
        <f>IF(INDEX(Base!$U$2:$U$601,MATCH(B211,Base!$A$2:$A$601,0))="","",INDEX(Base!$U$2:$U$601,MATCH(B211,Base!$A$2:$A$601,0)))</f>
        <v>Baixa</v>
      </c>
      <c r="M211">
        <f>INDEX(Base!$R$2:$R$601,MATCH(B211,Base!$A$2:$A$601,0))</f>
        <v>0</v>
      </c>
      <c r="N211" t="str">
        <f>INDEX(Base!$AB$2:$AB$601,MATCH(B211,Base!$A$2:$A$601,0))</f>
        <v>Baixa</v>
      </c>
      <c r="O211">
        <v>152</v>
      </c>
    </row>
    <row r="212" spans="1:16" x14ac:dyDescent="0.25">
      <c r="A212" t="s">
        <v>1134</v>
      </c>
      <c r="B212" t="s">
        <v>648</v>
      </c>
      <c r="C212" t="s">
        <v>934</v>
      </c>
      <c r="D212" t="s">
        <v>221</v>
      </c>
      <c r="F212">
        <v>1</v>
      </c>
      <c r="G212" t="str">
        <f>INDEX(Base!$D$2:$D$601,MATCH(B212,Base!$A$2:$A$601,0))</f>
        <v>Pequeno Escritório</v>
      </c>
      <c r="H212" t="str">
        <f>INDEX(Base!$C$2:$C$601,MATCH(B212,Base!$A$2:$A$601,0))</f>
        <v>Sudeste</v>
      </c>
      <c r="I212">
        <f>INDEX(Base!$M$2:$M$601,MATCH(B212,Base!$A$2:$A$601,0))</f>
        <v>1</v>
      </c>
      <c r="J212">
        <f t="shared" si="6"/>
        <v>0</v>
      </c>
      <c r="K212">
        <f t="shared" si="7"/>
        <v>0</v>
      </c>
      <c r="L212" t="str">
        <f>IF(INDEX(Base!$U$2:$U$601,MATCH(B212,Base!$A$2:$A$601,0))="","",INDEX(Base!$U$2:$U$601,MATCH(B212,Base!$A$2:$A$601,0)))</f>
        <v/>
      </c>
      <c r="M212">
        <f>INDEX(Base!$R$2:$R$601,MATCH(B212,Base!$A$2:$A$601,0))</f>
        <v>1</v>
      </c>
      <c r="N212" t="str">
        <f>INDEX(Base!$AB$2:$AB$601,MATCH(B212,Base!$A$2:$A$601,0))</f>
        <v>Alta</v>
      </c>
      <c r="O212">
        <v>132</v>
      </c>
    </row>
    <row r="213" spans="1:16" x14ac:dyDescent="0.25">
      <c r="A213" t="s">
        <v>1135</v>
      </c>
      <c r="B213" t="s">
        <v>306</v>
      </c>
      <c r="C213" t="s">
        <v>927</v>
      </c>
      <c r="D213" t="s">
        <v>218</v>
      </c>
      <c r="F213">
        <v>7</v>
      </c>
      <c r="G213" t="str">
        <f>INDEX(Base!$D$2:$D$601,MATCH(B213,Base!$A$2:$A$601,0))</f>
        <v>Médio Escritório</v>
      </c>
      <c r="H213" t="str">
        <f>INDEX(Base!$C$2:$C$601,MATCH(B213,Base!$A$2:$A$601,0))</f>
        <v>Sudeste</v>
      </c>
      <c r="I213">
        <f>INDEX(Base!$M$2:$M$601,MATCH(B213,Base!$A$2:$A$601,0))</f>
        <v>1</v>
      </c>
      <c r="J213">
        <f t="shared" si="6"/>
        <v>0</v>
      </c>
      <c r="K213">
        <f t="shared" si="7"/>
        <v>0</v>
      </c>
      <c r="L213" t="str">
        <f>IF(INDEX(Base!$U$2:$U$601,MATCH(B213,Base!$A$2:$A$601,0))="","",INDEX(Base!$U$2:$U$601,MATCH(B213,Base!$A$2:$A$601,0)))</f>
        <v/>
      </c>
      <c r="M213">
        <f>INDEX(Base!$R$2:$R$601,MATCH(B213,Base!$A$2:$A$601,0))</f>
        <v>1</v>
      </c>
      <c r="N213" t="str">
        <f>INDEX(Base!$AB$2:$AB$601,MATCH(B213,Base!$A$2:$A$601,0))</f>
        <v>Alta</v>
      </c>
      <c r="O213">
        <v>113</v>
      </c>
    </row>
    <row r="214" spans="1:16" x14ac:dyDescent="0.25">
      <c r="A214" t="s">
        <v>1136</v>
      </c>
      <c r="B214" t="s">
        <v>307</v>
      </c>
      <c r="C214" t="s">
        <v>927</v>
      </c>
      <c r="D214" t="s">
        <v>922</v>
      </c>
      <c r="E214">
        <v>1037.05</v>
      </c>
      <c r="F214">
        <v>6</v>
      </c>
      <c r="G214" t="str">
        <f>INDEX(Base!$D$2:$D$601,MATCH(B214,Base!$A$2:$A$601,0))</f>
        <v>Autônomo</v>
      </c>
      <c r="H214" t="str">
        <f>INDEX(Base!$C$2:$C$601,MATCH(B214,Base!$A$2:$A$601,0))</f>
        <v>Sudeste</v>
      </c>
      <c r="I214">
        <f>INDEX(Base!$M$2:$M$601,MATCH(B214,Base!$A$2:$A$601,0))</f>
        <v>0</v>
      </c>
      <c r="J214">
        <f t="shared" si="6"/>
        <v>1</v>
      </c>
      <c r="K214">
        <f t="shared" si="7"/>
        <v>1</v>
      </c>
      <c r="L214" t="str">
        <f>IF(INDEX(Base!$U$2:$U$601,MATCH(B214,Base!$A$2:$A$601,0))="","",INDEX(Base!$U$2:$U$601,MATCH(B214,Base!$A$2:$A$601,0)))</f>
        <v>Baixa</v>
      </c>
      <c r="M214">
        <f>INDEX(Base!$R$2:$R$601,MATCH(B214,Base!$A$2:$A$601,0))</f>
        <v>0</v>
      </c>
      <c r="N214" t="str">
        <f>INDEX(Base!$AB$2:$AB$601,MATCH(B214,Base!$A$2:$A$601,0))</f>
        <v>Baixa</v>
      </c>
      <c r="O214">
        <v>88</v>
      </c>
      <c r="P214" s="33">
        <v>45793</v>
      </c>
    </row>
    <row r="215" spans="1:16" x14ac:dyDescent="0.25">
      <c r="A215" t="s">
        <v>1137</v>
      </c>
      <c r="B215" t="s">
        <v>641</v>
      </c>
      <c r="C215" t="s">
        <v>921</v>
      </c>
      <c r="D215" t="s">
        <v>922</v>
      </c>
      <c r="E215">
        <v>403.59</v>
      </c>
      <c r="F215">
        <v>6</v>
      </c>
      <c r="G215" t="str">
        <f>INDEX(Base!$D$2:$D$601,MATCH(B215,Base!$A$2:$A$601,0))</f>
        <v>Autônomo</v>
      </c>
      <c r="H215" t="str">
        <f>INDEX(Base!$C$2:$C$601,MATCH(B215,Base!$A$2:$A$601,0))</f>
        <v>Nordeste</v>
      </c>
      <c r="I215">
        <f>INDEX(Base!$M$2:$M$601,MATCH(B215,Base!$A$2:$A$601,0))</f>
        <v>0</v>
      </c>
      <c r="J215">
        <f t="shared" si="6"/>
        <v>1</v>
      </c>
      <c r="K215">
        <f t="shared" si="7"/>
        <v>1</v>
      </c>
      <c r="L215" t="str">
        <f>IF(INDEX(Base!$U$2:$U$601,MATCH(B215,Base!$A$2:$A$601,0))="","",INDEX(Base!$U$2:$U$601,MATCH(B215,Base!$A$2:$A$601,0)))</f>
        <v>Baixa</v>
      </c>
      <c r="M215">
        <f>INDEX(Base!$R$2:$R$601,MATCH(B215,Base!$A$2:$A$601,0))</f>
        <v>0</v>
      </c>
      <c r="N215" t="str">
        <f>INDEX(Base!$AB$2:$AB$601,MATCH(B215,Base!$A$2:$A$601,0))</f>
        <v>Baixa</v>
      </c>
      <c r="O215">
        <v>17</v>
      </c>
      <c r="P215" s="33">
        <v>45890</v>
      </c>
    </row>
    <row r="216" spans="1:16" x14ac:dyDescent="0.25">
      <c r="A216" t="s">
        <v>1138</v>
      </c>
      <c r="B216" t="s">
        <v>673</v>
      </c>
      <c r="C216" t="s">
        <v>921</v>
      </c>
      <c r="D216" t="s">
        <v>919</v>
      </c>
      <c r="F216">
        <v>7</v>
      </c>
      <c r="G216" t="str">
        <f>INDEX(Base!$D$2:$D$601,MATCH(B216,Base!$A$2:$A$601,0))</f>
        <v>Grande Escritório</v>
      </c>
      <c r="H216" t="str">
        <f>INDEX(Base!$C$2:$C$601,MATCH(B216,Base!$A$2:$A$601,0))</f>
        <v>Centro-Oeste</v>
      </c>
      <c r="I216">
        <f>INDEX(Base!$M$2:$M$601,MATCH(B216,Base!$A$2:$A$601,0))</f>
        <v>1</v>
      </c>
      <c r="J216">
        <f t="shared" si="6"/>
        <v>1</v>
      </c>
      <c r="K216">
        <f t="shared" si="7"/>
        <v>0</v>
      </c>
      <c r="L216" t="str">
        <f>IF(INDEX(Base!$U$2:$U$601,MATCH(B216,Base!$A$2:$A$601,0))="","",INDEX(Base!$U$2:$U$601,MATCH(B216,Base!$A$2:$A$601,0)))</f>
        <v/>
      </c>
      <c r="M216">
        <f>INDEX(Base!$R$2:$R$601,MATCH(B216,Base!$A$2:$A$601,0))</f>
        <v>1</v>
      </c>
      <c r="N216" t="str">
        <f>INDEX(Base!$AB$2:$AB$601,MATCH(B216,Base!$A$2:$A$601,0))</f>
        <v>Alta</v>
      </c>
      <c r="O216">
        <v>102</v>
      </c>
    </row>
    <row r="217" spans="1:16" x14ac:dyDescent="0.25">
      <c r="A217" t="s">
        <v>1139</v>
      </c>
      <c r="B217" t="s">
        <v>443</v>
      </c>
      <c r="C217" t="s">
        <v>918</v>
      </c>
      <c r="D217" t="s">
        <v>215</v>
      </c>
      <c r="F217">
        <v>4</v>
      </c>
      <c r="G217" t="str">
        <f>INDEX(Base!$D$2:$D$601,MATCH(B217,Base!$A$2:$A$601,0))</f>
        <v>Médio Escritório</v>
      </c>
      <c r="H217" t="str">
        <f>INDEX(Base!$C$2:$C$601,MATCH(B217,Base!$A$2:$A$601,0))</f>
        <v>Centro-Oeste</v>
      </c>
      <c r="I217">
        <f>INDEX(Base!$M$2:$M$601,MATCH(B217,Base!$A$2:$A$601,0))</f>
        <v>1</v>
      </c>
      <c r="J217">
        <f t="shared" si="6"/>
        <v>0</v>
      </c>
      <c r="K217">
        <f t="shared" si="7"/>
        <v>0</v>
      </c>
      <c r="L217" t="str">
        <f>IF(INDEX(Base!$U$2:$U$601,MATCH(B217,Base!$A$2:$A$601,0))="","",INDEX(Base!$U$2:$U$601,MATCH(B217,Base!$A$2:$A$601,0)))</f>
        <v/>
      </c>
      <c r="M217">
        <f>INDEX(Base!$R$2:$R$601,MATCH(B217,Base!$A$2:$A$601,0))</f>
        <v>1</v>
      </c>
      <c r="N217" t="str">
        <f>INDEX(Base!$AB$2:$AB$601,MATCH(B217,Base!$A$2:$A$601,0))</f>
        <v>Alta</v>
      </c>
      <c r="O217">
        <v>126</v>
      </c>
    </row>
    <row r="218" spans="1:16" x14ac:dyDescent="0.25">
      <c r="A218" t="s">
        <v>1140</v>
      </c>
      <c r="B218" t="s">
        <v>354</v>
      </c>
      <c r="C218" t="s">
        <v>918</v>
      </c>
      <c r="D218" t="s">
        <v>922</v>
      </c>
      <c r="E218">
        <v>303.85000000000002</v>
      </c>
      <c r="F218">
        <v>2</v>
      </c>
      <c r="G218" t="str">
        <f>INDEX(Base!$D$2:$D$601,MATCH(B218,Base!$A$2:$A$601,0))</f>
        <v>Pequeno Escritório</v>
      </c>
      <c r="H218" t="str">
        <f>INDEX(Base!$C$2:$C$601,MATCH(B218,Base!$A$2:$A$601,0))</f>
        <v>Nordeste</v>
      </c>
      <c r="I218">
        <f>INDEX(Base!$M$2:$M$601,MATCH(B218,Base!$A$2:$A$601,0))</f>
        <v>0</v>
      </c>
      <c r="J218">
        <f t="shared" si="6"/>
        <v>1</v>
      </c>
      <c r="K218">
        <f t="shared" si="7"/>
        <v>1</v>
      </c>
      <c r="L218" t="str">
        <f>IF(INDEX(Base!$U$2:$U$601,MATCH(B218,Base!$A$2:$A$601,0))="","",INDEX(Base!$U$2:$U$601,MATCH(B218,Base!$A$2:$A$601,0)))</f>
        <v/>
      </c>
      <c r="M218">
        <f>INDEX(Base!$R$2:$R$601,MATCH(B218,Base!$A$2:$A$601,0))</f>
        <v>0</v>
      </c>
      <c r="N218" t="str">
        <f>INDEX(Base!$AB$2:$AB$601,MATCH(B218,Base!$A$2:$A$601,0))</f>
        <v>Média</v>
      </c>
      <c r="O218">
        <v>38</v>
      </c>
      <c r="P218" s="33">
        <v>45792</v>
      </c>
    </row>
    <row r="219" spans="1:16" x14ac:dyDescent="0.25">
      <c r="A219" t="s">
        <v>1141</v>
      </c>
      <c r="B219" t="s">
        <v>583</v>
      </c>
      <c r="C219" t="s">
        <v>927</v>
      </c>
      <c r="D219" t="s">
        <v>220</v>
      </c>
      <c r="F219">
        <v>12</v>
      </c>
      <c r="G219" t="str">
        <f>INDEX(Base!$D$2:$D$601,MATCH(B219,Base!$A$2:$A$601,0))</f>
        <v>Autônomo</v>
      </c>
      <c r="H219" t="str">
        <f>INDEX(Base!$C$2:$C$601,MATCH(B219,Base!$A$2:$A$601,0))</f>
        <v>Sul</v>
      </c>
      <c r="I219">
        <f>INDEX(Base!$M$2:$M$601,MATCH(B219,Base!$A$2:$A$601,0))</f>
        <v>1</v>
      </c>
      <c r="J219">
        <f t="shared" si="6"/>
        <v>0</v>
      </c>
      <c r="K219">
        <f t="shared" si="7"/>
        <v>0</v>
      </c>
      <c r="L219" t="str">
        <f>IF(INDEX(Base!$U$2:$U$601,MATCH(B219,Base!$A$2:$A$601,0))="","",INDEX(Base!$U$2:$U$601,MATCH(B219,Base!$A$2:$A$601,0)))</f>
        <v/>
      </c>
      <c r="M219">
        <f>INDEX(Base!$R$2:$R$601,MATCH(B219,Base!$A$2:$A$601,0))</f>
        <v>0</v>
      </c>
      <c r="N219" t="str">
        <f>INDEX(Base!$AB$2:$AB$601,MATCH(B219,Base!$A$2:$A$601,0))</f>
        <v>Média</v>
      </c>
      <c r="O219">
        <v>159</v>
      </c>
    </row>
    <row r="220" spans="1:16" x14ac:dyDescent="0.25">
      <c r="A220" t="s">
        <v>1142</v>
      </c>
      <c r="B220" t="s">
        <v>463</v>
      </c>
      <c r="C220" t="s">
        <v>921</v>
      </c>
      <c r="D220" t="s">
        <v>218</v>
      </c>
      <c r="F220">
        <v>7</v>
      </c>
      <c r="G220" t="str">
        <f>INDEX(Base!$D$2:$D$601,MATCH(B220,Base!$A$2:$A$601,0))</f>
        <v>Pequeno Escritório</v>
      </c>
      <c r="H220" t="str">
        <f>INDEX(Base!$C$2:$C$601,MATCH(B220,Base!$A$2:$A$601,0))</f>
        <v>Sul</v>
      </c>
      <c r="I220">
        <f>INDEX(Base!$M$2:$M$601,MATCH(B220,Base!$A$2:$A$601,0))</f>
        <v>0</v>
      </c>
      <c r="J220">
        <f t="shared" si="6"/>
        <v>0</v>
      </c>
      <c r="K220">
        <f t="shared" si="7"/>
        <v>0</v>
      </c>
      <c r="L220" t="str">
        <f>IF(INDEX(Base!$U$2:$U$601,MATCH(B220,Base!$A$2:$A$601,0))="","",INDEX(Base!$U$2:$U$601,MATCH(B220,Base!$A$2:$A$601,0)))</f>
        <v>Alta</v>
      </c>
      <c r="M220">
        <f>INDEX(Base!$R$2:$R$601,MATCH(B220,Base!$A$2:$A$601,0))</f>
        <v>0</v>
      </c>
      <c r="N220" t="str">
        <f>INDEX(Base!$AB$2:$AB$601,MATCH(B220,Base!$A$2:$A$601,0))</f>
        <v>Média</v>
      </c>
      <c r="O220">
        <v>77</v>
      </c>
    </row>
    <row r="221" spans="1:16" x14ac:dyDescent="0.25">
      <c r="A221" t="s">
        <v>1143</v>
      </c>
      <c r="B221" t="s">
        <v>817</v>
      </c>
      <c r="C221" t="s">
        <v>918</v>
      </c>
      <c r="D221" t="s">
        <v>215</v>
      </c>
      <c r="F221">
        <v>8</v>
      </c>
      <c r="G221" t="str">
        <f>INDEX(Base!$D$2:$D$601,MATCH(B221,Base!$A$2:$A$601,0))</f>
        <v>Autônomo</v>
      </c>
      <c r="H221" t="str">
        <f>INDEX(Base!$C$2:$C$601,MATCH(B221,Base!$A$2:$A$601,0))</f>
        <v>Sudeste</v>
      </c>
      <c r="I221">
        <f>INDEX(Base!$M$2:$M$601,MATCH(B221,Base!$A$2:$A$601,0))</f>
        <v>0</v>
      </c>
      <c r="J221">
        <f t="shared" si="6"/>
        <v>0</v>
      </c>
      <c r="K221">
        <f t="shared" si="7"/>
        <v>0</v>
      </c>
      <c r="L221" t="str">
        <f>IF(INDEX(Base!$U$2:$U$601,MATCH(B221,Base!$A$2:$A$601,0))="","",INDEX(Base!$U$2:$U$601,MATCH(B221,Base!$A$2:$A$601,0)))</f>
        <v>Média</v>
      </c>
      <c r="M221">
        <f>INDEX(Base!$R$2:$R$601,MATCH(B221,Base!$A$2:$A$601,0))</f>
        <v>0</v>
      </c>
      <c r="N221" t="str">
        <f>INDEX(Base!$AB$2:$AB$601,MATCH(B221,Base!$A$2:$A$601,0))</f>
        <v>Baixa</v>
      </c>
      <c r="O221">
        <v>19</v>
      </c>
    </row>
    <row r="222" spans="1:16" x14ac:dyDescent="0.25">
      <c r="A222" t="s">
        <v>1144</v>
      </c>
      <c r="B222" t="s">
        <v>328</v>
      </c>
      <c r="C222" t="s">
        <v>918</v>
      </c>
      <c r="D222" t="s">
        <v>218</v>
      </c>
      <c r="F222">
        <v>7</v>
      </c>
      <c r="G222" t="str">
        <f>INDEX(Base!$D$2:$D$601,MATCH(B222,Base!$A$2:$A$601,0))</f>
        <v>Médio Escritório</v>
      </c>
      <c r="H222" t="str">
        <f>INDEX(Base!$C$2:$C$601,MATCH(B222,Base!$A$2:$A$601,0))</f>
        <v>Sul</v>
      </c>
      <c r="I222">
        <f>INDEX(Base!$M$2:$M$601,MATCH(B222,Base!$A$2:$A$601,0))</f>
        <v>1</v>
      </c>
      <c r="J222">
        <f t="shared" si="6"/>
        <v>0</v>
      </c>
      <c r="K222">
        <f t="shared" si="7"/>
        <v>0</v>
      </c>
      <c r="L222" t="str">
        <f>IF(INDEX(Base!$U$2:$U$601,MATCH(B222,Base!$A$2:$A$601,0))="","",INDEX(Base!$U$2:$U$601,MATCH(B222,Base!$A$2:$A$601,0)))</f>
        <v/>
      </c>
      <c r="M222">
        <f>INDEX(Base!$R$2:$R$601,MATCH(B222,Base!$A$2:$A$601,0))</f>
        <v>1</v>
      </c>
      <c r="N222" t="str">
        <f>INDEX(Base!$AB$2:$AB$601,MATCH(B222,Base!$A$2:$A$601,0))</f>
        <v>Alta</v>
      </c>
      <c r="O222">
        <v>105</v>
      </c>
    </row>
    <row r="223" spans="1:16" x14ac:dyDescent="0.25">
      <c r="A223" t="s">
        <v>1145</v>
      </c>
      <c r="B223" t="s">
        <v>676</v>
      </c>
      <c r="C223" t="s">
        <v>918</v>
      </c>
      <c r="D223" t="s">
        <v>215</v>
      </c>
      <c r="F223">
        <v>8</v>
      </c>
      <c r="G223" t="str">
        <f>INDEX(Base!$D$2:$D$601,MATCH(B223,Base!$A$2:$A$601,0))</f>
        <v>Pequeno Escritório</v>
      </c>
      <c r="H223" t="str">
        <f>INDEX(Base!$C$2:$C$601,MATCH(B223,Base!$A$2:$A$601,0))</f>
        <v>Sul</v>
      </c>
      <c r="I223">
        <f>INDEX(Base!$M$2:$M$601,MATCH(B223,Base!$A$2:$A$601,0))</f>
        <v>1</v>
      </c>
      <c r="J223">
        <f t="shared" si="6"/>
        <v>0</v>
      </c>
      <c r="K223">
        <f t="shared" si="7"/>
        <v>0</v>
      </c>
      <c r="L223" t="str">
        <f>IF(INDEX(Base!$U$2:$U$601,MATCH(B223,Base!$A$2:$A$601,0))="","",INDEX(Base!$U$2:$U$601,MATCH(B223,Base!$A$2:$A$601,0)))</f>
        <v/>
      </c>
      <c r="M223">
        <f>INDEX(Base!$R$2:$R$601,MATCH(B223,Base!$A$2:$A$601,0))</f>
        <v>1</v>
      </c>
      <c r="N223" t="str">
        <f>INDEX(Base!$AB$2:$AB$601,MATCH(B223,Base!$A$2:$A$601,0))</f>
        <v>Alta</v>
      </c>
      <c r="O223">
        <v>22</v>
      </c>
    </row>
    <row r="224" spans="1:16" x14ac:dyDescent="0.25">
      <c r="A224" t="s">
        <v>1146</v>
      </c>
      <c r="B224" t="s">
        <v>666</v>
      </c>
      <c r="C224" t="s">
        <v>918</v>
      </c>
      <c r="D224" t="s">
        <v>220</v>
      </c>
      <c r="F224">
        <v>4</v>
      </c>
      <c r="G224" t="str">
        <f>INDEX(Base!$D$2:$D$601,MATCH(B224,Base!$A$2:$A$601,0))</f>
        <v>Autônomo</v>
      </c>
      <c r="H224" t="str">
        <f>INDEX(Base!$C$2:$C$601,MATCH(B224,Base!$A$2:$A$601,0))</f>
        <v>Centro-Oeste</v>
      </c>
      <c r="I224">
        <f>INDEX(Base!$M$2:$M$601,MATCH(B224,Base!$A$2:$A$601,0))</f>
        <v>0</v>
      </c>
      <c r="J224">
        <f t="shared" si="6"/>
        <v>0</v>
      </c>
      <c r="K224">
        <f t="shared" si="7"/>
        <v>0</v>
      </c>
      <c r="L224" t="str">
        <f>IF(INDEX(Base!$U$2:$U$601,MATCH(B224,Base!$A$2:$A$601,0))="","",INDEX(Base!$U$2:$U$601,MATCH(B224,Base!$A$2:$A$601,0)))</f>
        <v>Baixa</v>
      </c>
      <c r="M224">
        <f>INDEX(Base!$R$2:$R$601,MATCH(B224,Base!$A$2:$A$601,0))</f>
        <v>0</v>
      </c>
      <c r="N224" t="str">
        <f>INDEX(Base!$AB$2:$AB$601,MATCH(B224,Base!$A$2:$A$601,0))</f>
        <v>Baixa</v>
      </c>
      <c r="O224">
        <v>84</v>
      </c>
    </row>
    <row r="225" spans="1:16" x14ac:dyDescent="0.25">
      <c r="A225" t="s">
        <v>1147</v>
      </c>
      <c r="B225" t="s">
        <v>394</v>
      </c>
      <c r="C225" t="s">
        <v>921</v>
      </c>
      <c r="D225" t="s">
        <v>922</v>
      </c>
      <c r="E225">
        <v>1146.1199999999999</v>
      </c>
      <c r="F225">
        <v>5</v>
      </c>
      <c r="G225" t="str">
        <f>INDEX(Base!$D$2:$D$601,MATCH(B225,Base!$A$2:$A$601,0))</f>
        <v>Pequeno Escritório</v>
      </c>
      <c r="H225" t="str">
        <f>INDEX(Base!$C$2:$C$601,MATCH(B225,Base!$A$2:$A$601,0))</f>
        <v>Sudeste</v>
      </c>
      <c r="I225">
        <f>INDEX(Base!$M$2:$M$601,MATCH(B225,Base!$A$2:$A$601,0))</f>
        <v>1</v>
      </c>
      <c r="J225">
        <f t="shared" si="6"/>
        <v>1</v>
      </c>
      <c r="K225">
        <f t="shared" si="7"/>
        <v>1</v>
      </c>
      <c r="L225" t="str">
        <f>IF(INDEX(Base!$U$2:$U$601,MATCH(B225,Base!$A$2:$A$601,0))="","",INDEX(Base!$U$2:$U$601,MATCH(B225,Base!$A$2:$A$601,0)))</f>
        <v/>
      </c>
      <c r="M225">
        <f>INDEX(Base!$R$2:$R$601,MATCH(B225,Base!$A$2:$A$601,0))</f>
        <v>1</v>
      </c>
      <c r="N225" t="str">
        <f>INDEX(Base!$AB$2:$AB$601,MATCH(B225,Base!$A$2:$A$601,0))</f>
        <v>Alta</v>
      </c>
      <c r="O225">
        <v>20</v>
      </c>
      <c r="P225" s="33">
        <v>46038</v>
      </c>
    </row>
    <row r="226" spans="1:16" x14ac:dyDescent="0.25">
      <c r="A226" t="s">
        <v>1148</v>
      </c>
      <c r="B226" t="s">
        <v>880</v>
      </c>
      <c r="C226" t="s">
        <v>921</v>
      </c>
      <c r="D226" t="s">
        <v>922</v>
      </c>
      <c r="E226">
        <v>604.48</v>
      </c>
      <c r="F226">
        <v>1</v>
      </c>
      <c r="G226" t="str">
        <f>INDEX(Base!$D$2:$D$601,MATCH(B226,Base!$A$2:$A$601,0))</f>
        <v>Autônomo</v>
      </c>
      <c r="H226" t="str">
        <f>INDEX(Base!$C$2:$C$601,MATCH(B226,Base!$A$2:$A$601,0))</f>
        <v>Sudeste</v>
      </c>
      <c r="I226">
        <f>INDEX(Base!$M$2:$M$601,MATCH(B226,Base!$A$2:$A$601,0))</f>
        <v>0</v>
      </c>
      <c r="J226">
        <f t="shared" si="6"/>
        <v>1</v>
      </c>
      <c r="K226">
        <f t="shared" si="7"/>
        <v>1</v>
      </c>
      <c r="L226" t="str">
        <f>IF(INDEX(Base!$U$2:$U$601,MATCH(B226,Base!$A$2:$A$601,0))="","",INDEX(Base!$U$2:$U$601,MATCH(B226,Base!$A$2:$A$601,0)))</f>
        <v>Baixa</v>
      </c>
      <c r="M226">
        <f>INDEX(Base!$R$2:$R$601,MATCH(B226,Base!$A$2:$A$601,0))</f>
        <v>0</v>
      </c>
      <c r="N226" t="str">
        <f>INDEX(Base!$AB$2:$AB$601,MATCH(B226,Base!$A$2:$A$601,0))</f>
        <v>Baixa</v>
      </c>
      <c r="O226">
        <v>58</v>
      </c>
      <c r="P226" s="33">
        <v>45864</v>
      </c>
    </row>
    <row r="227" spans="1:16" x14ac:dyDescent="0.25">
      <c r="A227" t="s">
        <v>1149</v>
      </c>
      <c r="B227" t="s">
        <v>407</v>
      </c>
      <c r="C227" t="s">
        <v>981</v>
      </c>
      <c r="D227" t="s">
        <v>220</v>
      </c>
      <c r="F227">
        <v>7</v>
      </c>
      <c r="G227" t="str">
        <f>INDEX(Base!$D$2:$D$601,MATCH(B227,Base!$A$2:$A$601,0))</f>
        <v>Autônomo</v>
      </c>
      <c r="H227" t="str">
        <f>INDEX(Base!$C$2:$C$601,MATCH(B227,Base!$A$2:$A$601,0))</f>
        <v>Centro-Oeste</v>
      </c>
      <c r="I227">
        <f>INDEX(Base!$M$2:$M$601,MATCH(B227,Base!$A$2:$A$601,0))</f>
        <v>0</v>
      </c>
      <c r="J227">
        <f t="shared" si="6"/>
        <v>0</v>
      </c>
      <c r="K227">
        <f t="shared" si="7"/>
        <v>0</v>
      </c>
      <c r="L227" t="str">
        <f>IF(INDEX(Base!$U$2:$U$601,MATCH(B227,Base!$A$2:$A$601,0))="","",INDEX(Base!$U$2:$U$601,MATCH(B227,Base!$A$2:$A$601,0)))</f>
        <v>Baixa</v>
      </c>
      <c r="M227">
        <f>INDEX(Base!$R$2:$R$601,MATCH(B227,Base!$A$2:$A$601,0))</f>
        <v>0</v>
      </c>
      <c r="N227" t="str">
        <f>INDEX(Base!$AB$2:$AB$601,MATCH(B227,Base!$A$2:$A$601,0))</f>
        <v>Baixa</v>
      </c>
      <c r="O227">
        <v>159</v>
      </c>
    </row>
    <row r="228" spans="1:16" x14ac:dyDescent="0.25">
      <c r="A228" t="s">
        <v>1150</v>
      </c>
      <c r="B228" t="s">
        <v>646</v>
      </c>
      <c r="C228" t="s">
        <v>927</v>
      </c>
      <c r="D228" t="s">
        <v>218</v>
      </c>
      <c r="F228">
        <v>10</v>
      </c>
      <c r="G228" t="str">
        <f>INDEX(Base!$D$2:$D$601,MATCH(B228,Base!$A$2:$A$601,0))</f>
        <v>Pequeno Escritório</v>
      </c>
      <c r="H228" t="str">
        <f>INDEX(Base!$C$2:$C$601,MATCH(B228,Base!$A$2:$A$601,0))</f>
        <v>Centro-Oeste</v>
      </c>
      <c r="I228">
        <f>INDEX(Base!$M$2:$M$601,MATCH(B228,Base!$A$2:$A$601,0))</f>
        <v>0</v>
      </c>
      <c r="J228">
        <f t="shared" si="6"/>
        <v>0</v>
      </c>
      <c r="K228">
        <f t="shared" si="7"/>
        <v>0</v>
      </c>
      <c r="L228" t="str">
        <f>IF(INDEX(Base!$U$2:$U$601,MATCH(B228,Base!$A$2:$A$601,0))="","",INDEX(Base!$U$2:$U$601,MATCH(B228,Base!$A$2:$A$601,0)))</f>
        <v>Média</v>
      </c>
      <c r="M228">
        <f>INDEX(Base!$R$2:$R$601,MATCH(B228,Base!$A$2:$A$601,0))</f>
        <v>1</v>
      </c>
      <c r="N228" t="str">
        <f>INDEX(Base!$AB$2:$AB$601,MATCH(B228,Base!$A$2:$A$601,0))</f>
        <v>Média</v>
      </c>
      <c r="O228">
        <v>130</v>
      </c>
    </row>
    <row r="229" spans="1:16" x14ac:dyDescent="0.25">
      <c r="A229" t="s">
        <v>1151</v>
      </c>
      <c r="B229" t="s">
        <v>300</v>
      </c>
      <c r="C229" t="s">
        <v>921</v>
      </c>
      <c r="D229" t="s">
        <v>220</v>
      </c>
      <c r="F229">
        <v>2</v>
      </c>
      <c r="G229" t="str">
        <f>INDEX(Base!$D$2:$D$601,MATCH(B229,Base!$A$2:$A$601,0))</f>
        <v>Autônomo</v>
      </c>
      <c r="H229" t="str">
        <f>INDEX(Base!$C$2:$C$601,MATCH(B229,Base!$A$2:$A$601,0))</f>
        <v>Sudeste</v>
      </c>
      <c r="I229">
        <f>INDEX(Base!$M$2:$M$601,MATCH(B229,Base!$A$2:$A$601,0))</f>
        <v>0</v>
      </c>
      <c r="J229">
        <f t="shared" si="6"/>
        <v>0</v>
      </c>
      <c r="K229">
        <f t="shared" si="7"/>
        <v>0</v>
      </c>
      <c r="L229" t="str">
        <f>IF(INDEX(Base!$U$2:$U$601,MATCH(B229,Base!$A$2:$A$601,0))="","",INDEX(Base!$U$2:$U$601,MATCH(B229,Base!$A$2:$A$601,0)))</f>
        <v>Baixa</v>
      </c>
      <c r="M229">
        <f>INDEX(Base!$R$2:$R$601,MATCH(B229,Base!$A$2:$A$601,0))</f>
        <v>0</v>
      </c>
      <c r="N229" t="str">
        <f>INDEX(Base!$AB$2:$AB$601,MATCH(B229,Base!$A$2:$A$601,0))</f>
        <v>Baixa</v>
      </c>
      <c r="O229">
        <v>78</v>
      </c>
    </row>
    <row r="230" spans="1:16" x14ac:dyDescent="0.25">
      <c r="A230" t="s">
        <v>1152</v>
      </c>
      <c r="B230" t="s">
        <v>621</v>
      </c>
      <c r="C230" t="s">
        <v>921</v>
      </c>
      <c r="D230" t="s">
        <v>218</v>
      </c>
      <c r="F230">
        <v>12</v>
      </c>
      <c r="G230" t="str">
        <f>INDEX(Base!$D$2:$D$601,MATCH(B230,Base!$A$2:$A$601,0))</f>
        <v>Pequeno Escritório</v>
      </c>
      <c r="H230" t="str">
        <f>INDEX(Base!$C$2:$C$601,MATCH(B230,Base!$A$2:$A$601,0))</f>
        <v>Nordeste</v>
      </c>
      <c r="I230">
        <f>INDEX(Base!$M$2:$M$601,MATCH(B230,Base!$A$2:$A$601,0))</f>
        <v>0</v>
      </c>
      <c r="J230">
        <f t="shared" si="6"/>
        <v>0</v>
      </c>
      <c r="K230">
        <f t="shared" si="7"/>
        <v>0</v>
      </c>
      <c r="L230" t="str">
        <f>IF(INDEX(Base!$U$2:$U$601,MATCH(B230,Base!$A$2:$A$601,0))="","",INDEX(Base!$U$2:$U$601,MATCH(B230,Base!$A$2:$A$601,0)))</f>
        <v>Alta</v>
      </c>
      <c r="M230">
        <f>INDEX(Base!$R$2:$R$601,MATCH(B230,Base!$A$2:$A$601,0))</f>
        <v>0</v>
      </c>
      <c r="N230" t="str">
        <f>INDEX(Base!$AB$2:$AB$601,MATCH(B230,Base!$A$2:$A$601,0))</f>
        <v>Média</v>
      </c>
      <c r="O230">
        <v>81</v>
      </c>
    </row>
    <row r="231" spans="1:16" x14ac:dyDescent="0.25">
      <c r="A231" t="s">
        <v>1153</v>
      </c>
      <c r="B231" t="s">
        <v>770</v>
      </c>
      <c r="C231" t="s">
        <v>918</v>
      </c>
      <c r="D231" t="s">
        <v>216</v>
      </c>
      <c r="F231">
        <v>3</v>
      </c>
      <c r="G231" t="str">
        <f>INDEX(Base!$D$2:$D$601,MATCH(B231,Base!$A$2:$A$601,0))</f>
        <v>Pequeno Escritório</v>
      </c>
      <c r="H231" t="str">
        <f>INDEX(Base!$C$2:$C$601,MATCH(B231,Base!$A$2:$A$601,0))</f>
        <v>Sul</v>
      </c>
      <c r="I231">
        <f>INDEX(Base!$M$2:$M$601,MATCH(B231,Base!$A$2:$A$601,0))</f>
        <v>0</v>
      </c>
      <c r="J231">
        <f t="shared" si="6"/>
        <v>0</v>
      </c>
      <c r="K231">
        <f t="shared" si="7"/>
        <v>0</v>
      </c>
      <c r="L231" t="str">
        <f>IF(INDEX(Base!$U$2:$U$601,MATCH(B231,Base!$A$2:$A$601,0))="","",INDEX(Base!$U$2:$U$601,MATCH(B231,Base!$A$2:$A$601,0)))</f>
        <v>Média</v>
      </c>
      <c r="M231">
        <f>INDEX(Base!$R$2:$R$601,MATCH(B231,Base!$A$2:$A$601,0))</f>
        <v>1</v>
      </c>
      <c r="N231" t="str">
        <f>INDEX(Base!$AB$2:$AB$601,MATCH(B231,Base!$A$2:$A$601,0))</f>
        <v>Média</v>
      </c>
      <c r="O231">
        <v>163</v>
      </c>
    </row>
    <row r="232" spans="1:16" x14ac:dyDescent="0.25">
      <c r="A232" t="s">
        <v>1154</v>
      </c>
      <c r="B232" t="s">
        <v>862</v>
      </c>
      <c r="C232" t="s">
        <v>927</v>
      </c>
      <c r="D232" t="s">
        <v>216</v>
      </c>
      <c r="F232">
        <v>11</v>
      </c>
      <c r="G232" t="str">
        <f>INDEX(Base!$D$2:$D$601,MATCH(B232,Base!$A$2:$A$601,0))</f>
        <v>Autônomo</v>
      </c>
      <c r="H232" t="str">
        <f>INDEX(Base!$C$2:$C$601,MATCH(B232,Base!$A$2:$A$601,0))</f>
        <v>Sudeste</v>
      </c>
      <c r="I232">
        <f>INDEX(Base!$M$2:$M$601,MATCH(B232,Base!$A$2:$A$601,0))</f>
        <v>0</v>
      </c>
      <c r="J232">
        <f t="shared" si="6"/>
        <v>0</v>
      </c>
      <c r="K232">
        <f t="shared" si="7"/>
        <v>0</v>
      </c>
      <c r="L232" t="str">
        <f>IF(INDEX(Base!$U$2:$U$601,MATCH(B232,Base!$A$2:$A$601,0))="","",INDEX(Base!$U$2:$U$601,MATCH(B232,Base!$A$2:$A$601,0)))</f>
        <v>Média</v>
      </c>
      <c r="M232">
        <f>INDEX(Base!$R$2:$R$601,MATCH(B232,Base!$A$2:$A$601,0))</f>
        <v>0</v>
      </c>
      <c r="N232" t="str">
        <f>INDEX(Base!$AB$2:$AB$601,MATCH(B232,Base!$A$2:$A$601,0))</f>
        <v>Baixa</v>
      </c>
      <c r="O232">
        <v>51</v>
      </c>
    </row>
    <row r="233" spans="1:16" x14ac:dyDescent="0.25">
      <c r="A233" t="s">
        <v>1155</v>
      </c>
      <c r="B233" t="s">
        <v>802</v>
      </c>
      <c r="C233" t="s">
        <v>927</v>
      </c>
      <c r="D233" t="s">
        <v>216</v>
      </c>
      <c r="F233">
        <v>1</v>
      </c>
      <c r="G233" t="str">
        <f>INDEX(Base!$D$2:$D$601,MATCH(B233,Base!$A$2:$A$601,0))</f>
        <v>Autônomo</v>
      </c>
      <c r="H233" t="str">
        <f>INDEX(Base!$C$2:$C$601,MATCH(B233,Base!$A$2:$A$601,0))</f>
        <v>Sudeste</v>
      </c>
      <c r="I233">
        <f>INDEX(Base!$M$2:$M$601,MATCH(B233,Base!$A$2:$A$601,0))</f>
        <v>0</v>
      </c>
      <c r="J233">
        <f t="shared" si="6"/>
        <v>0</v>
      </c>
      <c r="K233">
        <f t="shared" si="7"/>
        <v>0</v>
      </c>
      <c r="L233" t="str">
        <f>IF(INDEX(Base!$U$2:$U$601,MATCH(B233,Base!$A$2:$A$601,0))="","",INDEX(Base!$U$2:$U$601,MATCH(B233,Base!$A$2:$A$601,0)))</f>
        <v>Média</v>
      </c>
      <c r="M233">
        <f>INDEX(Base!$R$2:$R$601,MATCH(B233,Base!$A$2:$A$601,0))</f>
        <v>0</v>
      </c>
      <c r="N233" t="str">
        <f>INDEX(Base!$AB$2:$AB$601,MATCH(B233,Base!$A$2:$A$601,0))</f>
        <v>Baixa</v>
      </c>
      <c r="O233">
        <v>66</v>
      </c>
    </row>
    <row r="234" spans="1:16" x14ac:dyDescent="0.25">
      <c r="A234" t="s">
        <v>1156</v>
      </c>
      <c r="B234" t="s">
        <v>602</v>
      </c>
      <c r="C234" t="s">
        <v>934</v>
      </c>
      <c r="D234" t="s">
        <v>218</v>
      </c>
      <c r="F234">
        <v>11</v>
      </c>
      <c r="G234" t="str">
        <f>INDEX(Base!$D$2:$D$601,MATCH(B234,Base!$A$2:$A$601,0))</f>
        <v>Pequeno Escritório</v>
      </c>
      <c r="H234" t="str">
        <f>INDEX(Base!$C$2:$C$601,MATCH(B234,Base!$A$2:$A$601,0))</f>
        <v>Sudeste</v>
      </c>
      <c r="I234">
        <f>INDEX(Base!$M$2:$M$601,MATCH(B234,Base!$A$2:$A$601,0))</f>
        <v>0</v>
      </c>
      <c r="J234">
        <f t="shared" si="6"/>
        <v>0</v>
      </c>
      <c r="K234">
        <f t="shared" si="7"/>
        <v>0</v>
      </c>
      <c r="L234" t="str">
        <f>IF(INDEX(Base!$U$2:$U$601,MATCH(B234,Base!$A$2:$A$601,0))="","",INDEX(Base!$U$2:$U$601,MATCH(B234,Base!$A$2:$A$601,0)))</f>
        <v>Média</v>
      </c>
      <c r="M234">
        <f>INDEX(Base!$R$2:$R$601,MATCH(B234,Base!$A$2:$A$601,0))</f>
        <v>1</v>
      </c>
      <c r="N234" t="str">
        <f>INDEX(Base!$AB$2:$AB$601,MATCH(B234,Base!$A$2:$A$601,0))</f>
        <v>Média</v>
      </c>
      <c r="O234">
        <v>142</v>
      </c>
    </row>
    <row r="235" spans="1:16" x14ac:dyDescent="0.25">
      <c r="A235" t="s">
        <v>1157</v>
      </c>
      <c r="B235" t="s">
        <v>440</v>
      </c>
      <c r="C235" t="s">
        <v>918</v>
      </c>
      <c r="D235" t="s">
        <v>922</v>
      </c>
      <c r="E235">
        <v>1649.42</v>
      </c>
      <c r="F235">
        <v>7</v>
      </c>
      <c r="G235" t="str">
        <f>INDEX(Base!$D$2:$D$601,MATCH(B235,Base!$A$2:$A$601,0))</f>
        <v>Pequeno Escritório</v>
      </c>
      <c r="H235" t="str">
        <f>INDEX(Base!$C$2:$C$601,MATCH(B235,Base!$A$2:$A$601,0))</f>
        <v>Sudeste</v>
      </c>
      <c r="I235">
        <f>INDEX(Base!$M$2:$M$601,MATCH(B235,Base!$A$2:$A$601,0))</f>
        <v>1</v>
      </c>
      <c r="J235">
        <f t="shared" si="6"/>
        <v>1</v>
      </c>
      <c r="K235">
        <f t="shared" si="7"/>
        <v>1</v>
      </c>
      <c r="L235" t="str">
        <f>IF(INDEX(Base!$U$2:$U$601,MATCH(B235,Base!$A$2:$A$601,0))="","",INDEX(Base!$U$2:$U$601,MATCH(B235,Base!$A$2:$A$601,0)))</f>
        <v/>
      </c>
      <c r="M235">
        <f>INDEX(Base!$R$2:$R$601,MATCH(B235,Base!$A$2:$A$601,0))</f>
        <v>0</v>
      </c>
      <c r="N235" t="str">
        <f>INDEX(Base!$AB$2:$AB$601,MATCH(B235,Base!$A$2:$A$601,0))</f>
        <v>Média</v>
      </c>
      <c r="O235">
        <v>27</v>
      </c>
      <c r="P235" s="33">
        <v>45387</v>
      </c>
    </row>
    <row r="236" spans="1:16" x14ac:dyDescent="0.25">
      <c r="A236" t="s">
        <v>1158</v>
      </c>
      <c r="B236" t="s">
        <v>427</v>
      </c>
      <c r="C236" t="s">
        <v>981</v>
      </c>
      <c r="D236" t="s">
        <v>220</v>
      </c>
      <c r="F236">
        <v>6</v>
      </c>
      <c r="G236" t="str">
        <f>INDEX(Base!$D$2:$D$601,MATCH(B236,Base!$A$2:$A$601,0))</f>
        <v>Autônomo</v>
      </c>
      <c r="H236" t="str">
        <f>INDEX(Base!$C$2:$C$601,MATCH(B236,Base!$A$2:$A$601,0))</f>
        <v>Sul</v>
      </c>
      <c r="I236">
        <f>INDEX(Base!$M$2:$M$601,MATCH(B236,Base!$A$2:$A$601,0))</f>
        <v>0</v>
      </c>
      <c r="J236">
        <f t="shared" si="6"/>
        <v>0</v>
      </c>
      <c r="K236">
        <f t="shared" si="7"/>
        <v>0</v>
      </c>
      <c r="L236" t="str">
        <f>IF(INDEX(Base!$U$2:$U$601,MATCH(B236,Base!$A$2:$A$601,0))="","",INDEX(Base!$U$2:$U$601,MATCH(B236,Base!$A$2:$A$601,0)))</f>
        <v>Média</v>
      </c>
      <c r="M236">
        <f>INDEX(Base!$R$2:$R$601,MATCH(B236,Base!$A$2:$A$601,0))</f>
        <v>0</v>
      </c>
      <c r="N236" t="str">
        <f>INDEX(Base!$AB$2:$AB$601,MATCH(B236,Base!$A$2:$A$601,0))</f>
        <v>Baixa</v>
      </c>
      <c r="O236">
        <v>24</v>
      </c>
    </row>
    <row r="237" spans="1:16" x14ac:dyDescent="0.25">
      <c r="A237" t="s">
        <v>1159</v>
      </c>
      <c r="B237" t="s">
        <v>873</v>
      </c>
      <c r="C237" t="s">
        <v>927</v>
      </c>
      <c r="D237" t="s">
        <v>922</v>
      </c>
      <c r="E237">
        <v>826.66</v>
      </c>
      <c r="F237">
        <v>3</v>
      </c>
      <c r="G237" t="str">
        <f>INDEX(Base!$D$2:$D$601,MATCH(B237,Base!$A$2:$A$601,0))</f>
        <v>Autônomo</v>
      </c>
      <c r="H237" t="str">
        <f>INDEX(Base!$C$2:$C$601,MATCH(B237,Base!$A$2:$A$601,0))</f>
        <v>Norte</v>
      </c>
      <c r="I237">
        <f>INDEX(Base!$M$2:$M$601,MATCH(B237,Base!$A$2:$A$601,0))</f>
        <v>0</v>
      </c>
      <c r="J237">
        <f t="shared" si="6"/>
        <v>1</v>
      </c>
      <c r="K237">
        <f t="shared" si="7"/>
        <v>1</v>
      </c>
      <c r="L237" t="str">
        <f>IF(INDEX(Base!$U$2:$U$601,MATCH(B237,Base!$A$2:$A$601,0))="","",INDEX(Base!$U$2:$U$601,MATCH(B237,Base!$A$2:$A$601,0)))</f>
        <v>Baixa</v>
      </c>
      <c r="M237">
        <f>INDEX(Base!$R$2:$R$601,MATCH(B237,Base!$A$2:$A$601,0))</f>
        <v>0</v>
      </c>
      <c r="N237" t="str">
        <f>INDEX(Base!$AB$2:$AB$601,MATCH(B237,Base!$A$2:$A$601,0))</f>
        <v>Baixa</v>
      </c>
      <c r="O237">
        <v>41</v>
      </c>
      <c r="P237" s="33">
        <v>45849</v>
      </c>
    </row>
    <row r="238" spans="1:16" x14ac:dyDescent="0.25">
      <c r="A238" t="s">
        <v>1160</v>
      </c>
      <c r="B238" t="s">
        <v>794</v>
      </c>
      <c r="C238" t="s">
        <v>918</v>
      </c>
      <c r="D238" t="s">
        <v>216</v>
      </c>
      <c r="F238">
        <v>2</v>
      </c>
      <c r="G238" t="str">
        <f>INDEX(Base!$D$2:$D$601,MATCH(B238,Base!$A$2:$A$601,0))</f>
        <v>Pequeno Escritório</v>
      </c>
      <c r="H238" t="str">
        <f>INDEX(Base!$C$2:$C$601,MATCH(B238,Base!$A$2:$A$601,0))</f>
        <v>Sul</v>
      </c>
      <c r="I238">
        <f>INDEX(Base!$M$2:$M$601,MATCH(B238,Base!$A$2:$A$601,0))</f>
        <v>1</v>
      </c>
      <c r="J238">
        <f t="shared" si="6"/>
        <v>0</v>
      </c>
      <c r="K238">
        <f t="shared" si="7"/>
        <v>0</v>
      </c>
      <c r="L238" t="str">
        <f>IF(INDEX(Base!$U$2:$U$601,MATCH(B238,Base!$A$2:$A$601,0))="","",INDEX(Base!$U$2:$U$601,MATCH(B238,Base!$A$2:$A$601,0)))</f>
        <v/>
      </c>
      <c r="M238">
        <f>INDEX(Base!$R$2:$R$601,MATCH(B238,Base!$A$2:$A$601,0))</f>
        <v>0</v>
      </c>
      <c r="N238" t="str">
        <f>INDEX(Base!$AB$2:$AB$601,MATCH(B238,Base!$A$2:$A$601,0))</f>
        <v>Média</v>
      </c>
      <c r="O238">
        <v>168</v>
      </c>
    </row>
    <row r="239" spans="1:16" x14ac:dyDescent="0.25">
      <c r="A239" t="s">
        <v>1161</v>
      </c>
      <c r="B239" t="s">
        <v>465</v>
      </c>
      <c r="C239" t="s">
        <v>927</v>
      </c>
      <c r="D239" t="s">
        <v>216</v>
      </c>
      <c r="F239">
        <v>12</v>
      </c>
      <c r="G239" t="str">
        <f>INDEX(Base!$D$2:$D$601,MATCH(B239,Base!$A$2:$A$601,0))</f>
        <v>Grande Escritório</v>
      </c>
      <c r="H239" t="str">
        <f>INDEX(Base!$C$2:$C$601,MATCH(B239,Base!$A$2:$A$601,0))</f>
        <v>Sudeste</v>
      </c>
      <c r="I239">
        <f>INDEX(Base!$M$2:$M$601,MATCH(B239,Base!$A$2:$A$601,0))</f>
        <v>1</v>
      </c>
      <c r="J239">
        <f t="shared" si="6"/>
        <v>0</v>
      </c>
      <c r="K239">
        <f t="shared" si="7"/>
        <v>0</v>
      </c>
      <c r="L239" t="str">
        <f>IF(INDEX(Base!$U$2:$U$601,MATCH(B239,Base!$A$2:$A$601,0))="","",INDEX(Base!$U$2:$U$601,MATCH(B239,Base!$A$2:$A$601,0)))</f>
        <v/>
      </c>
      <c r="M239">
        <f>INDEX(Base!$R$2:$R$601,MATCH(B239,Base!$A$2:$A$601,0))</f>
        <v>1</v>
      </c>
      <c r="N239" t="str">
        <f>INDEX(Base!$AB$2:$AB$601,MATCH(B239,Base!$A$2:$A$601,0))</f>
        <v>Alta</v>
      </c>
      <c r="O239">
        <v>107</v>
      </c>
    </row>
    <row r="240" spans="1:16" x14ac:dyDescent="0.25">
      <c r="A240" t="s">
        <v>1162</v>
      </c>
      <c r="B240" t="s">
        <v>753</v>
      </c>
      <c r="C240" t="s">
        <v>934</v>
      </c>
      <c r="D240" t="s">
        <v>220</v>
      </c>
      <c r="F240">
        <v>5</v>
      </c>
      <c r="G240" t="str">
        <f>INDEX(Base!$D$2:$D$601,MATCH(B240,Base!$A$2:$A$601,0))</f>
        <v>Pequeno Escritório</v>
      </c>
      <c r="H240" t="str">
        <f>INDEX(Base!$C$2:$C$601,MATCH(B240,Base!$A$2:$A$601,0))</f>
        <v>Sul</v>
      </c>
      <c r="I240">
        <f>INDEX(Base!$M$2:$M$601,MATCH(B240,Base!$A$2:$A$601,0))</f>
        <v>0</v>
      </c>
      <c r="J240">
        <f t="shared" si="6"/>
        <v>0</v>
      </c>
      <c r="K240">
        <f t="shared" si="7"/>
        <v>0</v>
      </c>
      <c r="L240" t="str">
        <f>IF(INDEX(Base!$U$2:$U$601,MATCH(B240,Base!$A$2:$A$601,0))="","",INDEX(Base!$U$2:$U$601,MATCH(B240,Base!$A$2:$A$601,0)))</f>
        <v>Alta</v>
      </c>
      <c r="M240">
        <f>INDEX(Base!$R$2:$R$601,MATCH(B240,Base!$A$2:$A$601,0))</f>
        <v>1</v>
      </c>
      <c r="N240" t="str">
        <f>INDEX(Base!$AB$2:$AB$601,MATCH(B240,Base!$A$2:$A$601,0))</f>
        <v>Média</v>
      </c>
      <c r="O240">
        <v>34</v>
      </c>
    </row>
    <row r="241" spans="1:16" x14ac:dyDescent="0.25">
      <c r="A241" t="s">
        <v>1163</v>
      </c>
      <c r="B241" t="s">
        <v>535</v>
      </c>
      <c r="C241" t="s">
        <v>927</v>
      </c>
      <c r="D241" t="s">
        <v>218</v>
      </c>
      <c r="F241">
        <v>12</v>
      </c>
      <c r="G241" t="str">
        <f>INDEX(Base!$D$2:$D$601,MATCH(B241,Base!$A$2:$A$601,0))</f>
        <v>Médio Escritório</v>
      </c>
      <c r="H241" t="str">
        <f>INDEX(Base!$C$2:$C$601,MATCH(B241,Base!$A$2:$A$601,0))</f>
        <v>Norte</v>
      </c>
      <c r="I241">
        <f>INDEX(Base!$M$2:$M$601,MATCH(B241,Base!$A$2:$A$601,0))</f>
        <v>1</v>
      </c>
      <c r="J241">
        <f t="shared" si="6"/>
        <v>0</v>
      </c>
      <c r="K241">
        <f t="shared" si="7"/>
        <v>0</v>
      </c>
      <c r="L241" t="str">
        <f>IF(INDEX(Base!$U$2:$U$601,MATCH(B241,Base!$A$2:$A$601,0))="","",INDEX(Base!$U$2:$U$601,MATCH(B241,Base!$A$2:$A$601,0)))</f>
        <v/>
      </c>
      <c r="M241">
        <f>INDEX(Base!$R$2:$R$601,MATCH(B241,Base!$A$2:$A$601,0))</f>
        <v>1</v>
      </c>
      <c r="N241" t="str">
        <f>INDEX(Base!$AB$2:$AB$601,MATCH(B241,Base!$A$2:$A$601,0))</f>
        <v>Alta</v>
      </c>
      <c r="O241">
        <v>123</v>
      </c>
    </row>
    <row r="242" spans="1:16" x14ac:dyDescent="0.25">
      <c r="A242" t="s">
        <v>1164</v>
      </c>
      <c r="B242" t="s">
        <v>564</v>
      </c>
      <c r="C242" t="s">
        <v>921</v>
      </c>
      <c r="D242" t="s">
        <v>220</v>
      </c>
      <c r="F242">
        <v>11</v>
      </c>
      <c r="G242" t="str">
        <f>INDEX(Base!$D$2:$D$601,MATCH(B242,Base!$A$2:$A$601,0))</f>
        <v>Grande Escritório</v>
      </c>
      <c r="H242" t="str">
        <f>INDEX(Base!$C$2:$C$601,MATCH(B242,Base!$A$2:$A$601,0))</f>
        <v>Sudeste</v>
      </c>
      <c r="I242">
        <f>INDEX(Base!$M$2:$M$601,MATCH(B242,Base!$A$2:$A$601,0))</f>
        <v>1</v>
      </c>
      <c r="J242">
        <f t="shared" si="6"/>
        <v>0</v>
      </c>
      <c r="K242">
        <f t="shared" si="7"/>
        <v>0</v>
      </c>
      <c r="L242" t="str">
        <f>IF(INDEX(Base!$U$2:$U$601,MATCH(B242,Base!$A$2:$A$601,0))="","",INDEX(Base!$U$2:$U$601,MATCH(B242,Base!$A$2:$A$601,0)))</f>
        <v/>
      </c>
      <c r="M242">
        <f>INDEX(Base!$R$2:$R$601,MATCH(B242,Base!$A$2:$A$601,0))</f>
        <v>1</v>
      </c>
      <c r="N242" t="str">
        <f>INDEX(Base!$AB$2:$AB$601,MATCH(B242,Base!$A$2:$A$601,0))</f>
        <v>Alta</v>
      </c>
      <c r="O242">
        <v>67</v>
      </c>
    </row>
    <row r="243" spans="1:16" x14ac:dyDescent="0.25">
      <c r="A243" t="s">
        <v>1165</v>
      </c>
      <c r="B243" t="s">
        <v>429</v>
      </c>
      <c r="C243" t="s">
        <v>927</v>
      </c>
      <c r="D243" t="s">
        <v>220</v>
      </c>
      <c r="F243">
        <v>5</v>
      </c>
      <c r="G243" t="str">
        <f>INDEX(Base!$D$2:$D$601,MATCH(B243,Base!$A$2:$A$601,0))</f>
        <v>Pequeno Escritório</v>
      </c>
      <c r="H243" t="str">
        <f>INDEX(Base!$C$2:$C$601,MATCH(B243,Base!$A$2:$A$601,0))</f>
        <v>Sul</v>
      </c>
      <c r="I243">
        <f>INDEX(Base!$M$2:$M$601,MATCH(B243,Base!$A$2:$A$601,0))</f>
        <v>0</v>
      </c>
      <c r="J243">
        <f t="shared" si="6"/>
        <v>0</v>
      </c>
      <c r="K243">
        <f t="shared" si="7"/>
        <v>0</v>
      </c>
      <c r="L243" t="str">
        <f>IF(INDEX(Base!$U$2:$U$601,MATCH(B243,Base!$A$2:$A$601,0))="","",INDEX(Base!$U$2:$U$601,MATCH(B243,Base!$A$2:$A$601,0)))</f>
        <v>Média</v>
      </c>
      <c r="M243">
        <f>INDEX(Base!$R$2:$R$601,MATCH(B243,Base!$A$2:$A$601,0))</f>
        <v>0</v>
      </c>
      <c r="N243" t="str">
        <f>INDEX(Base!$AB$2:$AB$601,MATCH(B243,Base!$A$2:$A$601,0))</f>
        <v>Média</v>
      </c>
      <c r="O243">
        <v>46</v>
      </c>
    </row>
    <row r="244" spans="1:16" x14ac:dyDescent="0.25">
      <c r="A244" t="s">
        <v>1166</v>
      </c>
      <c r="B244" t="s">
        <v>435</v>
      </c>
      <c r="C244" t="s">
        <v>918</v>
      </c>
      <c r="D244" t="s">
        <v>220</v>
      </c>
      <c r="F244">
        <v>5</v>
      </c>
      <c r="G244" t="str">
        <f>INDEX(Base!$D$2:$D$601,MATCH(B244,Base!$A$2:$A$601,0))</f>
        <v>Pequeno Escritório</v>
      </c>
      <c r="H244" t="str">
        <f>INDEX(Base!$C$2:$C$601,MATCH(B244,Base!$A$2:$A$601,0))</f>
        <v>Nordeste</v>
      </c>
      <c r="I244">
        <f>INDEX(Base!$M$2:$M$601,MATCH(B244,Base!$A$2:$A$601,0))</f>
        <v>0</v>
      </c>
      <c r="J244">
        <f t="shared" si="6"/>
        <v>0</v>
      </c>
      <c r="K244">
        <f t="shared" si="7"/>
        <v>0</v>
      </c>
      <c r="L244" t="str">
        <f>IF(INDEX(Base!$U$2:$U$601,MATCH(B244,Base!$A$2:$A$601,0))="","",INDEX(Base!$U$2:$U$601,MATCH(B244,Base!$A$2:$A$601,0)))</f>
        <v>Alta</v>
      </c>
      <c r="M244">
        <f>INDEX(Base!$R$2:$R$601,MATCH(B244,Base!$A$2:$A$601,0))</f>
        <v>0</v>
      </c>
      <c r="N244" t="str">
        <f>INDEX(Base!$AB$2:$AB$601,MATCH(B244,Base!$A$2:$A$601,0))</f>
        <v>Média</v>
      </c>
      <c r="O244">
        <v>36</v>
      </c>
    </row>
    <row r="245" spans="1:16" x14ac:dyDescent="0.25">
      <c r="A245" t="s">
        <v>1167</v>
      </c>
      <c r="B245" t="s">
        <v>800</v>
      </c>
      <c r="C245" t="s">
        <v>921</v>
      </c>
      <c r="D245" t="s">
        <v>218</v>
      </c>
      <c r="F245">
        <v>11</v>
      </c>
      <c r="G245" t="str">
        <f>INDEX(Base!$D$2:$D$601,MATCH(B245,Base!$A$2:$A$601,0))</f>
        <v>Pequeno Escritório</v>
      </c>
      <c r="H245" t="str">
        <f>INDEX(Base!$C$2:$C$601,MATCH(B245,Base!$A$2:$A$601,0))</f>
        <v>Sudeste</v>
      </c>
      <c r="I245">
        <f>INDEX(Base!$M$2:$M$601,MATCH(B245,Base!$A$2:$A$601,0))</f>
        <v>0</v>
      </c>
      <c r="J245">
        <f t="shared" si="6"/>
        <v>0</v>
      </c>
      <c r="K245">
        <f t="shared" si="7"/>
        <v>0</v>
      </c>
      <c r="L245" t="str">
        <f>IF(INDEX(Base!$U$2:$U$601,MATCH(B245,Base!$A$2:$A$601,0))="","",INDEX(Base!$U$2:$U$601,MATCH(B245,Base!$A$2:$A$601,0)))</f>
        <v/>
      </c>
      <c r="M245">
        <f>INDEX(Base!$R$2:$R$601,MATCH(B245,Base!$A$2:$A$601,0))</f>
        <v>1</v>
      </c>
      <c r="N245" t="str">
        <f>INDEX(Base!$AB$2:$AB$601,MATCH(B245,Base!$A$2:$A$601,0))</f>
        <v>Média</v>
      </c>
      <c r="O245">
        <v>7</v>
      </c>
    </row>
    <row r="246" spans="1:16" x14ac:dyDescent="0.25">
      <c r="A246" t="s">
        <v>1168</v>
      </c>
      <c r="B246" t="s">
        <v>742</v>
      </c>
      <c r="C246" t="s">
        <v>927</v>
      </c>
      <c r="D246" t="s">
        <v>216</v>
      </c>
      <c r="F246">
        <v>3</v>
      </c>
      <c r="G246" t="str">
        <f>INDEX(Base!$D$2:$D$601,MATCH(B246,Base!$A$2:$A$601,0))</f>
        <v>Grande Escritório</v>
      </c>
      <c r="H246" t="str">
        <f>INDEX(Base!$C$2:$C$601,MATCH(B246,Base!$A$2:$A$601,0))</f>
        <v>Sudeste</v>
      </c>
      <c r="I246">
        <f>INDEX(Base!$M$2:$M$601,MATCH(B246,Base!$A$2:$A$601,0))</f>
        <v>1</v>
      </c>
      <c r="J246">
        <f t="shared" si="6"/>
        <v>0</v>
      </c>
      <c r="K246">
        <f t="shared" si="7"/>
        <v>0</v>
      </c>
      <c r="L246" t="str">
        <f>IF(INDEX(Base!$U$2:$U$601,MATCH(B246,Base!$A$2:$A$601,0))="","",INDEX(Base!$U$2:$U$601,MATCH(B246,Base!$A$2:$A$601,0)))</f>
        <v/>
      </c>
      <c r="M246">
        <f>INDEX(Base!$R$2:$R$601,MATCH(B246,Base!$A$2:$A$601,0))</f>
        <v>1</v>
      </c>
      <c r="N246" t="str">
        <f>INDEX(Base!$AB$2:$AB$601,MATCH(B246,Base!$A$2:$A$601,0))</f>
        <v>Alta</v>
      </c>
      <c r="O246">
        <v>60</v>
      </c>
    </row>
    <row r="247" spans="1:16" x14ac:dyDescent="0.25">
      <c r="A247" t="s">
        <v>1169</v>
      </c>
      <c r="B247" t="s">
        <v>418</v>
      </c>
      <c r="C247" t="s">
        <v>927</v>
      </c>
      <c r="D247" t="s">
        <v>215</v>
      </c>
      <c r="F247">
        <v>8</v>
      </c>
      <c r="G247" t="str">
        <f>INDEX(Base!$D$2:$D$601,MATCH(B247,Base!$A$2:$A$601,0))</f>
        <v>Grande Escritório</v>
      </c>
      <c r="H247" t="str">
        <f>INDEX(Base!$C$2:$C$601,MATCH(B247,Base!$A$2:$A$601,0))</f>
        <v>Sudeste</v>
      </c>
      <c r="I247">
        <f>INDEX(Base!$M$2:$M$601,MATCH(B247,Base!$A$2:$A$601,0))</f>
        <v>1</v>
      </c>
      <c r="J247">
        <f t="shared" si="6"/>
        <v>0</v>
      </c>
      <c r="K247">
        <f t="shared" si="7"/>
        <v>0</v>
      </c>
      <c r="L247" t="str">
        <f>IF(INDEX(Base!$U$2:$U$601,MATCH(B247,Base!$A$2:$A$601,0))="","",INDEX(Base!$U$2:$U$601,MATCH(B247,Base!$A$2:$A$601,0)))</f>
        <v/>
      </c>
      <c r="M247">
        <f>INDEX(Base!$R$2:$R$601,MATCH(B247,Base!$A$2:$A$601,0))</f>
        <v>1</v>
      </c>
      <c r="N247" t="str">
        <f>INDEX(Base!$AB$2:$AB$601,MATCH(B247,Base!$A$2:$A$601,0))</f>
        <v>Alta</v>
      </c>
      <c r="O247">
        <v>17</v>
      </c>
    </row>
    <row r="248" spans="1:16" x14ac:dyDescent="0.25">
      <c r="A248" t="s">
        <v>1170</v>
      </c>
      <c r="B248" t="s">
        <v>413</v>
      </c>
      <c r="C248" t="s">
        <v>927</v>
      </c>
      <c r="D248" t="s">
        <v>922</v>
      </c>
      <c r="E248">
        <v>1630.07</v>
      </c>
      <c r="F248">
        <v>7</v>
      </c>
      <c r="G248" t="str">
        <f>INDEX(Base!$D$2:$D$601,MATCH(B248,Base!$A$2:$A$601,0))</f>
        <v>Pequeno Escritório</v>
      </c>
      <c r="H248" t="str">
        <f>INDEX(Base!$C$2:$C$601,MATCH(B248,Base!$A$2:$A$601,0))</f>
        <v>Sudeste</v>
      </c>
      <c r="I248">
        <f>INDEX(Base!$M$2:$M$601,MATCH(B248,Base!$A$2:$A$601,0))</f>
        <v>0</v>
      </c>
      <c r="J248">
        <f t="shared" si="6"/>
        <v>1</v>
      </c>
      <c r="K248">
        <f t="shared" si="7"/>
        <v>1</v>
      </c>
      <c r="L248" t="str">
        <f>IF(INDEX(Base!$U$2:$U$601,MATCH(B248,Base!$A$2:$A$601,0))="","",INDEX(Base!$U$2:$U$601,MATCH(B248,Base!$A$2:$A$601,0)))</f>
        <v>Média</v>
      </c>
      <c r="M248">
        <f>INDEX(Base!$R$2:$R$601,MATCH(B248,Base!$A$2:$A$601,0))</f>
        <v>0</v>
      </c>
      <c r="N248" t="str">
        <f>INDEX(Base!$AB$2:$AB$601,MATCH(B248,Base!$A$2:$A$601,0))</f>
        <v>Média</v>
      </c>
      <c r="O248">
        <v>84</v>
      </c>
      <c r="P248" s="33">
        <v>45911</v>
      </c>
    </row>
    <row r="249" spans="1:16" x14ac:dyDescent="0.25">
      <c r="A249" t="s">
        <v>1171</v>
      </c>
      <c r="B249" t="s">
        <v>781</v>
      </c>
      <c r="C249" t="s">
        <v>927</v>
      </c>
      <c r="D249" t="s">
        <v>220</v>
      </c>
      <c r="F249">
        <v>1</v>
      </c>
      <c r="G249" t="str">
        <f>INDEX(Base!$D$2:$D$601,MATCH(B249,Base!$A$2:$A$601,0))</f>
        <v>Pequeno Escritório</v>
      </c>
      <c r="H249" t="str">
        <f>INDEX(Base!$C$2:$C$601,MATCH(B249,Base!$A$2:$A$601,0))</f>
        <v>Nordeste</v>
      </c>
      <c r="I249">
        <f>INDEX(Base!$M$2:$M$601,MATCH(B249,Base!$A$2:$A$601,0))</f>
        <v>0</v>
      </c>
      <c r="J249">
        <f t="shared" si="6"/>
        <v>0</v>
      </c>
      <c r="K249">
        <f t="shared" si="7"/>
        <v>0</v>
      </c>
      <c r="L249" t="str">
        <f>IF(INDEX(Base!$U$2:$U$601,MATCH(B249,Base!$A$2:$A$601,0))="","",INDEX(Base!$U$2:$U$601,MATCH(B249,Base!$A$2:$A$601,0)))</f>
        <v>Média</v>
      </c>
      <c r="M249">
        <f>INDEX(Base!$R$2:$R$601,MATCH(B249,Base!$A$2:$A$601,0))</f>
        <v>0</v>
      </c>
      <c r="N249" t="str">
        <f>INDEX(Base!$AB$2:$AB$601,MATCH(B249,Base!$A$2:$A$601,0))</f>
        <v>Média</v>
      </c>
      <c r="O249">
        <v>17</v>
      </c>
    </row>
    <row r="250" spans="1:16" x14ac:dyDescent="0.25">
      <c r="A250" t="s">
        <v>1172</v>
      </c>
      <c r="B250" t="s">
        <v>311</v>
      </c>
      <c r="C250" t="s">
        <v>927</v>
      </c>
      <c r="D250" t="s">
        <v>919</v>
      </c>
      <c r="F250">
        <v>4</v>
      </c>
      <c r="G250" t="str">
        <f>INDEX(Base!$D$2:$D$601,MATCH(B250,Base!$A$2:$A$601,0))</f>
        <v>Autônomo</v>
      </c>
      <c r="H250" t="str">
        <f>INDEX(Base!$C$2:$C$601,MATCH(B250,Base!$A$2:$A$601,0))</f>
        <v>Sul</v>
      </c>
      <c r="I250">
        <f>INDEX(Base!$M$2:$M$601,MATCH(B250,Base!$A$2:$A$601,0))</f>
        <v>0</v>
      </c>
      <c r="J250">
        <f t="shared" si="6"/>
        <v>1</v>
      </c>
      <c r="K250">
        <f t="shared" si="7"/>
        <v>0</v>
      </c>
      <c r="L250" t="str">
        <f>IF(INDEX(Base!$U$2:$U$601,MATCH(B250,Base!$A$2:$A$601,0))="","",INDEX(Base!$U$2:$U$601,MATCH(B250,Base!$A$2:$A$601,0)))</f>
        <v>Média</v>
      </c>
      <c r="M250">
        <f>INDEX(Base!$R$2:$R$601,MATCH(B250,Base!$A$2:$A$601,0))</f>
        <v>0</v>
      </c>
      <c r="N250" t="str">
        <f>INDEX(Base!$AB$2:$AB$601,MATCH(B250,Base!$A$2:$A$601,0))</f>
        <v>Baixa</v>
      </c>
      <c r="O250">
        <v>56</v>
      </c>
    </row>
    <row r="251" spans="1:16" x14ac:dyDescent="0.25">
      <c r="A251" t="s">
        <v>1173</v>
      </c>
      <c r="B251" t="s">
        <v>891</v>
      </c>
      <c r="C251" t="s">
        <v>918</v>
      </c>
      <c r="D251" t="s">
        <v>221</v>
      </c>
      <c r="F251">
        <v>6</v>
      </c>
      <c r="G251" t="str">
        <f>INDEX(Base!$D$2:$D$601,MATCH(B251,Base!$A$2:$A$601,0))</f>
        <v>Autônomo</v>
      </c>
      <c r="H251" t="str">
        <f>INDEX(Base!$C$2:$C$601,MATCH(B251,Base!$A$2:$A$601,0))</f>
        <v>Sudeste</v>
      </c>
      <c r="I251">
        <f>INDEX(Base!$M$2:$M$601,MATCH(B251,Base!$A$2:$A$601,0))</f>
        <v>0</v>
      </c>
      <c r="J251">
        <f t="shared" si="6"/>
        <v>0</v>
      </c>
      <c r="K251">
        <f t="shared" si="7"/>
        <v>0</v>
      </c>
      <c r="L251" t="str">
        <f>IF(INDEX(Base!$U$2:$U$601,MATCH(B251,Base!$A$2:$A$601,0))="","",INDEX(Base!$U$2:$U$601,MATCH(B251,Base!$A$2:$A$601,0)))</f>
        <v>Baixa</v>
      </c>
      <c r="M251">
        <f>INDEX(Base!$R$2:$R$601,MATCH(B251,Base!$A$2:$A$601,0))</f>
        <v>0</v>
      </c>
      <c r="N251" t="str">
        <f>INDEX(Base!$AB$2:$AB$601,MATCH(B251,Base!$A$2:$A$601,0))</f>
        <v>Média</v>
      </c>
      <c r="O251">
        <v>54</v>
      </c>
    </row>
    <row r="252" spans="1:16" x14ac:dyDescent="0.25">
      <c r="A252" t="s">
        <v>1174</v>
      </c>
      <c r="B252" t="s">
        <v>447</v>
      </c>
      <c r="C252" t="s">
        <v>927</v>
      </c>
      <c r="D252" t="s">
        <v>218</v>
      </c>
      <c r="F252">
        <v>2</v>
      </c>
      <c r="G252" t="str">
        <f>INDEX(Base!$D$2:$D$601,MATCH(B252,Base!$A$2:$A$601,0))</f>
        <v>Pequeno Escritório</v>
      </c>
      <c r="H252" t="str">
        <f>INDEX(Base!$C$2:$C$601,MATCH(B252,Base!$A$2:$A$601,0))</f>
        <v>Sul</v>
      </c>
      <c r="I252">
        <f>INDEX(Base!$M$2:$M$601,MATCH(B252,Base!$A$2:$A$601,0))</f>
        <v>0</v>
      </c>
      <c r="J252">
        <f t="shared" si="6"/>
        <v>0</v>
      </c>
      <c r="K252">
        <f t="shared" si="7"/>
        <v>0</v>
      </c>
      <c r="L252" t="str">
        <f>IF(INDEX(Base!$U$2:$U$601,MATCH(B252,Base!$A$2:$A$601,0))="","",INDEX(Base!$U$2:$U$601,MATCH(B252,Base!$A$2:$A$601,0)))</f>
        <v>Média</v>
      </c>
      <c r="M252">
        <f>INDEX(Base!$R$2:$R$601,MATCH(B252,Base!$A$2:$A$601,0))</f>
        <v>0</v>
      </c>
      <c r="N252" t="str">
        <f>INDEX(Base!$AB$2:$AB$601,MATCH(B252,Base!$A$2:$A$601,0))</f>
        <v>Média</v>
      </c>
      <c r="O252">
        <v>175</v>
      </c>
    </row>
    <row r="253" spans="1:16" x14ac:dyDescent="0.25">
      <c r="A253" t="s">
        <v>1175</v>
      </c>
      <c r="B253" t="s">
        <v>576</v>
      </c>
      <c r="C253" t="s">
        <v>918</v>
      </c>
      <c r="D253" t="s">
        <v>216</v>
      </c>
      <c r="F253">
        <v>2</v>
      </c>
      <c r="G253" t="str">
        <f>INDEX(Base!$D$2:$D$601,MATCH(B253,Base!$A$2:$A$601,0))</f>
        <v>Médio Escritório</v>
      </c>
      <c r="H253" t="str">
        <f>INDEX(Base!$C$2:$C$601,MATCH(B253,Base!$A$2:$A$601,0))</f>
        <v>Nordeste</v>
      </c>
      <c r="I253">
        <f>INDEX(Base!$M$2:$M$601,MATCH(B253,Base!$A$2:$A$601,0))</f>
        <v>0</v>
      </c>
      <c r="J253">
        <f t="shared" si="6"/>
        <v>0</v>
      </c>
      <c r="K253">
        <f t="shared" si="7"/>
        <v>0</v>
      </c>
      <c r="L253" t="str">
        <f>IF(INDEX(Base!$U$2:$U$601,MATCH(B253,Base!$A$2:$A$601,0))="","",INDEX(Base!$U$2:$U$601,MATCH(B253,Base!$A$2:$A$601,0)))</f>
        <v/>
      </c>
      <c r="M253">
        <f>INDEX(Base!$R$2:$R$601,MATCH(B253,Base!$A$2:$A$601,0))</f>
        <v>1</v>
      </c>
      <c r="N253" t="str">
        <f>INDEX(Base!$AB$2:$AB$601,MATCH(B253,Base!$A$2:$A$601,0))</f>
        <v>Alta</v>
      </c>
      <c r="O253">
        <v>88</v>
      </c>
    </row>
    <row r="254" spans="1:16" x14ac:dyDescent="0.25">
      <c r="A254" t="s">
        <v>1176</v>
      </c>
      <c r="B254" t="s">
        <v>454</v>
      </c>
      <c r="C254" t="s">
        <v>918</v>
      </c>
      <c r="D254" t="s">
        <v>922</v>
      </c>
      <c r="E254">
        <v>801.86</v>
      </c>
      <c r="F254">
        <v>7</v>
      </c>
      <c r="G254" t="str">
        <f>INDEX(Base!$D$2:$D$601,MATCH(B254,Base!$A$2:$A$601,0))</f>
        <v>Pequeno Escritório</v>
      </c>
      <c r="H254" t="str">
        <f>INDEX(Base!$C$2:$C$601,MATCH(B254,Base!$A$2:$A$601,0))</f>
        <v>Sudeste</v>
      </c>
      <c r="I254">
        <f>INDEX(Base!$M$2:$M$601,MATCH(B254,Base!$A$2:$A$601,0))</f>
        <v>0</v>
      </c>
      <c r="J254">
        <f t="shared" si="6"/>
        <v>1</v>
      </c>
      <c r="K254">
        <f t="shared" si="7"/>
        <v>1</v>
      </c>
      <c r="L254" t="str">
        <f>IF(INDEX(Base!$U$2:$U$601,MATCH(B254,Base!$A$2:$A$601,0))="","",INDEX(Base!$U$2:$U$601,MATCH(B254,Base!$A$2:$A$601,0)))</f>
        <v>Baixa</v>
      </c>
      <c r="M254">
        <f>INDEX(Base!$R$2:$R$601,MATCH(B254,Base!$A$2:$A$601,0))</f>
        <v>0</v>
      </c>
      <c r="N254" t="str">
        <f>INDEX(Base!$AB$2:$AB$601,MATCH(B254,Base!$A$2:$A$601,0))</f>
        <v>Média</v>
      </c>
      <c r="O254">
        <v>69</v>
      </c>
      <c r="P254" s="33">
        <v>45555</v>
      </c>
    </row>
    <row r="255" spans="1:16" x14ac:dyDescent="0.25">
      <c r="A255" t="s">
        <v>1177</v>
      </c>
      <c r="B255" t="s">
        <v>655</v>
      </c>
      <c r="C255" t="s">
        <v>918</v>
      </c>
      <c r="D255" t="s">
        <v>216</v>
      </c>
      <c r="F255">
        <v>3</v>
      </c>
      <c r="G255" t="str">
        <f>INDEX(Base!$D$2:$D$601,MATCH(B255,Base!$A$2:$A$601,0))</f>
        <v>Médio Escritório</v>
      </c>
      <c r="H255" t="str">
        <f>INDEX(Base!$C$2:$C$601,MATCH(B255,Base!$A$2:$A$601,0))</f>
        <v>Sudeste</v>
      </c>
      <c r="I255">
        <f>INDEX(Base!$M$2:$M$601,MATCH(B255,Base!$A$2:$A$601,0))</f>
        <v>1</v>
      </c>
      <c r="J255">
        <f t="shared" si="6"/>
        <v>0</v>
      </c>
      <c r="K255">
        <f t="shared" si="7"/>
        <v>0</v>
      </c>
      <c r="L255" t="str">
        <f>IF(INDEX(Base!$U$2:$U$601,MATCH(B255,Base!$A$2:$A$601,0))="","",INDEX(Base!$U$2:$U$601,MATCH(B255,Base!$A$2:$A$601,0)))</f>
        <v/>
      </c>
      <c r="M255">
        <f>INDEX(Base!$R$2:$R$601,MATCH(B255,Base!$A$2:$A$601,0))</f>
        <v>1</v>
      </c>
      <c r="N255" t="str">
        <f>INDEX(Base!$AB$2:$AB$601,MATCH(B255,Base!$A$2:$A$601,0))</f>
        <v>Alta</v>
      </c>
      <c r="O255">
        <v>8</v>
      </c>
    </row>
    <row r="256" spans="1:16" x14ac:dyDescent="0.25">
      <c r="A256" t="s">
        <v>1178</v>
      </c>
      <c r="B256" t="s">
        <v>694</v>
      </c>
      <c r="C256" t="s">
        <v>921</v>
      </c>
      <c r="D256" t="s">
        <v>220</v>
      </c>
      <c r="F256">
        <v>4</v>
      </c>
      <c r="G256" t="str">
        <f>INDEX(Base!$D$2:$D$601,MATCH(B256,Base!$A$2:$A$601,0))</f>
        <v>Pequeno Escritório</v>
      </c>
      <c r="H256" t="str">
        <f>INDEX(Base!$C$2:$C$601,MATCH(B256,Base!$A$2:$A$601,0))</f>
        <v>Nordeste</v>
      </c>
      <c r="I256">
        <f>INDEX(Base!$M$2:$M$601,MATCH(B256,Base!$A$2:$A$601,0))</f>
        <v>0</v>
      </c>
      <c r="J256">
        <f t="shared" si="6"/>
        <v>0</v>
      </c>
      <c r="K256">
        <f t="shared" si="7"/>
        <v>0</v>
      </c>
      <c r="L256" t="str">
        <f>IF(INDEX(Base!$U$2:$U$601,MATCH(B256,Base!$A$2:$A$601,0))="","",INDEX(Base!$U$2:$U$601,MATCH(B256,Base!$A$2:$A$601,0)))</f>
        <v>Média</v>
      </c>
      <c r="M256">
        <f>INDEX(Base!$R$2:$R$601,MATCH(B256,Base!$A$2:$A$601,0))</f>
        <v>1</v>
      </c>
      <c r="N256" t="str">
        <f>INDEX(Base!$AB$2:$AB$601,MATCH(B256,Base!$A$2:$A$601,0))</f>
        <v>Alta</v>
      </c>
      <c r="O256">
        <v>122</v>
      </c>
    </row>
    <row r="257" spans="1:16" x14ac:dyDescent="0.25">
      <c r="A257" t="s">
        <v>1179</v>
      </c>
      <c r="B257" t="s">
        <v>352</v>
      </c>
      <c r="C257" t="s">
        <v>918</v>
      </c>
      <c r="D257" t="s">
        <v>922</v>
      </c>
      <c r="E257">
        <v>222.5</v>
      </c>
      <c r="F257">
        <v>4</v>
      </c>
      <c r="G257" t="str">
        <f>INDEX(Base!$D$2:$D$601,MATCH(B257,Base!$A$2:$A$601,0))</f>
        <v>Autônomo</v>
      </c>
      <c r="H257" t="str">
        <f>INDEX(Base!$C$2:$C$601,MATCH(B257,Base!$A$2:$A$601,0))</f>
        <v>Sudeste</v>
      </c>
      <c r="I257">
        <f>INDEX(Base!$M$2:$M$601,MATCH(B257,Base!$A$2:$A$601,0))</f>
        <v>0</v>
      </c>
      <c r="J257">
        <f t="shared" si="6"/>
        <v>1</v>
      </c>
      <c r="K257">
        <f t="shared" si="7"/>
        <v>1</v>
      </c>
      <c r="L257" t="str">
        <f>IF(INDEX(Base!$U$2:$U$601,MATCH(B257,Base!$A$2:$A$601,0))="","",INDEX(Base!$U$2:$U$601,MATCH(B257,Base!$A$2:$A$601,0)))</f>
        <v>Baixa</v>
      </c>
      <c r="M257">
        <f>INDEX(Base!$R$2:$R$601,MATCH(B257,Base!$A$2:$A$601,0))</f>
        <v>0</v>
      </c>
      <c r="N257" t="str">
        <f>INDEX(Base!$AB$2:$AB$601,MATCH(B257,Base!$A$2:$A$601,0))</f>
        <v>Baixa</v>
      </c>
      <c r="O257">
        <v>47</v>
      </c>
      <c r="P257" s="33">
        <v>45624</v>
      </c>
    </row>
    <row r="258" spans="1:16" x14ac:dyDescent="0.25">
      <c r="A258" t="s">
        <v>1180</v>
      </c>
      <c r="B258" t="s">
        <v>587</v>
      </c>
      <c r="C258" t="s">
        <v>921</v>
      </c>
      <c r="D258" t="s">
        <v>215</v>
      </c>
      <c r="F258">
        <v>2</v>
      </c>
      <c r="G258" t="str">
        <f>INDEX(Base!$D$2:$D$601,MATCH(B258,Base!$A$2:$A$601,0))</f>
        <v>Autônomo</v>
      </c>
      <c r="H258" t="str">
        <f>INDEX(Base!$C$2:$C$601,MATCH(B258,Base!$A$2:$A$601,0))</f>
        <v>Sudeste</v>
      </c>
      <c r="I258">
        <f>INDEX(Base!$M$2:$M$601,MATCH(B258,Base!$A$2:$A$601,0))</f>
        <v>0</v>
      </c>
      <c r="J258">
        <f t="shared" ref="J258:J321" si="8">IF(OR(D258="Ganho",D258="Perdido"),1,0)</f>
        <v>0</v>
      </c>
      <c r="K258">
        <f t="shared" ref="K258:K321" si="9">IF(D258="Ganho",1,0)</f>
        <v>0</v>
      </c>
      <c r="L258" t="str">
        <f>IF(INDEX(Base!$U$2:$U$601,MATCH(B258,Base!$A$2:$A$601,0))="","",INDEX(Base!$U$2:$U$601,MATCH(B258,Base!$A$2:$A$601,0)))</f>
        <v>Baixa</v>
      </c>
      <c r="M258">
        <f>INDEX(Base!$R$2:$R$601,MATCH(B258,Base!$A$2:$A$601,0))</f>
        <v>0</v>
      </c>
      <c r="N258" t="str">
        <f>INDEX(Base!$AB$2:$AB$601,MATCH(B258,Base!$A$2:$A$601,0))</f>
        <v>Média</v>
      </c>
      <c r="O258">
        <v>142</v>
      </c>
    </row>
    <row r="259" spans="1:16" x14ac:dyDescent="0.25">
      <c r="A259" t="s">
        <v>1181</v>
      </c>
      <c r="B259" t="s">
        <v>828</v>
      </c>
      <c r="C259" t="s">
        <v>927</v>
      </c>
      <c r="D259" t="s">
        <v>218</v>
      </c>
      <c r="F259">
        <v>2</v>
      </c>
      <c r="G259" t="str">
        <f>INDEX(Base!$D$2:$D$601,MATCH(B259,Base!$A$2:$A$601,0))</f>
        <v>Pequeno Escritório</v>
      </c>
      <c r="H259" t="str">
        <f>INDEX(Base!$C$2:$C$601,MATCH(B259,Base!$A$2:$A$601,0))</f>
        <v>Sul</v>
      </c>
      <c r="I259">
        <f>INDEX(Base!$M$2:$M$601,MATCH(B259,Base!$A$2:$A$601,0))</f>
        <v>1</v>
      </c>
      <c r="J259">
        <f t="shared" si="8"/>
        <v>0</v>
      </c>
      <c r="K259">
        <f t="shared" si="9"/>
        <v>0</v>
      </c>
      <c r="L259" t="str">
        <f>IF(INDEX(Base!$U$2:$U$601,MATCH(B259,Base!$A$2:$A$601,0))="","",INDEX(Base!$U$2:$U$601,MATCH(B259,Base!$A$2:$A$601,0)))</f>
        <v/>
      </c>
      <c r="M259">
        <f>INDEX(Base!$R$2:$R$601,MATCH(B259,Base!$A$2:$A$601,0))</f>
        <v>0</v>
      </c>
      <c r="N259" t="str">
        <f>INDEX(Base!$AB$2:$AB$601,MATCH(B259,Base!$A$2:$A$601,0))</f>
        <v>Média</v>
      </c>
      <c r="O259">
        <v>158</v>
      </c>
    </row>
    <row r="260" spans="1:16" x14ac:dyDescent="0.25">
      <c r="A260" t="s">
        <v>1182</v>
      </c>
      <c r="B260" t="s">
        <v>890</v>
      </c>
      <c r="C260" t="s">
        <v>918</v>
      </c>
      <c r="D260" t="s">
        <v>216</v>
      </c>
      <c r="F260">
        <v>12</v>
      </c>
      <c r="G260" t="str">
        <f>INDEX(Base!$D$2:$D$601,MATCH(B260,Base!$A$2:$A$601,0))</f>
        <v>Autônomo</v>
      </c>
      <c r="H260" t="str">
        <f>INDEX(Base!$C$2:$C$601,MATCH(B260,Base!$A$2:$A$601,0))</f>
        <v>Nordeste</v>
      </c>
      <c r="I260">
        <f>INDEX(Base!$M$2:$M$601,MATCH(B260,Base!$A$2:$A$601,0))</f>
        <v>0</v>
      </c>
      <c r="J260">
        <f t="shared" si="8"/>
        <v>0</v>
      </c>
      <c r="K260">
        <f t="shared" si="9"/>
        <v>0</v>
      </c>
      <c r="L260" t="str">
        <f>IF(INDEX(Base!$U$2:$U$601,MATCH(B260,Base!$A$2:$A$601,0))="","",INDEX(Base!$U$2:$U$601,MATCH(B260,Base!$A$2:$A$601,0)))</f>
        <v>Média</v>
      </c>
      <c r="M260">
        <f>INDEX(Base!$R$2:$R$601,MATCH(B260,Base!$A$2:$A$601,0))</f>
        <v>0</v>
      </c>
      <c r="N260" t="str">
        <f>INDEX(Base!$AB$2:$AB$601,MATCH(B260,Base!$A$2:$A$601,0))</f>
        <v>Média</v>
      </c>
      <c r="O260">
        <v>39</v>
      </c>
    </row>
    <row r="261" spans="1:16" x14ac:dyDescent="0.25">
      <c r="A261" t="s">
        <v>1183</v>
      </c>
      <c r="B261" t="s">
        <v>544</v>
      </c>
      <c r="C261" t="s">
        <v>918</v>
      </c>
      <c r="D261" t="s">
        <v>218</v>
      </c>
      <c r="F261">
        <v>11</v>
      </c>
      <c r="G261" t="str">
        <f>INDEX(Base!$D$2:$D$601,MATCH(B261,Base!$A$2:$A$601,0))</f>
        <v>Autônomo</v>
      </c>
      <c r="H261" t="str">
        <f>INDEX(Base!$C$2:$C$601,MATCH(B261,Base!$A$2:$A$601,0))</f>
        <v>Sul</v>
      </c>
      <c r="I261">
        <f>INDEX(Base!$M$2:$M$601,MATCH(B261,Base!$A$2:$A$601,0))</f>
        <v>0</v>
      </c>
      <c r="J261">
        <f t="shared" si="8"/>
        <v>0</v>
      </c>
      <c r="K261">
        <f t="shared" si="9"/>
        <v>0</v>
      </c>
      <c r="L261" t="str">
        <f>IF(INDEX(Base!$U$2:$U$601,MATCH(B261,Base!$A$2:$A$601,0))="","",INDEX(Base!$U$2:$U$601,MATCH(B261,Base!$A$2:$A$601,0)))</f>
        <v>Média</v>
      </c>
      <c r="M261">
        <f>INDEX(Base!$R$2:$R$601,MATCH(B261,Base!$A$2:$A$601,0))</f>
        <v>0</v>
      </c>
      <c r="N261" t="str">
        <f>INDEX(Base!$AB$2:$AB$601,MATCH(B261,Base!$A$2:$A$601,0))</f>
        <v>Baixa</v>
      </c>
      <c r="O261">
        <v>128</v>
      </c>
    </row>
    <row r="262" spans="1:16" x14ac:dyDescent="0.25">
      <c r="A262" t="s">
        <v>1184</v>
      </c>
      <c r="B262" t="s">
        <v>433</v>
      </c>
      <c r="C262" t="s">
        <v>918</v>
      </c>
      <c r="D262" t="s">
        <v>919</v>
      </c>
      <c r="F262">
        <v>7</v>
      </c>
      <c r="G262" t="str">
        <f>INDEX(Base!$D$2:$D$601,MATCH(B262,Base!$A$2:$A$601,0))</f>
        <v>Pequeno Escritório</v>
      </c>
      <c r="H262" t="str">
        <f>INDEX(Base!$C$2:$C$601,MATCH(B262,Base!$A$2:$A$601,0))</f>
        <v>Nordeste</v>
      </c>
      <c r="I262">
        <f>INDEX(Base!$M$2:$M$601,MATCH(B262,Base!$A$2:$A$601,0))</f>
        <v>1</v>
      </c>
      <c r="J262">
        <f t="shared" si="8"/>
        <v>1</v>
      </c>
      <c r="K262">
        <f t="shared" si="9"/>
        <v>0</v>
      </c>
      <c r="L262" t="str">
        <f>IF(INDEX(Base!$U$2:$U$601,MATCH(B262,Base!$A$2:$A$601,0))="","",INDEX(Base!$U$2:$U$601,MATCH(B262,Base!$A$2:$A$601,0)))</f>
        <v/>
      </c>
      <c r="M262">
        <f>INDEX(Base!$R$2:$R$601,MATCH(B262,Base!$A$2:$A$601,0))</f>
        <v>1</v>
      </c>
      <c r="N262" t="str">
        <f>INDEX(Base!$AB$2:$AB$601,MATCH(B262,Base!$A$2:$A$601,0))</f>
        <v>Alta</v>
      </c>
      <c r="O262">
        <v>135</v>
      </c>
    </row>
    <row r="263" spans="1:16" x14ac:dyDescent="0.25">
      <c r="A263" t="s">
        <v>1185</v>
      </c>
      <c r="B263" t="s">
        <v>536</v>
      </c>
      <c r="C263" t="s">
        <v>921</v>
      </c>
      <c r="D263" t="s">
        <v>215</v>
      </c>
      <c r="F263">
        <v>12</v>
      </c>
      <c r="G263" t="str">
        <f>INDEX(Base!$D$2:$D$601,MATCH(B263,Base!$A$2:$A$601,0))</f>
        <v>Pequeno Escritório</v>
      </c>
      <c r="H263" t="str">
        <f>INDEX(Base!$C$2:$C$601,MATCH(B263,Base!$A$2:$A$601,0))</f>
        <v>Sudeste</v>
      </c>
      <c r="I263">
        <f>INDEX(Base!$M$2:$M$601,MATCH(B263,Base!$A$2:$A$601,0))</f>
        <v>0</v>
      </c>
      <c r="J263">
        <f t="shared" si="8"/>
        <v>0</v>
      </c>
      <c r="K263">
        <f t="shared" si="9"/>
        <v>0</v>
      </c>
      <c r="L263" t="str">
        <f>IF(INDEX(Base!$U$2:$U$601,MATCH(B263,Base!$A$2:$A$601,0))="","",INDEX(Base!$U$2:$U$601,MATCH(B263,Base!$A$2:$A$601,0)))</f>
        <v>Alta</v>
      </c>
      <c r="M263">
        <f>INDEX(Base!$R$2:$R$601,MATCH(B263,Base!$A$2:$A$601,0))</f>
        <v>0</v>
      </c>
      <c r="N263" t="str">
        <f>INDEX(Base!$AB$2:$AB$601,MATCH(B263,Base!$A$2:$A$601,0))</f>
        <v>Média</v>
      </c>
      <c r="O263">
        <v>8</v>
      </c>
    </row>
    <row r="264" spans="1:16" x14ac:dyDescent="0.25">
      <c r="A264" t="s">
        <v>1186</v>
      </c>
      <c r="B264" t="s">
        <v>559</v>
      </c>
      <c r="C264" t="s">
        <v>918</v>
      </c>
      <c r="D264" t="s">
        <v>218</v>
      </c>
      <c r="F264">
        <v>12</v>
      </c>
      <c r="G264" t="str">
        <f>INDEX(Base!$D$2:$D$601,MATCH(B264,Base!$A$2:$A$601,0))</f>
        <v>Pequeno Escritório</v>
      </c>
      <c r="H264" t="str">
        <f>INDEX(Base!$C$2:$C$601,MATCH(B264,Base!$A$2:$A$601,0))</f>
        <v>Sudeste</v>
      </c>
      <c r="I264">
        <f>INDEX(Base!$M$2:$M$601,MATCH(B264,Base!$A$2:$A$601,0))</f>
        <v>0</v>
      </c>
      <c r="J264">
        <f t="shared" si="8"/>
        <v>0</v>
      </c>
      <c r="K264">
        <f t="shared" si="9"/>
        <v>0</v>
      </c>
      <c r="L264" t="str">
        <f>IF(INDEX(Base!$U$2:$U$601,MATCH(B264,Base!$A$2:$A$601,0))="","",INDEX(Base!$U$2:$U$601,MATCH(B264,Base!$A$2:$A$601,0)))</f>
        <v>Baixa</v>
      </c>
      <c r="M264">
        <f>INDEX(Base!$R$2:$R$601,MATCH(B264,Base!$A$2:$A$601,0))</f>
        <v>0</v>
      </c>
      <c r="N264" t="str">
        <f>INDEX(Base!$AB$2:$AB$601,MATCH(B264,Base!$A$2:$A$601,0))</f>
        <v>Média</v>
      </c>
      <c r="O264">
        <v>114</v>
      </c>
    </row>
    <row r="265" spans="1:16" x14ac:dyDescent="0.25">
      <c r="A265" t="s">
        <v>1187</v>
      </c>
      <c r="B265" t="s">
        <v>664</v>
      </c>
      <c r="C265" t="s">
        <v>927</v>
      </c>
      <c r="D265" t="s">
        <v>220</v>
      </c>
      <c r="F265">
        <v>3</v>
      </c>
      <c r="G265" t="str">
        <f>INDEX(Base!$D$2:$D$601,MATCH(B265,Base!$A$2:$A$601,0))</f>
        <v>Autônomo</v>
      </c>
      <c r="H265" t="str">
        <f>INDEX(Base!$C$2:$C$601,MATCH(B265,Base!$A$2:$A$601,0))</f>
        <v>Sudeste</v>
      </c>
      <c r="I265">
        <f>INDEX(Base!$M$2:$M$601,MATCH(B265,Base!$A$2:$A$601,0))</f>
        <v>1</v>
      </c>
      <c r="J265">
        <f t="shared" si="8"/>
        <v>0</v>
      </c>
      <c r="K265">
        <f t="shared" si="9"/>
        <v>0</v>
      </c>
      <c r="L265" t="str">
        <f>IF(INDEX(Base!$U$2:$U$601,MATCH(B265,Base!$A$2:$A$601,0))="","",INDEX(Base!$U$2:$U$601,MATCH(B265,Base!$A$2:$A$601,0)))</f>
        <v/>
      </c>
      <c r="M265">
        <f>INDEX(Base!$R$2:$R$601,MATCH(B265,Base!$A$2:$A$601,0))</f>
        <v>0</v>
      </c>
      <c r="N265" t="str">
        <f>INDEX(Base!$AB$2:$AB$601,MATCH(B265,Base!$A$2:$A$601,0))</f>
        <v>Baixa</v>
      </c>
      <c r="O265">
        <v>100</v>
      </c>
    </row>
    <row r="266" spans="1:16" x14ac:dyDescent="0.25">
      <c r="A266" t="s">
        <v>1188</v>
      </c>
      <c r="B266" t="s">
        <v>344</v>
      </c>
      <c r="C266" t="s">
        <v>921</v>
      </c>
      <c r="D266" t="s">
        <v>218</v>
      </c>
      <c r="F266">
        <v>4</v>
      </c>
      <c r="G266" t="str">
        <f>INDEX(Base!$D$2:$D$601,MATCH(B266,Base!$A$2:$A$601,0))</f>
        <v>Autônomo</v>
      </c>
      <c r="H266" t="str">
        <f>INDEX(Base!$C$2:$C$601,MATCH(B266,Base!$A$2:$A$601,0))</f>
        <v>Sudeste</v>
      </c>
      <c r="I266">
        <f>INDEX(Base!$M$2:$M$601,MATCH(B266,Base!$A$2:$A$601,0))</f>
        <v>0</v>
      </c>
      <c r="J266">
        <f t="shared" si="8"/>
        <v>0</v>
      </c>
      <c r="K266">
        <f t="shared" si="9"/>
        <v>0</v>
      </c>
      <c r="L266" t="str">
        <f>IF(INDEX(Base!$U$2:$U$601,MATCH(B266,Base!$A$2:$A$601,0))="","",INDEX(Base!$U$2:$U$601,MATCH(B266,Base!$A$2:$A$601,0)))</f>
        <v>Baixa</v>
      </c>
      <c r="M266">
        <f>INDEX(Base!$R$2:$R$601,MATCH(B266,Base!$A$2:$A$601,0))</f>
        <v>0</v>
      </c>
      <c r="N266" t="str">
        <f>INDEX(Base!$AB$2:$AB$601,MATCH(B266,Base!$A$2:$A$601,0))</f>
        <v>Baixa</v>
      </c>
      <c r="O266">
        <v>169</v>
      </c>
    </row>
    <row r="267" spans="1:16" x14ac:dyDescent="0.25">
      <c r="A267" t="s">
        <v>1189</v>
      </c>
      <c r="B267" t="s">
        <v>640</v>
      </c>
      <c r="C267" t="s">
        <v>918</v>
      </c>
      <c r="D267" t="s">
        <v>221</v>
      </c>
      <c r="F267">
        <v>8</v>
      </c>
      <c r="G267" t="str">
        <f>INDEX(Base!$D$2:$D$601,MATCH(B267,Base!$A$2:$A$601,0))</f>
        <v>Médio Escritório</v>
      </c>
      <c r="H267" t="str">
        <f>INDEX(Base!$C$2:$C$601,MATCH(B267,Base!$A$2:$A$601,0))</f>
        <v>Nordeste</v>
      </c>
      <c r="I267">
        <f>INDEX(Base!$M$2:$M$601,MATCH(B267,Base!$A$2:$A$601,0))</f>
        <v>1</v>
      </c>
      <c r="J267">
        <f t="shared" si="8"/>
        <v>0</v>
      </c>
      <c r="K267">
        <f t="shared" si="9"/>
        <v>0</v>
      </c>
      <c r="L267" t="str">
        <f>IF(INDEX(Base!$U$2:$U$601,MATCH(B267,Base!$A$2:$A$601,0))="","",INDEX(Base!$U$2:$U$601,MATCH(B267,Base!$A$2:$A$601,0)))</f>
        <v/>
      </c>
      <c r="M267">
        <f>INDEX(Base!$R$2:$R$601,MATCH(B267,Base!$A$2:$A$601,0))</f>
        <v>1</v>
      </c>
      <c r="N267" t="str">
        <f>INDEX(Base!$AB$2:$AB$601,MATCH(B267,Base!$A$2:$A$601,0))</f>
        <v>Alta</v>
      </c>
      <c r="O267">
        <v>89</v>
      </c>
    </row>
    <row r="268" spans="1:16" x14ac:dyDescent="0.25">
      <c r="A268" t="s">
        <v>1190</v>
      </c>
      <c r="B268" t="s">
        <v>331</v>
      </c>
      <c r="C268" t="s">
        <v>918</v>
      </c>
      <c r="D268" t="s">
        <v>922</v>
      </c>
      <c r="E268">
        <v>1009.44</v>
      </c>
      <c r="F268">
        <v>7</v>
      </c>
      <c r="G268" t="str">
        <f>INDEX(Base!$D$2:$D$601,MATCH(B268,Base!$A$2:$A$601,0))</f>
        <v>Autônomo</v>
      </c>
      <c r="H268" t="str">
        <f>INDEX(Base!$C$2:$C$601,MATCH(B268,Base!$A$2:$A$601,0))</f>
        <v>Centro-Oeste</v>
      </c>
      <c r="I268">
        <f>INDEX(Base!$M$2:$M$601,MATCH(B268,Base!$A$2:$A$601,0))</f>
        <v>0</v>
      </c>
      <c r="J268">
        <f t="shared" si="8"/>
        <v>1</v>
      </c>
      <c r="K268">
        <f t="shared" si="9"/>
        <v>1</v>
      </c>
      <c r="L268" t="str">
        <f>IF(INDEX(Base!$U$2:$U$601,MATCH(B268,Base!$A$2:$A$601,0))="","",INDEX(Base!$U$2:$U$601,MATCH(B268,Base!$A$2:$A$601,0)))</f>
        <v>Baixa</v>
      </c>
      <c r="M268">
        <f>INDEX(Base!$R$2:$R$601,MATCH(B268,Base!$A$2:$A$601,0))</f>
        <v>0</v>
      </c>
      <c r="N268" t="str">
        <f>INDEX(Base!$AB$2:$AB$601,MATCH(B268,Base!$A$2:$A$601,0))</f>
        <v>Média</v>
      </c>
      <c r="O268">
        <v>5</v>
      </c>
      <c r="P268" s="33">
        <v>45956</v>
      </c>
    </row>
    <row r="269" spans="1:16" x14ac:dyDescent="0.25">
      <c r="A269" t="s">
        <v>1191</v>
      </c>
      <c r="B269" t="s">
        <v>864</v>
      </c>
      <c r="C269" t="s">
        <v>921</v>
      </c>
      <c r="D269" t="s">
        <v>922</v>
      </c>
      <c r="E269">
        <v>1547.44</v>
      </c>
      <c r="F269">
        <v>6</v>
      </c>
      <c r="G269" t="str">
        <f>INDEX(Base!$D$2:$D$601,MATCH(B269,Base!$A$2:$A$601,0))</f>
        <v>Pequeno Escritório</v>
      </c>
      <c r="H269" t="str">
        <f>INDEX(Base!$C$2:$C$601,MATCH(B269,Base!$A$2:$A$601,0))</f>
        <v>Centro-Oeste</v>
      </c>
      <c r="I269">
        <f>INDEX(Base!$M$2:$M$601,MATCH(B269,Base!$A$2:$A$601,0))</f>
        <v>0</v>
      </c>
      <c r="J269">
        <f t="shared" si="8"/>
        <v>1</v>
      </c>
      <c r="K269">
        <f t="shared" si="9"/>
        <v>1</v>
      </c>
      <c r="L269" t="str">
        <f>IF(INDEX(Base!$U$2:$U$601,MATCH(B269,Base!$A$2:$A$601,0))="","",INDEX(Base!$U$2:$U$601,MATCH(B269,Base!$A$2:$A$601,0)))</f>
        <v>Média</v>
      </c>
      <c r="M269">
        <f>INDEX(Base!$R$2:$R$601,MATCH(B269,Base!$A$2:$A$601,0))</f>
        <v>1</v>
      </c>
      <c r="N269" t="str">
        <f>INDEX(Base!$AB$2:$AB$601,MATCH(B269,Base!$A$2:$A$601,0))</f>
        <v>Alta</v>
      </c>
      <c r="O269">
        <v>29</v>
      </c>
      <c r="P269" s="33">
        <v>45616</v>
      </c>
    </row>
    <row r="270" spans="1:16" x14ac:dyDescent="0.25">
      <c r="A270" t="s">
        <v>1192</v>
      </c>
      <c r="B270" t="s">
        <v>588</v>
      </c>
      <c r="C270" t="s">
        <v>918</v>
      </c>
      <c r="D270" t="s">
        <v>220</v>
      </c>
      <c r="F270">
        <v>11</v>
      </c>
      <c r="G270" t="str">
        <f>INDEX(Base!$D$2:$D$601,MATCH(B270,Base!$A$2:$A$601,0))</f>
        <v>Autônomo</v>
      </c>
      <c r="H270" t="str">
        <f>INDEX(Base!$C$2:$C$601,MATCH(B270,Base!$A$2:$A$601,0))</f>
        <v>Sul</v>
      </c>
      <c r="I270">
        <f>INDEX(Base!$M$2:$M$601,MATCH(B270,Base!$A$2:$A$601,0))</f>
        <v>0</v>
      </c>
      <c r="J270">
        <f t="shared" si="8"/>
        <v>0</v>
      </c>
      <c r="K270">
        <f t="shared" si="9"/>
        <v>0</v>
      </c>
      <c r="L270" t="str">
        <f>IF(INDEX(Base!$U$2:$U$601,MATCH(B270,Base!$A$2:$A$601,0))="","",INDEX(Base!$U$2:$U$601,MATCH(B270,Base!$A$2:$A$601,0)))</f>
        <v>Baixa</v>
      </c>
      <c r="M270">
        <f>INDEX(Base!$R$2:$R$601,MATCH(B270,Base!$A$2:$A$601,0))</f>
        <v>0</v>
      </c>
      <c r="N270" t="str">
        <f>INDEX(Base!$AB$2:$AB$601,MATCH(B270,Base!$A$2:$A$601,0))</f>
        <v>Baixa</v>
      </c>
      <c r="O270">
        <v>68</v>
      </c>
    </row>
    <row r="271" spans="1:16" x14ac:dyDescent="0.25">
      <c r="A271" t="s">
        <v>1193</v>
      </c>
      <c r="B271" t="s">
        <v>518</v>
      </c>
      <c r="C271" t="s">
        <v>927</v>
      </c>
      <c r="D271" t="s">
        <v>922</v>
      </c>
      <c r="E271">
        <v>1589.96</v>
      </c>
      <c r="F271">
        <v>9</v>
      </c>
      <c r="G271" t="str">
        <f>INDEX(Base!$D$2:$D$601,MATCH(B271,Base!$A$2:$A$601,0))</f>
        <v>Autônomo</v>
      </c>
      <c r="H271" t="str">
        <f>INDEX(Base!$C$2:$C$601,MATCH(B271,Base!$A$2:$A$601,0))</f>
        <v>Sudeste</v>
      </c>
      <c r="I271">
        <f>INDEX(Base!$M$2:$M$601,MATCH(B271,Base!$A$2:$A$601,0))</f>
        <v>0</v>
      </c>
      <c r="J271">
        <f t="shared" si="8"/>
        <v>1</v>
      </c>
      <c r="K271">
        <f t="shared" si="9"/>
        <v>1</v>
      </c>
      <c r="L271" t="str">
        <f>IF(INDEX(Base!$U$2:$U$601,MATCH(B271,Base!$A$2:$A$601,0))="","",INDEX(Base!$U$2:$U$601,MATCH(B271,Base!$A$2:$A$601,0)))</f>
        <v>Baixa</v>
      </c>
      <c r="M271">
        <f>INDEX(Base!$R$2:$R$601,MATCH(B271,Base!$A$2:$A$601,0))</f>
        <v>0</v>
      </c>
      <c r="N271" t="str">
        <f>INDEX(Base!$AB$2:$AB$601,MATCH(B271,Base!$A$2:$A$601,0))</f>
        <v>Baixa</v>
      </c>
      <c r="O271">
        <v>77</v>
      </c>
      <c r="P271" s="33">
        <v>46081</v>
      </c>
    </row>
    <row r="272" spans="1:16" x14ac:dyDescent="0.25">
      <c r="A272" t="s">
        <v>1194</v>
      </c>
      <c r="B272" t="s">
        <v>669</v>
      </c>
      <c r="C272" t="s">
        <v>918</v>
      </c>
      <c r="D272" t="s">
        <v>220</v>
      </c>
      <c r="F272">
        <v>8</v>
      </c>
      <c r="G272" t="str">
        <f>INDEX(Base!$D$2:$D$601,MATCH(B272,Base!$A$2:$A$601,0))</f>
        <v>Médio Escritório</v>
      </c>
      <c r="H272" t="str">
        <f>INDEX(Base!$C$2:$C$601,MATCH(B272,Base!$A$2:$A$601,0))</f>
        <v>Sul</v>
      </c>
      <c r="I272">
        <f>INDEX(Base!$M$2:$M$601,MATCH(B272,Base!$A$2:$A$601,0))</f>
        <v>1</v>
      </c>
      <c r="J272">
        <f t="shared" si="8"/>
        <v>0</v>
      </c>
      <c r="K272">
        <f t="shared" si="9"/>
        <v>0</v>
      </c>
      <c r="L272" t="str">
        <f>IF(INDEX(Base!$U$2:$U$601,MATCH(B272,Base!$A$2:$A$601,0))="","",INDEX(Base!$U$2:$U$601,MATCH(B272,Base!$A$2:$A$601,0)))</f>
        <v/>
      </c>
      <c r="M272">
        <f>INDEX(Base!$R$2:$R$601,MATCH(B272,Base!$A$2:$A$601,0))</f>
        <v>1</v>
      </c>
      <c r="N272" t="str">
        <f>INDEX(Base!$AB$2:$AB$601,MATCH(B272,Base!$A$2:$A$601,0))</f>
        <v>Alta</v>
      </c>
      <c r="O272">
        <v>22</v>
      </c>
    </row>
    <row r="273" spans="1:16" x14ac:dyDescent="0.25">
      <c r="A273" t="s">
        <v>1195</v>
      </c>
      <c r="B273" t="s">
        <v>708</v>
      </c>
      <c r="C273" t="s">
        <v>981</v>
      </c>
      <c r="D273" t="s">
        <v>922</v>
      </c>
      <c r="E273">
        <v>1698.15</v>
      </c>
      <c r="F273">
        <v>3</v>
      </c>
      <c r="G273" t="str">
        <f>INDEX(Base!$D$2:$D$601,MATCH(B273,Base!$A$2:$A$601,0))</f>
        <v>Pequeno Escritório</v>
      </c>
      <c r="H273" t="str">
        <f>INDEX(Base!$C$2:$C$601,MATCH(B273,Base!$A$2:$A$601,0))</f>
        <v>Sudeste</v>
      </c>
      <c r="I273">
        <f>INDEX(Base!$M$2:$M$601,MATCH(B273,Base!$A$2:$A$601,0))</f>
        <v>0</v>
      </c>
      <c r="J273">
        <f t="shared" si="8"/>
        <v>1</v>
      </c>
      <c r="K273">
        <f t="shared" si="9"/>
        <v>1</v>
      </c>
      <c r="L273" t="str">
        <f>IF(INDEX(Base!$U$2:$U$601,MATCH(B273,Base!$A$2:$A$601,0))="","",INDEX(Base!$U$2:$U$601,MATCH(B273,Base!$A$2:$A$601,0)))</f>
        <v>Baixa</v>
      </c>
      <c r="M273">
        <f>INDEX(Base!$R$2:$R$601,MATCH(B273,Base!$A$2:$A$601,0))</f>
        <v>0</v>
      </c>
      <c r="N273" t="str">
        <f>INDEX(Base!$AB$2:$AB$601,MATCH(B273,Base!$A$2:$A$601,0))</f>
        <v>Média</v>
      </c>
      <c r="O273">
        <v>18</v>
      </c>
      <c r="P273" s="33">
        <v>45363</v>
      </c>
    </row>
    <row r="274" spans="1:16" x14ac:dyDescent="0.25">
      <c r="A274" t="s">
        <v>1196</v>
      </c>
      <c r="B274" t="s">
        <v>787</v>
      </c>
      <c r="C274" t="s">
        <v>918</v>
      </c>
      <c r="D274" t="s">
        <v>919</v>
      </c>
      <c r="F274">
        <v>4</v>
      </c>
      <c r="G274" t="str">
        <f>INDEX(Base!$D$2:$D$601,MATCH(B274,Base!$A$2:$A$601,0))</f>
        <v>Médio Escritório</v>
      </c>
      <c r="H274" t="str">
        <f>INDEX(Base!$C$2:$C$601,MATCH(B274,Base!$A$2:$A$601,0))</f>
        <v>Sudeste</v>
      </c>
      <c r="I274">
        <f>INDEX(Base!$M$2:$M$601,MATCH(B274,Base!$A$2:$A$601,0))</f>
        <v>1</v>
      </c>
      <c r="J274">
        <f t="shared" si="8"/>
        <v>1</v>
      </c>
      <c r="K274">
        <f t="shared" si="9"/>
        <v>0</v>
      </c>
      <c r="L274" t="str">
        <f>IF(INDEX(Base!$U$2:$U$601,MATCH(B274,Base!$A$2:$A$601,0))="","",INDEX(Base!$U$2:$U$601,MATCH(B274,Base!$A$2:$A$601,0)))</f>
        <v/>
      </c>
      <c r="M274">
        <f>INDEX(Base!$R$2:$R$601,MATCH(B274,Base!$A$2:$A$601,0))</f>
        <v>1</v>
      </c>
      <c r="N274" t="str">
        <f>INDEX(Base!$AB$2:$AB$601,MATCH(B274,Base!$A$2:$A$601,0))</f>
        <v>Alta</v>
      </c>
      <c r="O274">
        <v>134</v>
      </c>
    </row>
    <row r="275" spans="1:16" x14ac:dyDescent="0.25">
      <c r="A275" t="s">
        <v>1197</v>
      </c>
      <c r="B275" t="s">
        <v>731</v>
      </c>
      <c r="C275" t="s">
        <v>918</v>
      </c>
      <c r="D275" t="s">
        <v>218</v>
      </c>
      <c r="F275">
        <v>12</v>
      </c>
      <c r="G275" t="str">
        <f>INDEX(Base!$D$2:$D$601,MATCH(B275,Base!$A$2:$A$601,0))</f>
        <v>Médio Escritório</v>
      </c>
      <c r="H275" t="str">
        <f>INDEX(Base!$C$2:$C$601,MATCH(B275,Base!$A$2:$A$601,0))</f>
        <v>Sudeste</v>
      </c>
      <c r="I275">
        <f>INDEX(Base!$M$2:$M$601,MATCH(B275,Base!$A$2:$A$601,0))</f>
        <v>1</v>
      </c>
      <c r="J275">
        <f t="shared" si="8"/>
        <v>0</v>
      </c>
      <c r="K275">
        <f t="shared" si="9"/>
        <v>0</v>
      </c>
      <c r="L275" t="str">
        <f>IF(INDEX(Base!$U$2:$U$601,MATCH(B275,Base!$A$2:$A$601,0))="","",INDEX(Base!$U$2:$U$601,MATCH(B275,Base!$A$2:$A$601,0)))</f>
        <v/>
      </c>
      <c r="M275">
        <f>INDEX(Base!$R$2:$R$601,MATCH(B275,Base!$A$2:$A$601,0))</f>
        <v>1</v>
      </c>
      <c r="N275" t="str">
        <f>INDEX(Base!$AB$2:$AB$601,MATCH(B275,Base!$A$2:$A$601,0))</f>
        <v>Alta</v>
      </c>
      <c r="O275">
        <v>55</v>
      </c>
    </row>
    <row r="276" spans="1:16" x14ac:dyDescent="0.25">
      <c r="A276" t="s">
        <v>1198</v>
      </c>
      <c r="B276" t="s">
        <v>791</v>
      </c>
      <c r="C276" t="s">
        <v>918</v>
      </c>
      <c r="D276" t="s">
        <v>218</v>
      </c>
      <c r="F276">
        <v>5</v>
      </c>
      <c r="G276" t="str">
        <f>INDEX(Base!$D$2:$D$601,MATCH(B276,Base!$A$2:$A$601,0))</f>
        <v>Grande Escritório</v>
      </c>
      <c r="H276" t="str">
        <f>INDEX(Base!$C$2:$C$601,MATCH(B276,Base!$A$2:$A$601,0))</f>
        <v>Nordeste</v>
      </c>
      <c r="I276">
        <f>INDEX(Base!$M$2:$M$601,MATCH(B276,Base!$A$2:$A$601,0))</f>
        <v>1</v>
      </c>
      <c r="J276">
        <f t="shared" si="8"/>
        <v>0</v>
      </c>
      <c r="K276">
        <f t="shared" si="9"/>
        <v>0</v>
      </c>
      <c r="L276" t="str">
        <f>IF(INDEX(Base!$U$2:$U$601,MATCH(B276,Base!$A$2:$A$601,0))="","",INDEX(Base!$U$2:$U$601,MATCH(B276,Base!$A$2:$A$601,0)))</f>
        <v/>
      </c>
      <c r="M276">
        <f>INDEX(Base!$R$2:$R$601,MATCH(B276,Base!$A$2:$A$601,0))</f>
        <v>1</v>
      </c>
      <c r="N276" t="str">
        <f>INDEX(Base!$AB$2:$AB$601,MATCH(B276,Base!$A$2:$A$601,0))</f>
        <v>Alta</v>
      </c>
      <c r="O276">
        <v>152</v>
      </c>
    </row>
    <row r="277" spans="1:16" x14ac:dyDescent="0.25">
      <c r="A277" t="s">
        <v>1199</v>
      </c>
      <c r="B277" t="s">
        <v>290</v>
      </c>
      <c r="C277" t="s">
        <v>921</v>
      </c>
      <c r="D277" t="s">
        <v>218</v>
      </c>
      <c r="F277">
        <v>8</v>
      </c>
      <c r="G277" t="str">
        <f>INDEX(Base!$D$2:$D$601,MATCH(B277,Base!$A$2:$A$601,0))</f>
        <v>Pequeno Escritório</v>
      </c>
      <c r="H277" t="str">
        <f>INDEX(Base!$C$2:$C$601,MATCH(B277,Base!$A$2:$A$601,0))</f>
        <v>Sudeste</v>
      </c>
      <c r="I277">
        <f>INDEX(Base!$M$2:$M$601,MATCH(B277,Base!$A$2:$A$601,0))</f>
        <v>0</v>
      </c>
      <c r="J277">
        <f t="shared" si="8"/>
        <v>0</v>
      </c>
      <c r="K277">
        <f t="shared" si="9"/>
        <v>0</v>
      </c>
      <c r="L277" t="str">
        <f>IF(INDEX(Base!$U$2:$U$601,MATCH(B277,Base!$A$2:$A$601,0))="","",INDEX(Base!$U$2:$U$601,MATCH(B277,Base!$A$2:$A$601,0)))</f>
        <v>Alta</v>
      </c>
      <c r="M277">
        <f>INDEX(Base!$R$2:$R$601,MATCH(B277,Base!$A$2:$A$601,0))</f>
        <v>0</v>
      </c>
      <c r="N277" t="str">
        <f>INDEX(Base!$AB$2:$AB$601,MATCH(B277,Base!$A$2:$A$601,0))</f>
        <v>Média</v>
      </c>
      <c r="O277">
        <v>25</v>
      </c>
    </row>
    <row r="278" spans="1:16" x14ac:dyDescent="0.25">
      <c r="A278" t="s">
        <v>1200</v>
      </c>
      <c r="B278" t="s">
        <v>608</v>
      </c>
      <c r="C278" t="s">
        <v>981</v>
      </c>
      <c r="D278" t="s">
        <v>216</v>
      </c>
      <c r="F278">
        <v>3</v>
      </c>
      <c r="G278" t="str">
        <f>INDEX(Base!$D$2:$D$601,MATCH(B278,Base!$A$2:$A$601,0))</f>
        <v>Pequeno Escritório</v>
      </c>
      <c r="H278" t="str">
        <f>INDEX(Base!$C$2:$C$601,MATCH(B278,Base!$A$2:$A$601,0))</f>
        <v>Nordeste</v>
      </c>
      <c r="I278">
        <f>INDEX(Base!$M$2:$M$601,MATCH(B278,Base!$A$2:$A$601,0))</f>
        <v>0</v>
      </c>
      <c r="J278">
        <f t="shared" si="8"/>
        <v>0</v>
      </c>
      <c r="K278">
        <f t="shared" si="9"/>
        <v>0</v>
      </c>
      <c r="L278" t="str">
        <f>IF(INDEX(Base!$U$2:$U$601,MATCH(B278,Base!$A$2:$A$601,0))="","",INDEX(Base!$U$2:$U$601,MATCH(B278,Base!$A$2:$A$601,0)))</f>
        <v>Média</v>
      </c>
      <c r="M278">
        <f>INDEX(Base!$R$2:$R$601,MATCH(B278,Base!$A$2:$A$601,0))</f>
        <v>0</v>
      </c>
      <c r="N278" t="str">
        <f>INDEX(Base!$AB$2:$AB$601,MATCH(B278,Base!$A$2:$A$601,0))</f>
        <v>Alta</v>
      </c>
      <c r="O278">
        <v>125</v>
      </c>
    </row>
    <row r="279" spans="1:16" x14ac:dyDescent="0.25">
      <c r="A279" t="s">
        <v>1201</v>
      </c>
      <c r="B279" t="s">
        <v>534</v>
      </c>
      <c r="C279" t="s">
        <v>921</v>
      </c>
      <c r="D279" t="s">
        <v>215</v>
      </c>
      <c r="F279">
        <v>7</v>
      </c>
      <c r="G279" t="str">
        <f>INDEX(Base!$D$2:$D$601,MATCH(B279,Base!$A$2:$A$601,0))</f>
        <v>Pequeno Escritório</v>
      </c>
      <c r="H279" t="str">
        <f>INDEX(Base!$C$2:$C$601,MATCH(B279,Base!$A$2:$A$601,0))</f>
        <v>Sudeste</v>
      </c>
      <c r="I279">
        <f>INDEX(Base!$M$2:$M$601,MATCH(B279,Base!$A$2:$A$601,0))</f>
        <v>0</v>
      </c>
      <c r="J279">
        <f t="shared" si="8"/>
        <v>0</v>
      </c>
      <c r="K279">
        <f t="shared" si="9"/>
        <v>0</v>
      </c>
      <c r="L279" t="str">
        <f>IF(INDEX(Base!$U$2:$U$601,MATCH(B279,Base!$A$2:$A$601,0))="","",INDEX(Base!$U$2:$U$601,MATCH(B279,Base!$A$2:$A$601,0)))</f>
        <v>Alta</v>
      </c>
      <c r="M279">
        <f>INDEX(Base!$R$2:$R$601,MATCH(B279,Base!$A$2:$A$601,0))</f>
        <v>0</v>
      </c>
      <c r="N279" t="str">
        <f>INDEX(Base!$AB$2:$AB$601,MATCH(B279,Base!$A$2:$A$601,0))</f>
        <v>Média</v>
      </c>
      <c r="O279">
        <v>44</v>
      </c>
    </row>
    <row r="280" spans="1:16" x14ac:dyDescent="0.25">
      <c r="A280" t="s">
        <v>1202</v>
      </c>
      <c r="B280" t="s">
        <v>892</v>
      </c>
      <c r="C280" t="s">
        <v>927</v>
      </c>
      <c r="D280" t="s">
        <v>220</v>
      </c>
      <c r="F280">
        <v>7</v>
      </c>
      <c r="G280" t="str">
        <f>INDEX(Base!$D$2:$D$601,MATCH(B280,Base!$A$2:$A$601,0))</f>
        <v>Autônomo</v>
      </c>
      <c r="H280" t="str">
        <f>INDEX(Base!$C$2:$C$601,MATCH(B280,Base!$A$2:$A$601,0))</f>
        <v>Sudeste</v>
      </c>
      <c r="I280">
        <f>INDEX(Base!$M$2:$M$601,MATCH(B280,Base!$A$2:$A$601,0))</f>
        <v>0</v>
      </c>
      <c r="J280">
        <f t="shared" si="8"/>
        <v>0</v>
      </c>
      <c r="K280">
        <f t="shared" si="9"/>
        <v>0</v>
      </c>
      <c r="L280" t="str">
        <f>IF(INDEX(Base!$U$2:$U$601,MATCH(B280,Base!$A$2:$A$601,0))="","",INDEX(Base!$U$2:$U$601,MATCH(B280,Base!$A$2:$A$601,0)))</f>
        <v>Baixa</v>
      </c>
      <c r="M280">
        <f>INDEX(Base!$R$2:$R$601,MATCH(B280,Base!$A$2:$A$601,0))</f>
        <v>0</v>
      </c>
      <c r="N280" t="str">
        <f>INDEX(Base!$AB$2:$AB$601,MATCH(B280,Base!$A$2:$A$601,0))</f>
        <v>Baixa</v>
      </c>
      <c r="O280">
        <v>114</v>
      </c>
    </row>
    <row r="281" spans="1:16" x14ac:dyDescent="0.25">
      <c r="A281" t="s">
        <v>1203</v>
      </c>
      <c r="B281" t="s">
        <v>708</v>
      </c>
      <c r="C281" t="s">
        <v>934</v>
      </c>
      <c r="D281" t="s">
        <v>215</v>
      </c>
      <c r="F281">
        <v>3</v>
      </c>
      <c r="G281" t="str">
        <f>INDEX(Base!$D$2:$D$601,MATCH(B281,Base!$A$2:$A$601,0))</f>
        <v>Pequeno Escritório</v>
      </c>
      <c r="H281" t="str">
        <f>INDEX(Base!$C$2:$C$601,MATCH(B281,Base!$A$2:$A$601,0))</f>
        <v>Sudeste</v>
      </c>
      <c r="I281">
        <f>INDEX(Base!$M$2:$M$601,MATCH(B281,Base!$A$2:$A$601,0))</f>
        <v>0</v>
      </c>
      <c r="J281">
        <f t="shared" si="8"/>
        <v>0</v>
      </c>
      <c r="K281">
        <f t="shared" si="9"/>
        <v>0</v>
      </c>
      <c r="L281" t="str">
        <f>IF(INDEX(Base!$U$2:$U$601,MATCH(B281,Base!$A$2:$A$601,0))="","",INDEX(Base!$U$2:$U$601,MATCH(B281,Base!$A$2:$A$601,0)))</f>
        <v>Baixa</v>
      </c>
      <c r="M281">
        <f>INDEX(Base!$R$2:$R$601,MATCH(B281,Base!$A$2:$A$601,0))</f>
        <v>0</v>
      </c>
      <c r="N281" t="str">
        <f>INDEX(Base!$AB$2:$AB$601,MATCH(B281,Base!$A$2:$A$601,0))</f>
        <v>Média</v>
      </c>
      <c r="O281">
        <v>146</v>
      </c>
    </row>
    <row r="282" spans="1:16" x14ac:dyDescent="0.25">
      <c r="A282" t="s">
        <v>1204</v>
      </c>
      <c r="B282" t="s">
        <v>383</v>
      </c>
      <c r="C282" t="s">
        <v>927</v>
      </c>
      <c r="D282" t="s">
        <v>216</v>
      </c>
      <c r="F282">
        <v>5</v>
      </c>
      <c r="G282" t="str">
        <f>INDEX(Base!$D$2:$D$601,MATCH(B282,Base!$A$2:$A$601,0))</f>
        <v>Pequeno Escritório</v>
      </c>
      <c r="H282" t="str">
        <f>INDEX(Base!$C$2:$C$601,MATCH(B282,Base!$A$2:$A$601,0))</f>
        <v>Sudeste</v>
      </c>
      <c r="I282">
        <f>INDEX(Base!$M$2:$M$601,MATCH(B282,Base!$A$2:$A$601,0))</f>
        <v>1</v>
      </c>
      <c r="J282">
        <f t="shared" si="8"/>
        <v>0</v>
      </c>
      <c r="K282">
        <f t="shared" si="9"/>
        <v>0</v>
      </c>
      <c r="L282" t="str">
        <f>IF(INDEX(Base!$U$2:$U$601,MATCH(B282,Base!$A$2:$A$601,0))="","",INDEX(Base!$U$2:$U$601,MATCH(B282,Base!$A$2:$A$601,0)))</f>
        <v/>
      </c>
      <c r="M282">
        <f>INDEX(Base!$R$2:$R$601,MATCH(B282,Base!$A$2:$A$601,0))</f>
        <v>1</v>
      </c>
      <c r="N282" t="str">
        <f>INDEX(Base!$AB$2:$AB$601,MATCH(B282,Base!$A$2:$A$601,0))</f>
        <v>Alta</v>
      </c>
      <c r="O282">
        <v>121</v>
      </c>
    </row>
    <row r="283" spans="1:16" x14ac:dyDescent="0.25">
      <c r="A283" t="s">
        <v>1205</v>
      </c>
      <c r="B283" t="s">
        <v>841</v>
      </c>
      <c r="C283" t="s">
        <v>918</v>
      </c>
      <c r="D283" t="s">
        <v>215</v>
      </c>
      <c r="F283">
        <v>6</v>
      </c>
      <c r="G283" t="str">
        <f>INDEX(Base!$D$2:$D$601,MATCH(B283,Base!$A$2:$A$601,0))</f>
        <v>Pequeno Escritório</v>
      </c>
      <c r="H283" t="str">
        <f>INDEX(Base!$C$2:$C$601,MATCH(B283,Base!$A$2:$A$601,0))</f>
        <v>Centro-Oeste</v>
      </c>
      <c r="I283">
        <f>INDEX(Base!$M$2:$M$601,MATCH(B283,Base!$A$2:$A$601,0))</f>
        <v>1</v>
      </c>
      <c r="J283">
        <f t="shared" si="8"/>
        <v>0</v>
      </c>
      <c r="K283">
        <f t="shared" si="9"/>
        <v>0</v>
      </c>
      <c r="L283" t="str">
        <f>IF(INDEX(Base!$U$2:$U$601,MATCH(B283,Base!$A$2:$A$601,0))="","",INDEX(Base!$U$2:$U$601,MATCH(B283,Base!$A$2:$A$601,0)))</f>
        <v/>
      </c>
      <c r="M283">
        <f>INDEX(Base!$R$2:$R$601,MATCH(B283,Base!$A$2:$A$601,0))</f>
        <v>0</v>
      </c>
      <c r="N283" t="str">
        <f>INDEX(Base!$AB$2:$AB$601,MATCH(B283,Base!$A$2:$A$601,0))</f>
        <v>Alta</v>
      </c>
      <c r="O283">
        <v>39</v>
      </c>
    </row>
    <row r="284" spans="1:16" x14ac:dyDescent="0.25">
      <c r="A284" t="s">
        <v>1206</v>
      </c>
      <c r="B284" t="s">
        <v>320</v>
      </c>
      <c r="C284" t="s">
        <v>927</v>
      </c>
      <c r="D284" t="s">
        <v>218</v>
      </c>
      <c r="F284">
        <v>4</v>
      </c>
      <c r="G284" t="str">
        <f>INDEX(Base!$D$2:$D$601,MATCH(B284,Base!$A$2:$A$601,0))</f>
        <v>Pequeno Escritório</v>
      </c>
      <c r="H284" t="str">
        <f>INDEX(Base!$C$2:$C$601,MATCH(B284,Base!$A$2:$A$601,0))</f>
        <v>Nordeste</v>
      </c>
      <c r="I284">
        <f>INDEX(Base!$M$2:$M$601,MATCH(B284,Base!$A$2:$A$601,0))</f>
        <v>0</v>
      </c>
      <c r="J284">
        <f t="shared" si="8"/>
        <v>0</v>
      </c>
      <c r="K284">
        <f t="shared" si="9"/>
        <v>0</v>
      </c>
      <c r="L284" t="str">
        <f>IF(INDEX(Base!$U$2:$U$601,MATCH(B284,Base!$A$2:$A$601,0))="","",INDEX(Base!$U$2:$U$601,MATCH(B284,Base!$A$2:$A$601,0)))</f>
        <v/>
      </c>
      <c r="M284">
        <f>INDEX(Base!$R$2:$R$601,MATCH(B284,Base!$A$2:$A$601,0))</f>
        <v>0</v>
      </c>
      <c r="N284" t="str">
        <f>INDEX(Base!$AB$2:$AB$601,MATCH(B284,Base!$A$2:$A$601,0))</f>
        <v>Média</v>
      </c>
      <c r="O284">
        <v>6</v>
      </c>
    </row>
    <row r="285" spans="1:16" x14ac:dyDescent="0.25">
      <c r="A285" t="s">
        <v>1207</v>
      </c>
      <c r="B285" t="s">
        <v>412</v>
      </c>
      <c r="C285" t="s">
        <v>918</v>
      </c>
      <c r="D285" t="s">
        <v>215</v>
      </c>
      <c r="F285">
        <v>7</v>
      </c>
      <c r="G285" t="str">
        <f>INDEX(Base!$D$2:$D$601,MATCH(B285,Base!$A$2:$A$601,0))</f>
        <v>Autônomo</v>
      </c>
      <c r="H285" t="str">
        <f>INDEX(Base!$C$2:$C$601,MATCH(B285,Base!$A$2:$A$601,0))</f>
        <v>Sudeste</v>
      </c>
      <c r="I285">
        <f>INDEX(Base!$M$2:$M$601,MATCH(B285,Base!$A$2:$A$601,0))</f>
        <v>0</v>
      </c>
      <c r="J285">
        <f t="shared" si="8"/>
        <v>0</v>
      </c>
      <c r="K285">
        <f t="shared" si="9"/>
        <v>0</v>
      </c>
      <c r="L285" t="str">
        <f>IF(INDEX(Base!$U$2:$U$601,MATCH(B285,Base!$A$2:$A$601,0))="","",INDEX(Base!$U$2:$U$601,MATCH(B285,Base!$A$2:$A$601,0)))</f>
        <v/>
      </c>
      <c r="M285">
        <f>INDEX(Base!$R$2:$R$601,MATCH(B285,Base!$A$2:$A$601,0))</f>
        <v>0</v>
      </c>
      <c r="N285" t="str">
        <f>INDEX(Base!$AB$2:$AB$601,MATCH(B285,Base!$A$2:$A$601,0))</f>
        <v>Média</v>
      </c>
      <c r="O285">
        <v>106</v>
      </c>
    </row>
    <row r="286" spans="1:16" x14ac:dyDescent="0.25">
      <c r="A286" t="s">
        <v>1208</v>
      </c>
      <c r="B286" t="s">
        <v>406</v>
      </c>
      <c r="C286" t="s">
        <v>981</v>
      </c>
      <c r="D286" t="s">
        <v>216</v>
      </c>
      <c r="F286">
        <v>5</v>
      </c>
      <c r="G286" t="str">
        <f>INDEX(Base!$D$2:$D$601,MATCH(B286,Base!$A$2:$A$601,0))</f>
        <v>Pequeno Escritório</v>
      </c>
      <c r="H286" t="str">
        <f>INDEX(Base!$C$2:$C$601,MATCH(B286,Base!$A$2:$A$601,0))</f>
        <v>Centro-Oeste</v>
      </c>
      <c r="I286">
        <f>INDEX(Base!$M$2:$M$601,MATCH(B286,Base!$A$2:$A$601,0))</f>
        <v>0</v>
      </c>
      <c r="J286">
        <f t="shared" si="8"/>
        <v>0</v>
      </c>
      <c r="K286">
        <f t="shared" si="9"/>
        <v>0</v>
      </c>
      <c r="L286" t="str">
        <f>IF(INDEX(Base!$U$2:$U$601,MATCH(B286,Base!$A$2:$A$601,0))="","",INDEX(Base!$U$2:$U$601,MATCH(B286,Base!$A$2:$A$601,0)))</f>
        <v>Média</v>
      </c>
      <c r="M286">
        <f>INDEX(Base!$R$2:$R$601,MATCH(B286,Base!$A$2:$A$601,0))</f>
        <v>0</v>
      </c>
      <c r="N286" t="str">
        <f>INDEX(Base!$AB$2:$AB$601,MATCH(B286,Base!$A$2:$A$601,0))</f>
        <v>Média</v>
      </c>
      <c r="O286">
        <v>169</v>
      </c>
    </row>
    <row r="287" spans="1:16" x14ac:dyDescent="0.25">
      <c r="A287" t="s">
        <v>1209</v>
      </c>
      <c r="B287" t="s">
        <v>601</v>
      </c>
      <c r="C287" t="s">
        <v>981</v>
      </c>
      <c r="D287" t="s">
        <v>216</v>
      </c>
      <c r="F287">
        <v>1</v>
      </c>
      <c r="G287" t="str">
        <f>INDEX(Base!$D$2:$D$601,MATCH(B287,Base!$A$2:$A$601,0))</f>
        <v>Pequeno Escritório</v>
      </c>
      <c r="H287" t="str">
        <f>INDEX(Base!$C$2:$C$601,MATCH(B287,Base!$A$2:$A$601,0))</f>
        <v>Sul</v>
      </c>
      <c r="I287">
        <f>INDEX(Base!$M$2:$M$601,MATCH(B287,Base!$A$2:$A$601,0))</f>
        <v>1</v>
      </c>
      <c r="J287">
        <f t="shared" si="8"/>
        <v>0</v>
      </c>
      <c r="K287">
        <f t="shared" si="9"/>
        <v>0</v>
      </c>
      <c r="L287" t="str">
        <f>IF(INDEX(Base!$U$2:$U$601,MATCH(B287,Base!$A$2:$A$601,0))="","",INDEX(Base!$U$2:$U$601,MATCH(B287,Base!$A$2:$A$601,0)))</f>
        <v/>
      </c>
      <c r="M287">
        <f>INDEX(Base!$R$2:$R$601,MATCH(B287,Base!$A$2:$A$601,0))</f>
        <v>0</v>
      </c>
      <c r="N287" t="str">
        <f>INDEX(Base!$AB$2:$AB$601,MATCH(B287,Base!$A$2:$A$601,0))</f>
        <v>Média</v>
      </c>
      <c r="O287">
        <v>36</v>
      </c>
    </row>
    <row r="288" spans="1:16" x14ac:dyDescent="0.25">
      <c r="A288" t="s">
        <v>1210</v>
      </c>
      <c r="B288" t="s">
        <v>509</v>
      </c>
      <c r="C288" t="s">
        <v>918</v>
      </c>
      <c r="D288" t="s">
        <v>218</v>
      </c>
      <c r="F288">
        <v>7</v>
      </c>
      <c r="G288" t="str">
        <f>INDEX(Base!$D$2:$D$601,MATCH(B288,Base!$A$2:$A$601,0))</f>
        <v>Médio Escritório</v>
      </c>
      <c r="H288" t="str">
        <f>INDEX(Base!$C$2:$C$601,MATCH(B288,Base!$A$2:$A$601,0))</f>
        <v>Sudeste</v>
      </c>
      <c r="I288">
        <f>INDEX(Base!$M$2:$M$601,MATCH(B288,Base!$A$2:$A$601,0))</f>
        <v>1</v>
      </c>
      <c r="J288">
        <f t="shared" si="8"/>
        <v>0</v>
      </c>
      <c r="K288">
        <f t="shared" si="9"/>
        <v>0</v>
      </c>
      <c r="L288" t="str">
        <f>IF(INDEX(Base!$U$2:$U$601,MATCH(B288,Base!$A$2:$A$601,0))="","",INDEX(Base!$U$2:$U$601,MATCH(B288,Base!$A$2:$A$601,0)))</f>
        <v/>
      </c>
      <c r="M288">
        <f>INDEX(Base!$R$2:$R$601,MATCH(B288,Base!$A$2:$A$601,0))</f>
        <v>1</v>
      </c>
      <c r="N288" t="str">
        <f>INDEX(Base!$AB$2:$AB$601,MATCH(B288,Base!$A$2:$A$601,0))</f>
        <v>Alta</v>
      </c>
      <c r="O288">
        <v>70</v>
      </c>
    </row>
    <row r="289" spans="1:16" x14ac:dyDescent="0.25">
      <c r="A289" t="s">
        <v>1211</v>
      </c>
      <c r="B289" t="s">
        <v>586</v>
      </c>
      <c r="C289" t="s">
        <v>927</v>
      </c>
      <c r="D289" t="s">
        <v>215</v>
      </c>
      <c r="F289">
        <v>8</v>
      </c>
      <c r="G289" t="str">
        <f>INDEX(Base!$D$2:$D$601,MATCH(B289,Base!$A$2:$A$601,0))</f>
        <v>Pequeno Escritório</v>
      </c>
      <c r="H289" t="str">
        <f>INDEX(Base!$C$2:$C$601,MATCH(B289,Base!$A$2:$A$601,0))</f>
        <v>Centro-Oeste</v>
      </c>
      <c r="I289">
        <f>INDEX(Base!$M$2:$M$601,MATCH(B289,Base!$A$2:$A$601,0))</f>
        <v>1</v>
      </c>
      <c r="J289">
        <f t="shared" si="8"/>
        <v>0</v>
      </c>
      <c r="K289">
        <f t="shared" si="9"/>
        <v>0</v>
      </c>
      <c r="L289" t="str">
        <f>IF(INDEX(Base!$U$2:$U$601,MATCH(B289,Base!$A$2:$A$601,0))="","",INDEX(Base!$U$2:$U$601,MATCH(B289,Base!$A$2:$A$601,0)))</f>
        <v/>
      </c>
      <c r="M289">
        <f>INDEX(Base!$R$2:$R$601,MATCH(B289,Base!$A$2:$A$601,0))</f>
        <v>1</v>
      </c>
      <c r="N289" t="str">
        <f>INDEX(Base!$AB$2:$AB$601,MATCH(B289,Base!$A$2:$A$601,0))</f>
        <v>Alta</v>
      </c>
      <c r="O289">
        <v>167</v>
      </c>
    </row>
    <row r="290" spans="1:16" x14ac:dyDescent="0.25">
      <c r="A290" t="s">
        <v>1212</v>
      </c>
      <c r="B290" t="s">
        <v>354</v>
      </c>
      <c r="C290" t="s">
        <v>927</v>
      </c>
      <c r="D290" t="s">
        <v>220</v>
      </c>
      <c r="F290">
        <v>7</v>
      </c>
      <c r="G290" t="str">
        <f>INDEX(Base!$D$2:$D$601,MATCH(B290,Base!$A$2:$A$601,0))</f>
        <v>Pequeno Escritório</v>
      </c>
      <c r="H290" t="str">
        <f>INDEX(Base!$C$2:$C$601,MATCH(B290,Base!$A$2:$A$601,0))</f>
        <v>Nordeste</v>
      </c>
      <c r="I290">
        <f>INDEX(Base!$M$2:$M$601,MATCH(B290,Base!$A$2:$A$601,0))</f>
        <v>0</v>
      </c>
      <c r="J290">
        <f t="shared" si="8"/>
        <v>0</v>
      </c>
      <c r="K290">
        <f t="shared" si="9"/>
        <v>0</v>
      </c>
      <c r="L290" t="str">
        <f>IF(INDEX(Base!$U$2:$U$601,MATCH(B290,Base!$A$2:$A$601,0))="","",INDEX(Base!$U$2:$U$601,MATCH(B290,Base!$A$2:$A$601,0)))</f>
        <v/>
      </c>
      <c r="M290">
        <f>INDEX(Base!$R$2:$R$601,MATCH(B290,Base!$A$2:$A$601,0))</f>
        <v>0</v>
      </c>
      <c r="N290" t="str">
        <f>INDEX(Base!$AB$2:$AB$601,MATCH(B290,Base!$A$2:$A$601,0))</f>
        <v>Média</v>
      </c>
      <c r="O290">
        <v>113</v>
      </c>
    </row>
    <row r="291" spans="1:16" x14ac:dyDescent="0.25">
      <c r="A291" t="s">
        <v>1213</v>
      </c>
      <c r="B291" t="s">
        <v>732</v>
      </c>
      <c r="C291" t="s">
        <v>927</v>
      </c>
      <c r="D291" t="s">
        <v>215</v>
      </c>
      <c r="F291">
        <v>6</v>
      </c>
      <c r="G291" t="str">
        <f>INDEX(Base!$D$2:$D$601,MATCH(B291,Base!$A$2:$A$601,0))</f>
        <v>Pequeno Escritório</v>
      </c>
      <c r="H291" t="str">
        <f>INDEX(Base!$C$2:$C$601,MATCH(B291,Base!$A$2:$A$601,0))</f>
        <v>Sul</v>
      </c>
      <c r="I291">
        <f>INDEX(Base!$M$2:$M$601,MATCH(B291,Base!$A$2:$A$601,0))</f>
        <v>1</v>
      </c>
      <c r="J291">
        <f t="shared" si="8"/>
        <v>0</v>
      </c>
      <c r="K291">
        <f t="shared" si="9"/>
        <v>0</v>
      </c>
      <c r="L291" t="str">
        <f>IF(INDEX(Base!$U$2:$U$601,MATCH(B291,Base!$A$2:$A$601,0))="","",INDEX(Base!$U$2:$U$601,MATCH(B291,Base!$A$2:$A$601,0)))</f>
        <v/>
      </c>
      <c r="M291">
        <f>INDEX(Base!$R$2:$R$601,MATCH(B291,Base!$A$2:$A$601,0))</f>
        <v>0</v>
      </c>
      <c r="N291" t="str">
        <f>INDEX(Base!$AB$2:$AB$601,MATCH(B291,Base!$A$2:$A$601,0))</f>
        <v>Média</v>
      </c>
      <c r="O291">
        <v>166</v>
      </c>
    </row>
    <row r="292" spans="1:16" x14ac:dyDescent="0.25">
      <c r="A292" t="s">
        <v>1214</v>
      </c>
      <c r="B292" t="s">
        <v>565</v>
      </c>
      <c r="C292" t="s">
        <v>927</v>
      </c>
      <c r="D292" t="s">
        <v>922</v>
      </c>
      <c r="E292">
        <v>394.01</v>
      </c>
      <c r="F292">
        <v>10</v>
      </c>
      <c r="G292" t="str">
        <f>INDEX(Base!$D$2:$D$601,MATCH(B292,Base!$A$2:$A$601,0))</f>
        <v>Pequeno Escritório</v>
      </c>
      <c r="H292" t="str">
        <f>INDEX(Base!$C$2:$C$601,MATCH(B292,Base!$A$2:$A$601,0))</f>
        <v>Nordeste</v>
      </c>
      <c r="I292">
        <f>INDEX(Base!$M$2:$M$601,MATCH(B292,Base!$A$2:$A$601,0))</f>
        <v>1</v>
      </c>
      <c r="J292">
        <f t="shared" si="8"/>
        <v>1</v>
      </c>
      <c r="K292">
        <f t="shared" si="9"/>
        <v>1</v>
      </c>
      <c r="L292" t="str">
        <f>IF(INDEX(Base!$U$2:$U$601,MATCH(B292,Base!$A$2:$A$601,0))="","",INDEX(Base!$U$2:$U$601,MATCH(B292,Base!$A$2:$A$601,0)))</f>
        <v/>
      </c>
      <c r="M292">
        <f>INDEX(Base!$R$2:$R$601,MATCH(B292,Base!$A$2:$A$601,0))</f>
        <v>0</v>
      </c>
      <c r="N292" t="str">
        <f>INDEX(Base!$AB$2:$AB$601,MATCH(B292,Base!$A$2:$A$601,0))</f>
        <v>Média</v>
      </c>
      <c r="O292">
        <v>82</v>
      </c>
      <c r="P292" s="33">
        <v>45402</v>
      </c>
    </row>
    <row r="293" spans="1:16" x14ac:dyDescent="0.25">
      <c r="A293" t="s">
        <v>1215</v>
      </c>
      <c r="B293" t="s">
        <v>462</v>
      </c>
      <c r="C293" t="s">
        <v>921</v>
      </c>
      <c r="D293" t="s">
        <v>220</v>
      </c>
      <c r="F293">
        <v>4</v>
      </c>
      <c r="G293" t="str">
        <f>INDEX(Base!$D$2:$D$601,MATCH(B293,Base!$A$2:$A$601,0))</f>
        <v>Autônomo</v>
      </c>
      <c r="H293" t="str">
        <f>INDEX(Base!$C$2:$C$601,MATCH(B293,Base!$A$2:$A$601,0))</f>
        <v>Sudeste</v>
      </c>
      <c r="I293">
        <f>INDEX(Base!$M$2:$M$601,MATCH(B293,Base!$A$2:$A$601,0))</f>
        <v>0</v>
      </c>
      <c r="J293">
        <f t="shared" si="8"/>
        <v>0</v>
      </c>
      <c r="K293">
        <f t="shared" si="9"/>
        <v>0</v>
      </c>
      <c r="L293" t="str">
        <f>IF(INDEX(Base!$U$2:$U$601,MATCH(B293,Base!$A$2:$A$601,0))="","",INDEX(Base!$U$2:$U$601,MATCH(B293,Base!$A$2:$A$601,0)))</f>
        <v>Baixa</v>
      </c>
      <c r="M293">
        <f>INDEX(Base!$R$2:$R$601,MATCH(B293,Base!$A$2:$A$601,0))</f>
        <v>0</v>
      </c>
      <c r="N293" t="str">
        <f>INDEX(Base!$AB$2:$AB$601,MATCH(B293,Base!$A$2:$A$601,0))</f>
        <v>Baixa</v>
      </c>
      <c r="O293">
        <v>159</v>
      </c>
    </row>
    <row r="294" spans="1:16" x14ac:dyDescent="0.25">
      <c r="A294" t="s">
        <v>1216</v>
      </c>
      <c r="B294" t="s">
        <v>493</v>
      </c>
      <c r="C294" t="s">
        <v>921</v>
      </c>
      <c r="D294" t="s">
        <v>919</v>
      </c>
      <c r="F294">
        <v>2</v>
      </c>
      <c r="G294" t="str">
        <f>INDEX(Base!$D$2:$D$601,MATCH(B294,Base!$A$2:$A$601,0))</f>
        <v>Autônomo</v>
      </c>
      <c r="H294" t="str">
        <f>INDEX(Base!$C$2:$C$601,MATCH(B294,Base!$A$2:$A$601,0))</f>
        <v>Sudeste</v>
      </c>
      <c r="I294">
        <f>INDEX(Base!$M$2:$M$601,MATCH(B294,Base!$A$2:$A$601,0))</f>
        <v>0</v>
      </c>
      <c r="J294">
        <f t="shared" si="8"/>
        <v>1</v>
      </c>
      <c r="K294">
        <f t="shared" si="9"/>
        <v>0</v>
      </c>
      <c r="L294" t="str">
        <f>IF(INDEX(Base!$U$2:$U$601,MATCH(B294,Base!$A$2:$A$601,0))="","",INDEX(Base!$U$2:$U$601,MATCH(B294,Base!$A$2:$A$601,0)))</f>
        <v>Baixa</v>
      </c>
      <c r="M294">
        <f>INDEX(Base!$R$2:$R$601,MATCH(B294,Base!$A$2:$A$601,0))</f>
        <v>0</v>
      </c>
      <c r="N294" t="str">
        <f>INDEX(Base!$AB$2:$AB$601,MATCH(B294,Base!$A$2:$A$601,0))</f>
        <v>Média</v>
      </c>
      <c r="O294">
        <v>28</v>
      </c>
    </row>
    <row r="295" spans="1:16" x14ac:dyDescent="0.25">
      <c r="A295" t="s">
        <v>1217</v>
      </c>
      <c r="B295" t="s">
        <v>893</v>
      </c>
      <c r="C295" t="s">
        <v>921</v>
      </c>
      <c r="D295" t="s">
        <v>216</v>
      </c>
      <c r="F295">
        <v>10</v>
      </c>
      <c r="G295" t="str">
        <f>INDEX(Base!$D$2:$D$601,MATCH(B295,Base!$A$2:$A$601,0))</f>
        <v>Grande Escritório</v>
      </c>
      <c r="H295" t="str">
        <f>INDEX(Base!$C$2:$C$601,MATCH(B295,Base!$A$2:$A$601,0))</f>
        <v>Sul</v>
      </c>
      <c r="I295">
        <f>INDEX(Base!$M$2:$M$601,MATCH(B295,Base!$A$2:$A$601,0))</f>
        <v>1</v>
      </c>
      <c r="J295">
        <f t="shared" si="8"/>
        <v>0</v>
      </c>
      <c r="K295">
        <f t="shared" si="9"/>
        <v>0</v>
      </c>
      <c r="L295" t="str">
        <f>IF(INDEX(Base!$U$2:$U$601,MATCH(B295,Base!$A$2:$A$601,0))="","",INDEX(Base!$U$2:$U$601,MATCH(B295,Base!$A$2:$A$601,0)))</f>
        <v/>
      </c>
      <c r="M295">
        <f>INDEX(Base!$R$2:$R$601,MATCH(B295,Base!$A$2:$A$601,0))</f>
        <v>1</v>
      </c>
      <c r="N295" t="str">
        <f>INDEX(Base!$AB$2:$AB$601,MATCH(B295,Base!$A$2:$A$601,0))</f>
        <v>Alta</v>
      </c>
      <c r="O295">
        <v>25</v>
      </c>
    </row>
    <row r="296" spans="1:16" x14ac:dyDescent="0.25">
      <c r="A296" t="s">
        <v>1218</v>
      </c>
      <c r="B296" t="s">
        <v>605</v>
      </c>
      <c r="C296" t="s">
        <v>921</v>
      </c>
      <c r="D296" t="s">
        <v>919</v>
      </c>
      <c r="F296">
        <v>7</v>
      </c>
      <c r="G296" t="str">
        <f>INDEX(Base!$D$2:$D$601,MATCH(B296,Base!$A$2:$A$601,0))</f>
        <v>Autônomo</v>
      </c>
      <c r="H296" t="str">
        <f>INDEX(Base!$C$2:$C$601,MATCH(B296,Base!$A$2:$A$601,0))</f>
        <v>Nordeste</v>
      </c>
      <c r="I296">
        <f>INDEX(Base!$M$2:$M$601,MATCH(B296,Base!$A$2:$A$601,0))</f>
        <v>0</v>
      </c>
      <c r="J296">
        <f t="shared" si="8"/>
        <v>1</v>
      </c>
      <c r="K296">
        <f t="shared" si="9"/>
        <v>0</v>
      </c>
      <c r="L296" t="str">
        <f>IF(INDEX(Base!$U$2:$U$601,MATCH(B296,Base!$A$2:$A$601,0))="","",INDEX(Base!$U$2:$U$601,MATCH(B296,Base!$A$2:$A$601,0)))</f>
        <v/>
      </c>
      <c r="M296">
        <f>INDEX(Base!$R$2:$R$601,MATCH(B296,Base!$A$2:$A$601,0))</f>
        <v>0</v>
      </c>
      <c r="N296" t="str">
        <f>INDEX(Base!$AB$2:$AB$601,MATCH(B296,Base!$A$2:$A$601,0))</f>
        <v>Baixa</v>
      </c>
      <c r="O296">
        <v>69</v>
      </c>
    </row>
    <row r="297" spans="1:16" x14ac:dyDescent="0.25">
      <c r="A297" t="s">
        <v>1219</v>
      </c>
      <c r="B297" t="s">
        <v>890</v>
      </c>
      <c r="C297" t="s">
        <v>927</v>
      </c>
      <c r="D297" t="s">
        <v>221</v>
      </c>
      <c r="F297">
        <v>11</v>
      </c>
      <c r="G297" t="str">
        <f>INDEX(Base!$D$2:$D$601,MATCH(B297,Base!$A$2:$A$601,0))</f>
        <v>Autônomo</v>
      </c>
      <c r="H297" t="str">
        <f>INDEX(Base!$C$2:$C$601,MATCH(B297,Base!$A$2:$A$601,0))</f>
        <v>Nordeste</v>
      </c>
      <c r="I297">
        <f>INDEX(Base!$M$2:$M$601,MATCH(B297,Base!$A$2:$A$601,0))</f>
        <v>0</v>
      </c>
      <c r="J297">
        <f t="shared" si="8"/>
        <v>0</v>
      </c>
      <c r="K297">
        <f t="shared" si="9"/>
        <v>0</v>
      </c>
      <c r="L297" t="str">
        <f>IF(INDEX(Base!$U$2:$U$601,MATCH(B297,Base!$A$2:$A$601,0))="","",INDEX(Base!$U$2:$U$601,MATCH(B297,Base!$A$2:$A$601,0)))</f>
        <v>Média</v>
      </c>
      <c r="M297">
        <f>INDEX(Base!$R$2:$R$601,MATCH(B297,Base!$A$2:$A$601,0))</f>
        <v>0</v>
      </c>
      <c r="N297" t="str">
        <f>INDEX(Base!$AB$2:$AB$601,MATCH(B297,Base!$A$2:$A$601,0))</f>
        <v>Média</v>
      </c>
      <c r="O297">
        <v>102</v>
      </c>
    </row>
    <row r="298" spans="1:16" x14ac:dyDescent="0.25">
      <c r="A298" t="s">
        <v>1220</v>
      </c>
      <c r="B298" t="s">
        <v>474</v>
      </c>
      <c r="C298" t="s">
        <v>921</v>
      </c>
      <c r="D298" t="s">
        <v>922</v>
      </c>
      <c r="E298">
        <v>330.3</v>
      </c>
      <c r="F298">
        <v>10</v>
      </c>
      <c r="G298" t="str">
        <f>INDEX(Base!$D$2:$D$601,MATCH(B298,Base!$A$2:$A$601,0))</f>
        <v>Grande Escritório</v>
      </c>
      <c r="H298" t="str">
        <f>INDEX(Base!$C$2:$C$601,MATCH(B298,Base!$A$2:$A$601,0))</f>
        <v>Sudeste</v>
      </c>
      <c r="I298">
        <f>INDEX(Base!$M$2:$M$601,MATCH(B298,Base!$A$2:$A$601,0))</f>
        <v>1</v>
      </c>
      <c r="J298">
        <f t="shared" si="8"/>
        <v>1</v>
      </c>
      <c r="K298">
        <f t="shared" si="9"/>
        <v>1</v>
      </c>
      <c r="L298" t="str">
        <f>IF(INDEX(Base!$U$2:$U$601,MATCH(B298,Base!$A$2:$A$601,0))="","",INDEX(Base!$U$2:$U$601,MATCH(B298,Base!$A$2:$A$601,0)))</f>
        <v/>
      </c>
      <c r="M298">
        <f>INDEX(Base!$R$2:$R$601,MATCH(B298,Base!$A$2:$A$601,0))</f>
        <v>1</v>
      </c>
      <c r="N298" t="str">
        <f>INDEX(Base!$AB$2:$AB$601,MATCH(B298,Base!$A$2:$A$601,0))</f>
        <v>Alta</v>
      </c>
      <c r="O298">
        <v>11</v>
      </c>
      <c r="P298" s="33">
        <v>45724</v>
      </c>
    </row>
    <row r="299" spans="1:16" x14ac:dyDescent="0.25">
      <c r="A299" t="s">
        <v>1221</v>
      </c>
      <c r="B299" t="s">
        <v>522</v>
      </c>
      <c r="C299" t="s">
        <v>927</v>
      </c>
      <c r="D299" t="s">
        <v>919</v>
      </c>
      <c r="F299">
        <v>12</v>
      </c>
      <c r="G299" t="str">
        <f>INDEX(Base!$D$2:$D$601,MATCH(B299,Base!$A$2:$A$601,0))</f>
        <v>Médio Escritório</v>
      </c>
      <c r="H299" t="str">
        <f>INDEX(Base!$C$2:$C$601,MATCH(B299,Base!$A$2:$A$601,0))</f>
        <v>Sul</v>
      </c>
      <c r="I299">
        <f>INDEX(Base!$M$2:$M$601,MATCH(B299,Base!$A$2:$A$601,0))</f>
        <v>1</v>
      </c>
      <c r="J299">
        <f t="shared" si="8"/>
        <v>1</v>
      </c>
      <c r="K299">
        <f t="shared" si="9"/>
        <v>0</v>
      </c>
      <c r="L299" t="str">
        <f>IF(INDEX(Base!$U$2:$U$601,MATCH(B299,Base!$A$2:$A$601,0))="","",INDEX(Base!$U$2:$U$601,MATCH(B299,Base!$A$2:$A$601,0)))</f>
        <v/>
      </c>
      <c r="M299">
        <f>INDEX(Base!$R$2:$R$601,MATCH(B299,Base!$A$2:$A$601,0))</f>
        <v>1</v>
      </c>
      <c r="N299" t="str">
        <f>INDEX(Base!$AB$2:$AB$601,MATCH(B299,Base!$A$2:$A$601,0))</f>
        <v>Alta</v>
      </c>
      <c r="O299">
        <v>58</v>
      </c>
    </row>
    <row r="300" spans="1:16" x14ac:dyDescent="0.25">
      <c r="A300" t="s">
        <v>1222</v>
      </c>
      <c r="B300" t="s">
        <v>564</v>
      </c>
      <c r="C300" t="s">
        <v>934</v>
      </c>
      <c r="D300" t="s">
        <v>922</v>
      </c>
      <c r="E300">
        <v>1778.59</v>
      </c>
      <c r="F300">
        <v>8</v>
      </c>
      <c r="G300" t="str">
        <f>INDEX(Base!$D$2:$D$601,MATCH(B300,Base!$A$2:$A$601,0))</f>
        <v>Grande Escritório</v>
      </c>
      <c r="H300" t="str">
        <f>INDEX(Base!$C$2:$C$601,MATCH(B300,Base!$A$2:$A$601,0))</f>
        <v>Sudeste</v>
      </c>
      <c r="I300">
        <f>INDEX(Base!$M$2:$M$601,MATCH(B300,Base!$A$2:$A$601,0))</f>
        <v>1</v>
      </c>
      <c r="J300">
        <f t="shared" si="8"/>
        <v>1</v>
      </c>
      <c r="K300">
        <f t="shared" si="9"/>
        <v>1</v>
      </c>
      <c r="L300" t="str">
        <f>IF(INDEX(Base!$U$2:$U$601,MATCH(B300,Base!$A$2:$A$601,0))="","",INDEX(Base!$U$2:$U$601,MATCH(B300,Base!$A$2:$A$601,0)))</f>
        <v/>
      </c>
      <c r="M300">
        <f>INDEX(Base!$R$2:$R$601,MATCH(B300,Base!$A$2:$A$601,0))</f>
        <v>1</v>
      </c>
      <c r="N300" t="str">
        <f>INDEX(Base!$AB$2:$AB$601,MATCH(B300,Base!$A$2:$A$601,0))</f>
        <v>Alta</v>
      </c>
      <c r="O300">
        <v>0</v>
      </c>
      <c r="P300" s="33">
        <v>45699</v>
      </c>
    </row>
    <row r="301" spans="1:16" x14ac:dyDescent="0.25">
      <c r="A301" t="s">
        <v>1223</v>
      </c>
      <c r="B301" t="s">
        <v>847</v>
      </c>
      <c r="C301" t="s">
        <v>918</v>
      </c>
      <c r="D301" t="s">
        <v>216</v>
      </c>
      <c r="F301">
        <v>7</v>
      </c>
      <c r="G301" t="str">
        <f>INDEX(Base!$D$2:$D$601,MATCH(B301,Base!$A$2:$A$601,0))</f>
        <v>Autônomo</v>
      </c>
      <c r="H301" t="str">
        <f>INDEX(Base!$C$2:$C$601,MATCH(B301,Base!$A$2:$A$601,0))</f>
        <v>Norte</v>
      </c>
      <c r="I301">
        <f>INDEX(Base!$M$2:$M$601,MATCH(B301,Base!$A$2:$A$601,0))</f>
        <v>0</v>
      </c>
      <c r="J301">
        <f t="shared" si="8"/>
        <v>0</v>
      </c>
      <c r="K301">
        <f t="shared" si="9"/>
        <v>0</v>
      </c>
      <c r="L301" t="str">
        <f>IF(INDEX(Base!$U$2:$U$601,MATCH(B301,Base!$A$2:$A$601,0))="","",INDEX(Base!$U$2:$U$601,MATCH(B301,Base!$A$2:$A$601,0)))</f>
        <v>Baixa</v>
      </c>
      <c r="M301">
        <f>INDEX(Base!$R$2:$R$601,MATCH(B301,Base!$A$2:$A$601,0))</f>
        <v>0</v>
      </c>
      <c r="N301" t="str">
        <f>INDEX(Base!$AB$2:$AB$601,MATCH(B301,Base!$A$2:$A$601,0))</f>
        <v>Média</v>
      </c>
      <c r="O301">
        <v>172</v>
      </c>
    </row>
    <row r="302" spans="1:16" x14ac:dyDescent="0.25">
      <c r="A302" t="s">
        <v>1224</v>
      </c>
      <c r="B302" t="s">
        <v>463</v>
      </c>
      <c r="C302" t="s">
        <v>918</v>
      </c>
      <c r="D302" t="s">
        <v>218</v>
      </c>
      <c r="F302">
        <v>3</v>
      </c>
      <c r="G302" t="str">
        <f>INDEX(Base!$D$2:$D$601,MATCH(B302,Base!$A$2:$A$601,0))</f>
        <v>Pequeno Escritório</v>
      </c>
      <c r="H302" t="str">
        <f>INDEX(Base!$C$2:$C$601,MATCH(B302,Base!$A$2:$A$601,0))</f>
        <v>Sul</v>
      </c>
      <c r="I302">
        <f>INDEX(Base!$M$2:$M$601,MATCH(B302,Base!$A$2:$A$601,0))</f>
        <v>0</v>
      </c>
      <c r="J302">
        <f t="shared" si="8"/>
        <v>0</v>
      </c>
      <c r="K302">
        <f t="shared" si="9"/>
        <v>0</v>
      </c>
      <c r="L302" t="str">
        <f>IF(INDEX(Base!$U$2:$U$601,MATCH(B302,Base!$A$2:$A$601,0))="","",INDEX(Base!$U$2:$U$601,MATCH(B302,Base!$A$2:$A$601,0)))</f>
        <v>Alta</v>
      </c>
      <c r="M302">
        <f>INDEX(Base!$R$2:$R$601,MATCH(B302,Base!$A$2:$A$601,0))</f>
        <v>0</v>
      </c>
      <c r="N302" t="str">
        <f>INDEX(Base!$AB$2:$AB$601,MATCH(B302,Base!$A$2:$A$601,0))</f>
        <v>Média</v>
      </c>
      <c r="O302">
        <v>39</v>
      </c>
    </row>
    <row r="303" spans="1:16" x14ac:dyDescent="0.25">
      <c r="A303" t="s">
        <v>1225</v>
      </c>
      <c r="B303" t="s">
        <v>803</v>
      </c>
      <c r="C303" t="s">
        <v>918</v>
      </c>
      <c r="D303" t="s">
        <v>221</v>
      </c>
      <c r="F303">
        <v>8</v>
      </c>
      <c r="G303" t="str">
        <f>INDEX(Base!$D$2:$D$601,MATCH(B303,Base!$A$2:$A$601,0))</f>
        <v>Pequeno Escritório</v>
      </c>
      <c r="H303" t="str">
        <f>INDEX(Base!$C$2:$C$601,MATCH(B303,Base!$A$2:$A$601,0))</f>
        <v>Sudeste</v>
      </c>
      <c r="I303">
        <f>INDEX(Base!$M$2:$M$601,MATCH(B303,Base!$A$2:$A$601,0))</f>
        <v>1</v>
      </c>
      <c r="J303">
        <f t="shared" si="8"/>
        <v>0</v>
      </c>
      <c r="K303">
        <f t="shared" si="9"/>
        <v>0</v>
      </c>
      <c r="L303" t="str">
        <f>IF(INDEX(Base!$U$2:$U$601,MATCH(B303,Base!$A$2:$A$601,0))="","",INDEX(Base!$U$2:$U$601,MATCH(B303,Base!$A$2:$A$601,0)))</f>
        <v/>
      </c>
      <c r="M303">
        <f>INDEX(Base!$R$2:$R$601,MATCH(B303,Base!$A$2:$A$601,0))</f>
        <v>1</v>
      </c>
      <c r="N303" t="str">
        <f>INDEX(Base!$AB$2:$AB$601,MATCH(B303,Base!$A$2:$A$601,0))</f>
        <v>Alta</v>
      </c>
      <c r="O303">
        <v>150</v>
      </c>
    </row>
    <row r="304" spans="1:16" x14ac:dyDescent="0.25">
      <c r="A304" t="s">
        <v>1226</v>
      </c>
      <c r="B304" t="s">
        <v>862</v>
      </c>
      <c r="C304" t="s">
        <v>927</v>
      </c>
      <c r="D304" t="s">
        <v>218</v>
      </c>
      <c r="F304">
        <v>12</v>
      </c>
      <c r="G304" t="str">
        <f>INDEX(Base!$D$2:$D$601,MATCH(B304,Base!$A$2:$A$601,0))</f>
        <v>Autônomo</v>
      </c>
      <c r="H304" t="str">
        <f>INDEX(Base!$C$2:$C$601,MATCH(B304,Base!$A$2:$A$601,0))</f>
        <v>Sudeste</v>
      </c>
      <c r="I304">
        <f>INDEX(Base!$M$2:$M$601,MATCH(B304,Base!$A$2:$A$601,0))</f>
        <v>0</v>
      </c>
      <c r="J304">
        <f t="shared" si="8"/>
        <v>0</v>
      </c>
      <c r="K304">
        <f t="shared" si="9"/>
        <v>0</v>
      </c>
      <c r="L304" t="str">
        <f>IF(INDEX(Base!$U$2:$U$601,MATCH(B304,Base!$A$2:$A$601,0))="","",INDEX(Base!$U$2:$U$601,MATCH(B304,Base!$A$2:$A$601,0)))</f>
        <v>Média</v>
      </c>
      <c r="M304">
        <f>INDEX(Base!$R$2:$R$601,MATCH(B304,Base!$A$2:$A$601,0))</f>
        <v>0</v>
      </c>
      <c r="N304" t="str">
        <f>INDEX(Base!$AB$2:$AB$601,MATCH(B304,Base!$A$2:$A$601,0))</f>
        <v>Baixa</v>
      </c>
      <c r="O304">
        <v>51</v>
      </c>
    </row>
    <row r="305" spans="1:16" x14ac:dyDescent="0.25">
      <c r="A305" t="s">
        <v>1227</v>
      </c>
      <c r="B305" t="s">
        <v>616</v>
      </c>
      <c r="C305" t="s">
        <v>927</v>
      </c>
      <c r="D305" t="s">
        <v>218</v>
      </c>
      <c r="F305">
        <v>7</v>
      </c>
      <c r="G305" t="str">
        <f>INDEX(Base!$D$2:$D$601,MATCH(B305,Base!$A$2:$A$601,0))</f>
        <v>Autônomo</v>
      </c>
      <c r="H305" t="str">
        <f>INDEX(Base!$C$2:$C$601,MATCH(B305,Base!$A$2:$A$601,0))</f>
        <v>Nordeste</v>
      </c>
      <c r="I305">
        <f>INDEX(Base!$M$2:$M$601,MATCH(B305,Base!$A$2:$A$601,0))</f>
        <v>0</v>
      </c>
      <c r="J305">
        <f t="shared" si="8"/>
        <v>0</v>
      </c>
      <c r="K305">
        <f t="shared" si="9"/>
        <v>0</v>
      </c>
      <c r="L305" t="str">
        <f>IF(INDEX(Base!$U$2:$U$601,MATCH(B305,Base!$A$2:$A$601,0))="","",INDEX(Base!$U$2:$U$601,MATCH(B305,Base!$A$2:$A$601,0)))</f>
        <v>Baixa</v>
      </c>
      <c r="M305">
        <f>INDEX(Base!$R$2:$R$601,MATCH(B305,Base!$A$2:$A$601,0))</f>
        <v>0</v>
      </c>
      <c r="N305" t="str">
        <f>INDEX(Base!$AB$2:$AB$601,MATCH(B305,Base!$A$2:$A$601,0))</f>
        <v>Baixa</v>
      </c>
      <c r="O305">
        <v>117</v>
      </c>
    </row>
    <row r="306" spans="1:16" x14ac:dyDescent="0.25">
      <c r="A306" t="s">
        <v>1228</v>
      </c>
      <c r="B306" t="s">
        <v>567</v>
      </c>
      <c r="C306" t="s">
        <v>921</v>
      </c>
      <c r="D306" t="s">
        <v>220</v>
      </c>
      <c r="F306">
        <v>11</v>
      </c>
      <c r="G306" t="str">
        <f>INDEX(Base!$D$2:$D$601,MATCH(B306,Base!$A$2:$A$601,0))</f>
        <v>Autônomo</v>
      </c>
      <c r="H306" t="str">
        <f>INDEX(Base!$C$2:$C$601,MATCH(B306,Base!$A$2:$A$601,0))</f>
        <v>Nordeste</v>
      </c>
      <c r="I306">
        <f>INDEX(Base!$M$2:$M$601,MATCH(B306,Base!$A$2:$A$601,0))</f>
        <v>0</v>
      </c>
      <c r="J306">
        <f t="shared" si="8"/>
        <v>0</v>
      </c>
      <c r="K306">
        <f t="shared" si="9"/>
        <v>0</v>
      </c>
      <c r="L306" t="str">
        <f>IF(INDEX(Base!$U$2:$U$601,MATCH(B306,Base!$A$2:$A$601,0))="","",INDEX(Base!$U$2:$U$601,MATCH(B306,Base!$A$2:$A$601,0)))</f>
        <v>Média</v>
      </c>
      <c r="M306">
        <f>INDEX(Base!$R$2:$R$601,MATCH(B306,Base!$A$2:$A$601,0))</f>
        <v>0</v>
      </c>
      <c r="N306" t="str">
        <f>INDEX(Base!$AB$2:$AB$601,MATCH(B306,Base!$A$2:$A$601,0))</f>
        <v>Baixa</v>
      </c>
      <c r="O306">
        <v>47</v>
      </c>
    </row>
    <row r="307" spans="1:16" x14ac:dyDescent="0.25">
      <c r="A307" t="s">
        <v>1229</v>
      </c>
      <c r="B307" t="s">
        <v>403</v>
      </c>
      <c r="C307" t="s">
        <v>918</v>
      </c>
      <c r="D307" t="s">
        <v>220</v>
      </c>
      <c r="F307">
        <v>2</v>
      </c>
      <c r="G307" t="str">
        <f>INDEX(Base!$D$2:$D$601,MATCH(B307,Base!$A$2:$A$601,0))</f>
        <v>Pequeno Escritório</v>
      </c>
      <c r="H307" t="str">
        <f>INDEX(Base!$C$2:$C$601,MATCH(B307,Base!$A$2:$A$601,0))</f>
        <v>Norte</v>
      </c>
      <c r="I307">
        <f>INDEX(Base!$M$2:$M$601,MATCH(B307,Base!$A$2:$A$601,0))</f>
        <v>0</v>
      </c>
      <c r="J307">
        <f t="shared" si="8"/>
        <v>0</v>
      </c>
      <c r="K307">
        <f t="shared" si="9"/>
        <v>0</v>
      </c>
      <c r="L307" t="str">
        <f>IF(INDEX(Base!$U$2:$U$601,MATCH(B307,Base!$A$2:$A$601,0))="","",INDEX(Base!$U$2:$U$601,MATCH(B307,Base!$A$2:$A$601,0)))</f>
        <v>Média</v>
      </c>
      <c r="M307">
        <f>INDEX(Base!$R$2:$R$601,MATCH(B307,Base!$A$2:$A$601,0))</f>
        <v>0</v>
      </c>
      <c r="N307" t="str">
        <f>INDEX(Base!$AB$2:$AB$601,MATCH(B307,Base!$A$2:$A$601,0))</f>
        <v>Média</v>
      </c>
      <c r="O307">
        <v>92</v>
      </c>
    </row>
    <row r="308" spans="1:16" x14ac:dyDescent="0.25">
      <c r="A308" t="s">
        <v>1230</v>
      </c>
      <c r="B308" t="s">
        <v>748</v>
      </c>
      <c r="C308" t="s">
        <v>918</v>
      </c>
      <c r="D308" t="s">
        <v>215</v>
      </c>
      <c r="F308">
        <v>2</v>
      </c>
      <c r="G308" t="str">
        <f>INDEX(Base!$D$2:$D$601,MATCH(B308,Base!$A$2:$A$601,0))</f>
        <v>Pequeno Escritório</v>
      </c>
      <c r="H308" t="str">
        <f>INDEX(Base!$C$2:$C$601,MATCH(B308,Base!$A$2:$A$601,0))</f>
        <v>Sul</v>
      </c>
      <c r="I308">
        <f>INDEX(Base!$M$2:$M$601,MATCH(B308,Base!$A$2:$A$601,0))</f>
        <v>1</v>
      </c>
      <c r="J308">
        <f t="shared" si="8"/>
        <v>0</v>
      </c>
      <c r="K308">
        <f t="shared" si="9"/>
        <v>0</v>
      </c>
      <c r="L308" t="str">
        <f>IF(INDEX(Base!$U$2:$U$601,MATCH(B308,Base!$A$2:$A$601,0))="","",INDEX(Base!$U$2:$U$601,MATCH(B308,Base!$A$2:$A$601,0)))</f>
        <v/>
      </c>
      <c r="M308">
        <f>INDEX(Base!$R$2:$R$601,MATCH(B308,Base!$A$2:$A$601,0))</f>
        <v>0</v>
      </c>
      <c r="N308" t="str">
        <f>INDEX(Base!$AB$2:$AB$601,MATCH(B308,Base!$A$2:$A$601,0))</f>
        <v>Média</v>
      </c>
      <c r="O308">
        <v>7</v>
      </c>
    </row>
    <row r="309" spans="1:16" x14ac:dyDescent="0.25">
      <c r="A309" t="s">
        <v>1231</v>
      </c>
      <c r="B309" t="s">
        <v>600</v>
      </c>
      <c r="C309" t="s">
        <v>918</v>
      </c>
      <c r="D309" t="s">
        <v>922</v>
      </c>
      <c r="E309">
        <v>309.79000000000002</v>
      </c>
      <c r="F309">
        <v>9</v>
      </c>
      <c r="G309" t="str">
        <f>INDEX(Base!$D$2:$D$601,MATCH(B309,Base!$A$2:$A$601,0))</f>
        <v>Grande Escritório</v>
      </c>
      <c r="H309" t="str">
        <f>INDEX(Base!$C$2:$C$601,MATCH(B309,Base!$A$2:$A$601,0))</f>
        <v>Centro-Oeste</v>
      </c>
      <c r="I309">
        <f>INDEX(Base!$M$2:$M$601,MATCH(B309,Base!$A$2:$A$601,0))</f>
        <v>1</v>
      </c>
      <c r="J309">
        <f t="shared" si="8"/>
        <v>1</v>
      </c>
      <c r="K309">
        <f t="shared" si="9"/>
        <v>1</v>
      </c>
      <c r="L309" t="str">
        <f>IF(INDEX(Base!$U$2:$U$601,MATCH(B309,Base!$A$2:$A$601,0))="","",INDEX(Base!$U$2:$U$601,MATCH(B309,Base!$A$2:$A$601,0)))</f>
        <v/>
      </c>
      <c r="M309">
        <f>INDEX(Base!$R$2:$R$601,MATCH(B309,Base!$A$2:$A$601,0))</f>
        <v>1</v>
      </c>
      <c r="N309" t="str">
        <f>INDEX(Base!$AB$2:$AB$601,MATCH(B309,Base!$A$2:$A$601,0))</f>
        <v>Alta</v>
      </c>
      <c r="O309">
        <v>5</v>
      </c>
      <c r="P309" s="33">
        <v>45304</v>
      </c>
    </row>
    <row r="310" spans="1:16" x14ac:dyDescent="0.25">
      <c r="A310" t="s">
        <v>1232</v>
      </c>
      <c r="B310" t="s">
        <v>876</v>
      </c>
      <c r="C310" t="s">
        <v>927</v>
      </c>
      <c r="D310" t="s">
        <v>215</v>
      </c>
      <c r="F310">
        <v>5</v>
      </c>
      <c r="G310" t="str">
        <f>INDEX(Base!$D$2:$D$601,MATCH(B310,Base!$A$2:$A$601,0))</f>
        <v>Autônomo</v>
      </c>
      <c r="H310" t="str">
        <f>INDEX(Base!$C$2:$C$601,MATCH(B310,Base!$A$2:$A$601,0))</f>
        <v>Centro-Oeste</v>
      </c>
      <c r="I310">
        <f>INDEX(Base!$M$2:$M$601,MATCH(B310,Base!$A$2:$A$601,0))</f>
        <v>0</v>
      </c>
      <c r="J310">
        <f t="shared" si="8"/>
        <v>0</v>
      </c>
      <c r="K310">
        <f t="shared" si="9"/>
        <v>0</v>
      </c>
      <c r="L310" t="str">
        <f>IF(INDEX(Base!$U$2:$U$601,MATCH(B310,Base!$A$2:$A$601,0))="","",INDEX(Base!$U$2:$U$601,MATCH(B310,Base!$A$2:$A$601,0)))</f>
        <v/>
      </c>
      <c r="M310">
        <f>INDEX(Base!$R$2:$R$601,MATCH(B310,Base!$A$2:$A$601,0))</f>
        <v>0</v>
      </c>
      <c r="N310" t="str">
        <f>INDEX(Base!$AB$2:$AB$601,MATCH(B310,Base!$A$2:$A$601,0))</f>
        <v>Baixa</v>
      </c>
      <c r="O310">
        <v>129</v>
      </c>
    </row>
    <row r="311" spans="1:16" x14ac:dyDescent="0.25">
      <c r="A311" t="s">
        <v>1233</v>
      </c>
      <c r="B311" t="s">
        <v>639</v>
      </c>
      <c r="C311" t="s">
        <v>921</v>
      </c>
      <c r="D311" t="s">
        <v>215</v>
      </c>
      <c r="F311">
        <v>6</v>
      </c>
      <c r="G311" t="str">
        <f>INDEX(Base!$D$2:$D$601,MATCH(B311,Base!$A$2:$A$601,0))</f>
        <v>Pequeno Escritório</v>
      </c>
      <c r="H311" t="str">
        <f>INDEX(Base!$C$2:$C$601,MATCH(B311,Base!$A$2:$A$601,0))</f>
        <v>Sudeste</v>
      </c>
      <c r="I311">
        <f>INDEX(Base!$M$2:$M$601,MATCH(B311,Base!$A$2:$A$601,0))</f>
        <v>1</v>
      </c>
      <c r="J311">
        <f t="shared" si="8"/>
        <v>0</v>
      </c>
      <c r="K311">
        <f t="shared" si="9"/>
        <v>0</v>
      </c>
      <c r="L311" t="str">
        <f>IF(INDEX(Base!$U$2:$U$601,MATCH(B311,Base!$A$2:$A$601,0))="","",INDEX(Base!$U$2:$U$601,MATCH(B311,Base!$A$2:$A$601,0)))</f>
        <v/>
      </c>
      <c r="M311">
        <f>INDEX(Base!$R$2:$R$601,MATCH(B311,Base!$A$2:$A$601,0))</f>
        <v>0</v>
      </c>
      <c r="N311" t="str">
        <f>INDEX(Base!$AB$2:$AB$601,MATCH(B311,Base!$A$2:$A$601,0))</f>
        <v>Média</v>
      </c>
      <c r="O311">
        <v>99</v>
      </c>
    </row>
    <row r="312" spans="1:16" x14ac:dyDescent="0.25">
      <c r="A312" t="s">
        <v>1234</v>
      </c>
      <c r="B312" t="s">
        <v>859</v>
      </c>
      <c r="C312" t="s">
        <v>927</v>
      </c>
      <c r="D312" t="s">
        <v>221</v>
      </c>
      <c r="F312">
        <v>4</v>
      </c>
      <c r="G312" t="str">
        <f>INDEX(Base!$D$2:$D$601,MATCH(B312,Base!$A$2:$A$601,0))</f>
        <v>Pequeno Escritório</v>
      </c>
      <c r="H312" t="str">
        <f>INDEX(Base!$C$2:$C$601,MATCH(B312,Base!$A$2:$A$601,0))</f>
        <v>Centro-Oeste</v>
      </c>
      <c r="I312">
        <f>INDEX(Base!$M$2:$M$601,MATCH(B312,Base!$A$2:$A$601,0))</f>
        <v>1</v>
      </c>
      <c r="J312">
        <f t="shared" si="8"/>
        <v>0</v>
      </c>
      <c r="K312">
        <f t="shared" si="9"/>
        <v>0</v>
      </c>
      <c r="L312" t="str">
        <f>IF(INDEX(Base!$U$2:$U$601,MATCH(B312,Base!$A$2:$A$601,0))="","",INDEX(Base!$U$2:$U$601,MATCH(B312,Base!$A$2:$A$601,0)))</f>
        <v/>
      </c>
      <c r="M312">
        <f>INDEX(Base!$R$2:$R$601,MATCH(B312,Base!$A$2:$A$601,0))</f>
        <v>0</v>
      </c>
      <c r="N312" t="str">
        <f>INDEX(Base!$AB$2:$AB$601,MATCH(B312,Base!$A$2:$A$601,0))</f>
        <v>Alta</v>
      </c>
      <c r="O312">
        <v>97</v>
      </c>
    </row>
    <row r="313" spans="1:16" x14ac:dyDescent="0.25">
      <c r="A313" t="s">
        <v>1235</v>
      </c>
      <c r="B313" t="s">
        <v>687</v>
      </c>
      <c r="C313" t="s">
        <v>927</v>
      </c>
      <c r="D313" t="s">
        <v>215</v>
      </c>
      <c r="F313">
        <v>6</v>
      </c>
      <c r="G313" t="str">
        <f>INDEX(Base!$D$2:$D$601,MATCH(B313,Base!$A$2:$A$601,0))</f>
        <v>Autônomo</v>
      </c>
      <c r="H313" t="str">
        <f>INDEX(Base!$C$2:$C$601,MATCH(B313,Base!$A$2:$A$601,0))</f>
        <v>Sudeste</v>
      </c>
      <c r="I313">
        <f>INDEX(Base!$M$2:$M$601,MATCH(B313,Base!$A$2:$A$601,0))</f>
        <v>0</v>
      </c>
      <c r="J313">
        <f t="shared" si="8"/>
        <v>0</v>
      </c>
      <c r="K313">
        <f t="shared" si="9"/>
        <v>0</v>
      </c>
      <c r="L313" t="str">
        <f>IF(INDEX(Base!$U$2:$U$601,MATCH(B313,Base!$A$2:$A$601,0))="","",INDEX(Base!$U$2:$U$601,MATCH(B313,Base!$A$2:$A$601,0)))</f>
        <v>Alta</v>
      </c>
      <c r="M313">
        <f>INDEX(Base!$R$2:$R$601,MATCH(B313,Base!$A$2:$A$601,0))</f>
        <v>0</v>
      </c>
      <c r="N313" t="str">
        <f>INDEX(Base!$AB$2:$AB$601,MATCH(B313,Base!$A$2:$A$601,0))</f>
        <v>Baixa</v>
      </c>
      <c r="O313">
        <v>89</v>
      </c>
    </row>
    <row r="314" spans="1:16" x14ac:dyDescent="0.25">
      <c r="A314" t="s">
        <v>1236</v>
      </c>
      <c r="B314" t="s">
        <v>569</v>
      </c>
      <c r="C314" t="s">
        <v>927</v>
      </c>
      <c r="D314" t="s">
        <v>216</v>
      </c>
      <c r="F314">
        <v>12</v>
      </c>
      <c r="G314" t="str">
        <f>INDEX(Base!$D$2:$D$601,MATCH(B314,Base!$A$2:$A$601,0))</f>
        <v>Autônomo</v>
      </c>
      <c r="H314" t="str">
        <f>INDEX(Base!$C$2:$C$601,MATCH(B314,Base!$A$2:$A$601,0))</f>
        <v>Sudeste</v>
      </c>
      <c r="I314">
        <f>INDEX(Base!$M$2:$M$601,MATCH(B314,Base!$A$2:$A$601,0))</f>
        <v>1</v>
      </c>
      <c r="J314">
        <f t="shared" si="8"/>
        <v>0</v>
      </c>
      <c r="K314">
        <f t="shared" si="9"/>
        <v>0</v>
      </c>
      <c r="L314" t="str">
        <f>IF(INDEX(Base!$U$2:$U$601,MATCH(B314,Base!$A$2:$A$601,0))="","",INDEX(Base!$U$2:$U$601,MATCH(B314,Base!$A$2:$A$601,0)))</f>
        <v/>
      </c>
      <c r="M314">
        <f>INDEX(Base!$R$2:$R$601,MATCH(B314,Base!$A$2:$A$601,0))</f>
        <v>0</v>
      </c>
      <c r="N314" t="str">
        <f>INDEX(Base!$AB$2:$AB$601,MATCH(B314,Base!$A$2:$A$601,0))</f>
        <v>Média</v>
      </c>
      <c r="O314">
        <v>107</v>
      </c>
    </row>
    <row r="315" spans="1:16" x14ac:dyDescent="0.25">
      <c r="A315" t="s">
        <v>1237</v>
      </c>
      <c r="B315" t="s">
        <v>418</v>
      </c>
      <c r="C315" t="s">
        <v>927</v>
      </c>
      <c r="D315" t="s">
        <v>220</v>
      </c>
      <c r="F315">
        <v>2</v>
      </c>
      <c r="G315" t="str">
        <f>INDEX(Base!$D$2:$D$601,MATCH(B315,Base!$A$2:$A$601,0))</f>
        <v>Grande Escritório</v>
      </c>
      <c r="H315" t="str">
        <f>INDEX(Base!$C$2:$C$601,MATCH(B315,Base!$A$2:$A$601,0))</f>
        <v>Sudeste</v>
      </c>
      <c r="I315">
        <f>INDEX(Base!$M$2:$M$601,MATCH(B315,Base!$A$2:$A$601,0))</f>
        <v>1</v>
      </c>
      <c r="J315">
        <f t="shared" si="8"/>
        <v>0</v>
      </c>
      <c r="K315">
        <f t="shared" si="9"/>
        <v>0</v>
      </c>
      <c r="L315" t="str">
        <f>IF(INDEX(Base!$U$2:$U$601,MATCH(B315,Base!$A$2:$A$601,0))="","",INDEX(Base!$U$2:$U$601,MATCH(B315,Base!$A$2:$A$601,0)))</f>
        <v/>
      </c>
      <c r="M315">
        <f>INDEX(Base!$R$2:$R$601,MATCH(B315,Base!$A$2:$A$601,0))</f>
        <v>1</v>
      </c>
      <c r="N315" t="str">
        <f>INDEX(Base!$AB$2:$AB$601,MATCH(B315,Base!$A$2:$A$601,0))</f>
        <v>Alta</v>
      </c>
      <c r="O315">
        <v>140</v>
      </c>
    </row>
    <row r="316" spans="1:16" x14ac:dyDescent="0.25">
      <c r="A316" t="s">
        <v>1238</v>
      </c>
      <c r="B316" t="s">
        <v>332</v>
      </c>
      <c r="C316" t="s">
        <v>918</v>
      </c>
      <c r="D316" t="s">
        <v>216</v>
      </c>
      <c r="F316">
        <v>10</v>
      </c>
      <c r="G316" t="str">
        <f>INDEX(Base!$D$2:$D$601,MATCH(B316,Base!$A$2:$A$601,0))</f>
        <v>Autônomo</v>
      </c>
      <c r="H316" t="str">
        <f>INDEX(Base!$C$2:$C$601,MATCH(B316,Base!$A$2:$A$601,0))</f>
        <v>Sul</v>
      </c>
      <c r="I316">
        <f>INDEX(Base!$M$2:$M$601,MATCH(B316,Base!$A$2:$A$601,0))</f>
        <v>0</v>
      </c>
      <c r="J316">
        <f t="shared" si="8"/>
        <v>0</v>
      </c>
      <c r="K316">
        <f t="shared" si="9"/>
        <v>0</v>
      </c>
      <c r="L316" t="str">
        <f>IF(INDEX(Base!$U$2:$U$601,MATCH(B316,Base!$A$2:$A$601,0))="","",INDEX(Base!$U$2:$U$601,MATCH(B316,Base!$A$2:$A$601,0)))</f>
        <v>Baixa</v>
      </c>
      <c r="M316">
        <f>INDEX(Base!$R$2:$R$601,MATCH(B316,Base!$A$2:$A$601,0))</f>
        <v>0</v>
      </c>
      <c r="N316" t="str">
        <f>INDEX(Base!$AB$2:$AB$601,MATCH(B316,Base!$A$2:$A$601,0))</f>
        <v>Baixa</v>
      </c>
      <c r="O316">
        <v>180</v>
      </c>
    </row>
    <row r="317" spans="1:16" x14ac:dyDescent="0.25">
      <c r="A317" t="s">
        <v>1239</v>
      </c>
      <c r="B317" t="s">
        <v>414</v>
      </c>
      <c r="C317" t="s">
        <v>927</v>
      </c>
      <c r="D317" t="s">
        <v>215</v>
      </c>
      <c r="F317">
        <v>11</v>
      </c>
      <c r="G317" t="str">
        <f>INDEX(Base!$D$2:$D$601,MATCH(B317,Base!$A$2:$A$601,0))</f>
        <v>Pequeno Escritório</v>
      </c>
      <c r="H317" t="str">
        <f>INDEX(Base!$C$2:$C$601,MATCH(B317,Base!$A$2:$A$601,0))</f>
        <v>Nordeste</v>
      </c>
      <c r="I317">
        <f>INDEX(Base!$M$2:$M$601,MATCH(B317,Base!$A$2:$A$601,0))</f>
        <v>0</v>
      </c>
      <c r="J317">
        <f t="shared" si="8"/>
        <v>0</v>
      </c>
      <c r="K317">
        <f t="shared" si="9"/>
        <v>0</v>
      </c>
      <c r="L317" t="str">
        <f>IF(INDEX(Base!$U$2:$U$601,MATCH(B317,Base!$A$2:$A$601,0))="","",INDEX(Base!$U$2:$U$601,MATCH(B317,Base!$A$2:$A$601,0)))</f>
        <v/>
      </c>
      <c r="M317">
        <f>INDEX(Base!$R$2:$R$601,MATCH(B317,Base!$A$2:$A$601,0))</f>
        <v>0</v>
      </c>
      <c r="N317" t="str">
        <f>INDEX(Base!$AB$2:$AB$601,MATCH(B317,Base!$A$2:$A$601,0))</f>
        <v>Média</v>
      </c>
      <c r="O317">
        <v>53</v>
      </c>
    </row>
    <row r="318" spans="1:16" x14ac:dyDescent="0.25">
      <c r="A318" t="s">
        <v>1240</v>
      </c>
      <c r="B318" t="s">
        <v>588</v>
      </c>
      <c r="C318" t="s">
        <v>918</v>
      </c>
      <c r="D318" t="s">
        <v>220</v>
      </c>
      <c r="F318">
        <v>6</v>
      </c>
      <c r="G318" t="str">
        <f>INDEX(Base!$D$2:$D$601,MATCH(B318,Base!$A$2:$A$601,0))</f>
        <v>Autônomo</v>
      </c>
      <c r="H318" t="str">
        <f>INDEX(Base!$C$2:$C$601,MATCH(B318,Base!$A$2:$A$601,0))</f>
        <v>Sul</v>
      </c>
      <c r="I318">
        <f>INDEX(Base!$M$2:$M$601,MATCH(B318,Base!$A$2:$A$601,0))</f>
        <v>0</v>
      </c>
      <c r="J318">
        <f t="shared" si="8"/>
        <v>0</v>
      </c>
      <c r="K318">
        <f t="shared" si="9"/>
        <v>0</v>
      </c>
      <c r="L318" t="str">
        <f>IF(INDEX(Base!$U$2:$U$601,MATCH(B318,Base!$A$2:$A$601,0))="","",INDEX(Base!$U$2:$U$601,MATCH(B318,Base!$A$2:$A$601,0)))</f>
        <v>Baixa</v>
      </c>
      <c r="M318">
        <f>INDEX(Base!$R$2:$R$601,MATCH(B318,Base!$A$2:$A$601,0))</f>
        <v>0</v>
      </c>
      <c r="N318" t="str">
        <f>INDEX(Base!$AB$2:$AB$601,MATCH(B318,Base!$A$2:$A$601,0))</f>
        <v>Baixa</v>
      </c>
      <c r="O318">
        <v>16</v>
      </c>
    </row>
    <row r="319" spans="1:16" x14ac:dyDescent="0.25">
      <c r="A319" t="s">
        <v>1241</v>
      </c>
      <c r="B319" t="s">
        <v>403</v>
      </c>
      <c r="C319" t="s">
        <v>981</v>
      </c>
      <c r="D319" t="s">
        <v>922</v>
      </c>
      <c r="E319">
        <v>1151.1600000000001</v>
      </c>
      <c r="F319">
        <v>7</v>
      </c>
      <c r="G319" t="str">
        <f>INDEX(Base!$D$2:$D$601,MATCH(B319,Base!$A$2:$A$601,0))</f>
        <v>Pequeno Escritório</v>
      </c>
      <c r="H319" t="str">
        <f>INDEX(Base!$C$2:$C$601,MATCH(B319,Base!$A$2:$A$601,0))</f>
        <v>Norte</v>
      </c>
      <c r="I319">
        <f>INDEX(Base!$M$2:$M$601,MATCH(B319,Base!$A$2:$A$601,0))</f>
        <v>0</v>
      </c>
      <c r="J319">
        <f t="shared" si="8"/>
        <v>1</v>
      </c>
      <c r="K319">
        <f t="shared" si="9"/>
        <v>1</v>
      </c>
      <c r="L319" t="str">
        <f>IF(INDEX(Base!$U$2:$U$601,MATCH(B319,Base!$A$2:$A$601,0))="","",INDEX(Base!$U$2:$U$601,MATCH(B319,Base!$A$2:$A$601,0)))</f>
        <v>Média</v>
      </c>
      <c r="M319">
        <f>INDEX(Base!$R$2:$R$601,MATCH(B319,Base!$A$2:$A$601,0))</f>
        <v>0</v>
      </c>
      <c r="N319" t="str">
        <f>INDEX(Base!$AB$2:$AB$601,MATCH(B319,Base!$A$2:$A$601,0))</f>
        <v>Média</v>
      </c>
      <c r="O319">
        <v>29</v>
      </c>
      <c r="P319" s="33">
        <v>45654</v>
      </c>
    </row>
    <row r="320" spans="1:16" x14ac:dyDescent="0.25">
      <c r="A320" t="s">
        <v>1242</v>
      </c>
      <c r="B320" t="s">
        <v>586</v>
      </c>
      <c r="C320" t="s">
        <v>927</v>
      </c>
      <c r="D320" t="s">
        <v>218</v>
      </c>
      <c r="F320">
        <v>8</v>
      </c>
      <c r="G320" t="str">
        <f>INDEX(Base!$D$2:$D$601,MATCH(B320,Base!$A$2:$A$601,0))</f>
        <v>Pequeno Escritório</v>
      </c>
      <c r="H320" t="str">
        <f>INDEX(Base!$C$2:$C$601,MATCH(B320,Base!$A$2:$A$601,0))</f>
        <v>Centro-Oeste</v>
      </c>
      <c r="I320">
        <f>INDEX(Base!$M$2:$M$601,MATCH(B320,Base!$A$2:$A$601,0))</f>
        <v>1</v>
      </c>
      <c r="J320">
        <f t="shared" si="8"/>
        <v>0</v>
      </c>
      <c r="K320">
        <f t="shared" si="9"/>
        <v>0</v>
      </c>
      <c r="L320" t="str">
        <f>IF(INDEX(Base!$U$2:$U$601,MATCH(B320,Base!$A$2:$A$601,0))="","",INDEX(Base!$U$2:$U$601,MATCH(B320,Base!$A$2:$A$601,0)))</f>
        <v/>
      </c>
      <c r="M320">
        <f>INDEX(Base!$R$2:$R$601,MATCH(B320,Base!$A$2:$A$601,0))</f>
        <v>1</v>
      </c>
      <c r="N320" t="str">
        <f>INDEX(Base!$AB$2:$AB$601,MATCH(B320,Base!$A$2:$A$601,0))</f>
        <v>Alta</v>
      </c>
      <c r="O320">
        <v>173</v>
      </c>
    </row>
    <row r="321" spans="1:16" x14ac:dyDescent="0.25">
      <c r="A321" t="s">
        <v>1243</v>
      </c>
      <c r="B321" t="s">
        <v>372</v>
      </c>
      <c r="C321" t="s">
        <v>934</v>
      </c>
      <c r="D321" t="s">
        <v>922</v>
      </c>
      <c r="E321">
        <v>1151.8399999999999</v>
      </c>
      <c r="F321">
        <v>12</v>
      </c>
      <c r="G321" t="str">
        <f>INDEX(Base!$D$2:$D$601,MATCH(B321,Base!$A$2:$A$601,0))</f>
        <v>Médio Escritório</v>
      </c>
      <c r="H321" t="str">
        <f>INDEX(Base!$C$2:$C$601,MATCH(B321,Base!$A$2:$A$601,0))</f>
        <v>Sudeste</v>
      </c>
      <c r="I321">
        <f>INDEX(Base!$M$2:$M$601,MATCH(B321,Base!$A$2:$A$601,0))</f>
        <v>1</v>
      </c>
      <c r="J321">
        <f t="shared" si="8"/>
        <v>1</v>
      </c>
      <c r="K321">
        <f t="shared" si="9"/>
        <v>1</v>
      </c>
      <c r="L321" t="str">
        <f>IF(INDEX(Base!$U$2:$U$601,MATCH(B321,Base!$A$2:$A$601,0))="","",INDEX(Base!$U$2:$U$601,MATCH(B321,Base!$A$2:$A$601,0)))</f>
        <v/>
      </c>
      <c r="M321">
        <f>INDEX(Base!$R$2:$R$601,MATCH(B321,Base!$A$2:$A$601,0))</f>
        <v>1</v>
      </c>
      <c r="N321" t="str">
        <f>INDEX(Base!$AB$2:$AB$601,MATCH(B321,Base!$A$2:$A$601,0))</f>
        <v>Alta</v>
      </c>
      <c r="O321">
        <v>37</v>
      </c>
      <c r="P321" s="33">
        <v>45431</v>
      </c>
    </row>
    <row r="322" spans="1:16" x14ac:dyDescent="0.25">
      <c r="A322" t="s">
        <v>1244</v>
      </c>
      <c r="B322" t="s">
        <v>843</v>
      </c>
      <c r="C322" t="s">
        <v>918</v>
      </c>
      <c r="D322" t="s">
        <v>922</v>
      </c>
      <c r="E322">
        <v>202.38</v>
      </c>
      <c r="F322">
        <v>8</v>
      </c>
      <c r="G322" t="str">
        <f>INDEX(Base!$D$2:$D$601,MATCH(B322,Base!$A$2:$A$601,0))</f>
        <v>Autônomo</v>
      </c>
      <c r="H322" t="str">
        <f>INDEX(Base!$C$2:$C$601,MATCH(B322,Base!$A$2:$A$601,0))</f>
        <v>Sul</v>
      </c>
      <c r="I322">
        <f>INDEX(Base!$M$2:$M$601,MATCH(B322,Base!$A$2:$A$601,0))</f>
        <v>0</v>
      </c>
      <c r="J322">
        <f t="shared" ref="J322:J351" si="10">IF(OR(D322="Ganho",D322="Perdido"),1,0)</f>
        <v>1</v>
      </c>
      <c r="K322">
        <f t="shared" ref="K322:K351" si="11">IF(D322="Ganho",1,0)</f>
        <v>1</v>
      </c>
      <c r="L322" t="str">
        <f>IF(INDEX(Base!$U$2:$U$601,MATCH(B322,Base!$A$2:$A$601,0))="","",INDEX(Base!$U$2:$U$601,MATCH(B322,Base!$A$2:$A$601,0)))</f>
        <v>Alta</v>
      </c>
      <c r="M322">
        <f>INDEX(Base!$R$2:$R$601,MATCH(B322,Base!$A$2:$A$601,0))</f>
        <v>0</v>
      </c>
      <c r="N322" t="str">
        <f>INDEX(Base!$AB$2:$AB$601,MATCH(B322,Base!$A$2:$A$601,0))</f>
        <v>Baixa</v>
      </c>
      <c r="O322">
        <v>64</v>
      </c>
      <c r="P322" s="33">
        <v>45941</v>
      </c>
    </row>
    <row r="323" spans="1:16" x14ac:dyDescent="0.25">
      <c r="A323" t="s">
        <v>1245</v>
      </c>
      <c r="B323" t="s">
        <v>602</v>
      </c>
      <c r="C323" t="s">
        <v>927</v>
      </c>
      <c r="D323" t="s">
        <v>919</v>
      </c>
      <c r="F323">
        <v>8</v>
      </c>
      <c r="G323" t="str">
        <f>INDEX(Base!$D$2:$D$601,MATCH(B323,Base!$A$2:$A$601,0))</f>
        <v>Pequeno Escritório</v>
      </c>
      <c r="H323" t="str">
        <f>INDEX(Base!$C$2:$C$601,MATCH(B323,Base!$A$2:$A$601,0))</f>
        <v>Sudeste</v>
      </c>
      <c r="I323">
        <f>INDEX(Base!$M$2:$M$601,MATCH(B323,Base!$A$2:$A$601,0))</f>
        <v>0</v>
      </c>
      <c r="J323">
        <f t="shared" si="10"/>
        <v>1</v>
      </c>
      <c r="K323">
        <f t="shared" si="11"/>
        <v>0</v>
      </c>
      <c r="L323" t="str">
        <f>IF(INDEX(Base!$U$2:$U$601,MATCH(B323,Base!$A$2:$A$601,0))="","",INDEX(Base!$U$2:$U$601,MATCH(B323,Base!$A$2:$A$601,0)))</f>
        <v>Média</v>
      </c>
      <c r="M323">
        <f>INDEX(Base!$R$2:$R$601,MATCH(B323,Base!$A$2:$A$601,0))</f>
        <v>1</v>
      </c>
      <c r="N323" t="str">
        <f>INDEX(Base!$AB$2:$AB$601,MATCH(B323,Base!$A$2:$A$601,0))</f>
        <v>Média</v>
      </c>
      <c r="O323">
        <v>48</v>
      </c>
    </row>
    <row r="324" spans="1:16" x14ac:dyDescent="0.25">
      <c r="A324" t="s">
        <v>1246</v>
      </c>
      <c r="B324" t="s">
        <v>570</v>
      </c>
      <c r="C324" t="s">
        <v>934</v>
      </c>
      <c r="D324" t="s">
        <v>215</v>
      </c>
      <c r="F324">
        <v>9</v>
      </c>
      <c r="G324" t="str">
        <f>INDEX(Base!$D$2:$D$601,MATCH(B324,Base!$A$2:$A$601,0))</f>
        <v>Pequeno Escritório</v>
      </c>
      <c r="H324" t="str">
        <f>INDEX(Base!$C$2:$C$601,MATCH(B324,Base!$A$2:$A$601,0))</f>
        <v>Nordeste</v>
      </c>
      <c r="I324">
        <f>INDEX(Base!$M$2:$M$601,MATCH(B324,Base!$A$2:$A$601,0))</f>
        <v>1</v>
      </c>
      <c r="J324">
        <f t="shared" si="10"/>
        <v>0</v>
      </c>
      <c r="K324">
        <f t="shared" si="11"/>
        <v>0</v>
      </c>
      <c r="L324" t="str">
        <f>IF(INDEX(Base!$U$2:$U$601,MATCH(B324,Base!$A$2:$A$601,0))="","",INDEX(Base!$U$2:$U$601,MATCH(B324,Base!$A$2:$A$601,0)))</f>
        <v/>
      </c>
      <c r="M324">
        <f>INDEX(Base!$R$2:$R$601,MATCH(B324,Base!$A$2:$A$601,0))</f>
        <v>0</v>
      </c>
      <c r="N324" t="str">
        <f>INDEX(Base!$AB$2:$AB$601,MATCH(B324,Base!$A$2:$A$601,0))</f>
        <v>Média</v>
      </c>
      <c r="O324">
        <v>66</v>
      </c>
    </row>
    <row r="325" spans="1:16" x14ac:dyDescent="0.25">
      <c r="A325" t="s">
        <v>1247</v>
      </c>
      <c r="B325" t="s">
        <v>899</v>
      </c>
      <c r="C325" t="s">
        <v>918</v>
      </c>
      <c r="D325" t="s">
        <v>922</v>
      </c>
      <c r="E325">
        <v>867.57</v>
      </c>
      <c r="F325">
        <v>12</v>
      </c>
      <c r="G325" t="str">
        <f>INDEX(Base!$D$2:$D$601,MATCH(B325,Base!$A$2:$A$601,0))</f>
        <v>Autônomo</v>
      </c>
      <c r="H325" t="str">
        <f>INDEX(Base!$C$2:$C$601,MATCH(B325,Base!$A$2:$A$601,0))</f>
        <v>Centro-Oeste</v>
      </c>
      <c r="I325">
        <f>INDEX(Base!$M$2:$M$601,MATCH(B325,Base!$A$2:$A$601,0))</f>
        <v>0</v>
      </c>
      <c r="J325">
        <f t="shared" si="10"/>
        <v>1</v>
      </c>
      <c r="K325">
        <f t="shared" si="11"/>
        <v>1</v>
      </c>
      <c r="L325" t="str">
        <f>IF(INDEX(Base!$U$2:$U$601,MATCH(B325,Base!$A$2:$A$601,0))="","",INDEX(Base!$U$2:$U$601,MATCH(B325,Base!$A$2:$A$601,0)))</f>
        <v>Baixa</v>
      </c>
      <c r="M325">
        <f>INDEX(Base!$R$2:$R$601,MATCH(B325,Base!$A$2:$A$601,0))</f>
        <v>0</v>
      </c>
      <c r="N325" t="str">
        <f>INDEX(Base!$AB$2:$AB$601,MATCH(B325,Base!$A$2:$A$601,0))</f>
        <v>Média</v>
      </c>
      <c r="O325">
        <v>13</v>
      </c>
      <c r="P325" s="33">
        <v>45980</v>
      </c>
    </row>
    <row r="326" spans="1:16" x14ac:dyDescent="0.25">
      <c r="A326" t="s">
        <v>1248</v>
      </c>
      <c r="B326" t="s">
        <v>642</v>
      </c>
      <c r="C326" t="s">
        <v>918</v>
      </c>
      <c r="D326" t="s">
        <v>919</v>
      </c>
      <c r="F326">
        <v>4</v>
      </c>
      <c r="G326" t="str">
        <f>INDEX(Base!$D$2:$D$601,MATCH(B326,Base!$A$2:$A$601,0))</f>
        <v>Autônomo</v>
      </c>
      <c r="H326" t="str">
        <f>INDEX(Base!$C$2:$C$601,MATCH(B326,Base!$A$2:$A$601,0))</f>
        <v>Sudeste</v>
      </c>
      <c r="I326">
        <f>INDEX(Base!$M$2:$M$601,MATCH(B326,Base!$A$2:$A$601,0))</f>
        <v>0</v>
      </c>
      <c r="J326">
        <f t="shared" si="10"/>
        <v>1</v>
      </c>
      <c r="K326">
        <f t="shared" si="11"/>
        <v>0</v>
      </c>
      <c r="L326" t="str">
        <f>IF(INDEX(Base!$U$2:$U$601,MATCH(B326,Base!$A$2:$A$601,0))="","",INDEX(Base!$U$2:$U$601,MATCH(B326,Base!$A$2:$A$601,0)))</f>
        <v>Baixa</v>
      </c>
      <c r="M326">
        <f>INDEX(Base!$R$2:$R$601,MATCH(B326,Base!$A$2:$A$601,0))</f>
        <v>0</v>
      </c>
      <c r="N326" t="str">
        <f>INDEX(Base!$AB$2:$AB$601,MATCH(B326,Base!$A$2:$A$601,0))</f>
        <v>Baixa</v>
      </c>
      <c r="O326">
        <v>70</v>
      </c>
    </row>
    <row r="327" spans="1:16" x14ac:dyDescent="0.25">
      <c r="A327" t="s">
        <v>1249</v>
      </c>
      <c r="B327" t="s">
        <v>580</v>
      </c>
      <c r="C327" t="s">
        <v>927</v>
      </c>
      <c r="D327" t="s">
        <v>220</v>
      </c>
      <c r="F327">
        <v>3</v>
      </c>
      <c r="G327" t="str">
        <f>INDEX(Base!$D$2:$D$601,MATCH(B327,Base!$A$2:$A$601,0))</f>
        <v>Autônomo</v>
      </c>
      <c r="H327" t="str">
        <f>INDEX(Base!$C$2:$C$601,MATCH(B327,Base!$A$2:$A$601,0))</f>
        <v>Sudeste</v>
      </c>
      <c r="I327">
        <f>INDEX(Base!$M$2:$M$601,MATCH(B327,Base!$A$2:$A$601,0))</f>
        <v>0</v>
      </c>
      <c r="J327">
        <f t="shared" si="10"/>
        <v>0</v>
      </c>
      <c r="K327">
        <f t="shared" si="11"/>
        <v>0</v>
      </c>
      <c r="L327" t="str">
        <f>IF(INDEX(Base!$U$2:$U$601,MATCH(B327,Base!$A$2:$A$601,0))="","",INDEX(Base!$U$2:$U$601,MATCH(B327,Base!$A$2:$A$601,0)))</f>
        <v/>
      </c>
      <c r="M327">
        <f>INDEX(Base!$R$2:$R$601,MATCH(B327,Base!$A$2:$A$601,0))</f>
        <v>0</v>
      </c>
      <c r="N327" t="str">
        <f>INDEX(Base!$AB$2:$AB$601,MATCH(B327,Base!$A$2:$A$601,0))</f>
        <v>Baixa</v>
      </c>
      <c r="O327">
        <v>141</v>
      </c>
    </row>
    <row r="328" spans="1:16" x14ac:dyDescent="0.25">
      <c r="A328" t="s">
        <v>1250</v>
      </c>
      <c r="B328" t="s">
        <v>370</v>
      </c>
      <c r="C328" t="s">
        <v>921</v>
      </c>
      <c r="D328" t="s">
        <v>220</v>
      </c>
      <c r="F328">
        <v>12</v>
      </c>
      <c r="G328" t="str">
        <f>INDEX(Base!$D$2:$D$601,MATCH(B328,Base!$A$2:$A$601,0))</f>
        <v>Autônomo</v>
      </c>
      <c r="H328" t="str">
        <f>INDEX(Base!$C$2:$C$601,MATCH(B328,Base!$A$2:$A$601,0))</f>
        <v>Sudeste</v>
      </c>
      <c r="I328">
        <f>INDEX(Base!$M$2:$M$601,MATCH(B328,Base!$A$2:$A$601,0))</f>
        <v>0</v>
      </c>
      <c r="J328">
        <f t="shared" si="10"/>
        <v>0</v>
      </c>
      <c r="K328">
        <f t="shared" si="11"/>
        <v>0</v>
      </c>
      <c r="L328" t="str">
        <f>IF(INDEX(Base!$U$2:$U$601,MATCH(B328,Base!$A$2:$A$601,0))="","",INDEX(Base!$U$2:$U$601,MATCH(B328,Base!$A$2:$A$601,0)))</f>
        <v>Baixa</v>
      </c>
      <c r="M328">
        <f>INDEX(Base!$R$2:$R$601,MATCH(B328,Base!$A$2:$A$601,0))</f>
        <v>0</v>
      </c>
      <c r="N328" t="str">
        <f>INDEX(Base!$AB$2:$AB$601,MATCH(B328,Base!$A$2:$A$601,0))</f>
        <v>Baixa</v>
      </c>
      <c r="O328">
        <v>90</v>
      </c>
    </row>
    <row r="329" spans="1:16" x14ac:dyDescent="0.25">
      <c r="A329" t="s">
        <v>1251</v>
      </c>
      <c r="B329" t="s">
        <v>737</v>
      </c>
      <c r="C329" t="s">
        <v>934</v>
      </c>
      <c r="D329" t="s">
        <v>922</v>
      </c>
      <c r="E329">
        <v>256.7</v>
      </c>
      <c r="F329">
        <v>6</v>
      </c>
      <c r="G329" t="str">
        <f>INDEX(Base!$D$2:$D$601,MATCH(B329,Base!$A$2:$A$601,0))</f>
        <v>Autônomo</v>
      </c>
      <c r="H329" t="str">
        <f>INDEX(Base!$C$2:$C$601,MATCH(B329,Base!$A$2:$A$601,0))</f>
        <v>Sudeste</v>
      </c>
      <c r="I329">
        <f>INDEX(Base!$M$2:$M$601,MATCH(B329,Base!$A$2:$A$601,0))</f>
        <v>0</v>
      </c>
      <c r="J329">
        <f t="shared" si="10"/>
        <v>1</v>
      </c>
      <c r="K329">
        <f t="shared" si="11"/>
        <v>1</v>
      </c>
      <c r="L329" t="str">
        <f>IF(INDEX(Base!$U$2:$U$601,MATCH(B329,Base!$A$2:$A$601,0))="","",INDEX(Base!$U$2:$U$601,MATCH(B329,Base!$A$2:$A$601,0)))</f>
        <v>Baixa</v>
      </c>
      <c r="M329">
        <f>INDEX(Base!$R$2:$R$601,MATCH(B329,Base!$A$2:$A$601,0))</f>
        <v>0</v>
      </c>
      <c r="N329" t="str">
        <f>INDEX(Base!$AB$2:$AB$601,MATCH(B329,Base!$A$2:$A$601,0))</f>
        <v>Média</v>
      </c>
      <c r="O329">
        <v>76</v>
      </c>
      <c r="P329" s="33">
        <v>45957</v>
      </c>
    </row>
    <row r="330" spans="1:16" x14ac:dyDescent="0.25">
      <c r="A330" t="s">
        <v>1252</v>
      </c>
      <c r="B330" t="s">
        <v>393</v>
      </c>
      <c r="C330" t="s">
        <v>918</v>
      </c>
      <c r="D330" t="s">
        <v>922</v>
      </c>
      <c r="E330">
        <v>1744.31</v>
      </c>
      <c r="F330">
        <v>7</v>
      </c>
      <c r="G330" t="str">
        <f>INDEX(Base!$D$2:$D$601,MATCH(B330,Base!$A$2:$A$601,0))</f>
        <v>Pequeno Escritório</v>
      </c>
      <c r="H330" t="str">
        <f>INDEX(Base!$C$2:$C$601,MATCH(B330,Base!$A$2:$A$601,0))</f>
        <v>Sudeste</v>
      </c>
      <c r="I330">
        <f>INDEX(Base!$M$2:$M$601,MATCH(B330,Base!$A$2:$A$601,0))</f>
        <v>0</v>
      </c>
      <c r="J330">
        <f t="shared" si="10"/>
        <v>1</v>
      </c>
      <c r="K330">
        <f t="shared" si="11"/>
        <v>1</v>
      </c>
      <c r="L330" t="str">
        <f>IF(INDEX(Base!$U$2:$U$601,MATCH(B330,Base!$A$2:$A$601,0))="","",INDEX(Base!$U$2:$U$601,MATCH(B330,Base!$A$2:$A$601,0)))</f>
        <v>Média</v>
      </c>
      <c r="M330">
        <f>INDEX(Base!$R$2:$R$601,MATCH(B330,Base!$A$2:$A$601,0))</f>
        <v>1</v>
      </c>
      <c r="N330" t="str">
        <f>INDEX(Base!$AB$2:$AB$601,MATCH(B330,Base!$A$2:$A$601,0))</f>
        <v>Média</v>
      </c>
      <c r="O330">
        <v>71</v>
      </c>
      <c r="P330" s="33">
        <v>45753</v>
      </c>
    </row>
    <row r="331" spans="1:16" x14ac:dyDescent="0.25">
      <c r="A331" t="s">
        <v>1253</v>
      </c>
      <c r="B331" t="s">
        <v>515</v>
      </c>
      <c r="C331" t="s">
        <v>927</v>
      </c>
      <c r="D331" t="s">
        <v>218</v>
      </c>
      <c r="F331">
        <v>5</v>
      </c>
      <c r="G331" t="str">
        <f>INDEX(Base!$D$2:$D$601,MATCH(B331,Base!$A$2:$A$601,0))</f>
        <v>Grande Escritório</v>
      </c>
      <c r="H331" t="str">
        <f>INDEX(Base!$C$2:$C$601,MATCH(B331,Base!$A$2:$A$601,0))</f>
        <v>Norte</v>
      </c>
      <c r="I331">
        <f>INDEX(Base!$M$2:$M$601,MATCH(B331,Base!$A$2:$A$601,0))</f>
        <v>1</v>
      </c>
      <c r="J331">
        <f t="shared" si="10"/>
        <v>0</v>
      </c>
      <c r="K331">
        <f t="shared" si="11"/>
        <v>0</v>
      </c>
      <c r="L331" t="str">
        <f>IF(INDEX(Base!$U$2:$U$601,MATCH(B331,Base!$A$2:$A$601,0))="","",INDEX(Base!$U$2:$U$601,MATCH(B331,Base!$A$2:$A$601,0)))</f>
        <v/>
      </c>
      <c r="M331">
        <f>INDEX(Base!$R$2:$R$601,MATCH(B331,Base!$A$2:$A$601,0))</f>
        <v>1</v>
      </c>
      <c r="N331" t="str">
        <f>INDEX(Base!$AB$2:$AB$601,MATCH(B331,Base!$A$2:$A$601,0))</f>
        <v>Alta</v>
      </c>
      <c r="O331">
        <v>27</v>
      </c>
    </row>
    <row r="332" spans="1:16" x14ac:dyDescent="0.25">
      <c r="A332" t="s">
        <v>1254</v>
      </c>
      <c r="B332" t="s">
        <v>428</v>
      </c>
      <c r="C332" t="s">
        <v>918</v>
      </c>
      <c r="D332" t="s">
        <v>221</v>
      </c>
      <c r="F332">
        <v>12</v>
      </c>
      <c r="G332" t="str">
        <f>INDEX(Base!$D$2:$D$601,MATCH(B332,Base!$A$2:$A$601,0))</f>
        <v>Grande Escritório</v>
      </c>
      <c r="H332" t="str">
        <f>INDEX(Base!$C$2:$C$601,MATCH(B332,Base!$A$2:$A$601,0))</f>
        <v>Centro-Oeste</v>
      </c>
      <c r="I332">
        <f>INDEX(Base!$M$2:$M$601,MATCH(B332,Base!$A$2:$A$601,0))</f>
        <v>1</v>
      </c>
      <c r="J332">
        <f t="shared" si="10"/>
        <v>0</v>
      </c>
      <c r="K332">
        <f t="shared" si="11"/>
        <v>0</v>
      </c>
      <c r="L332" t="str">
        <f>IF(INDEX(Base!$U$2:$U$601,MATCH(B332,Base!$A$2:$A$601,0))="","",INDEX(Base!$U$2:$U$601,MATCH(B332,Base!$A$2:$A$601,0)))</f>
        <v/>
      </c>
      <c r="M332">
        <f>INDEX(Base!$R$2:$R$601,MATCH(B332,Base!$A$2:$A$601,0))</f>
        <v>1</v>
      </c>
      <c r="N332" t="str">
        <f>INDEX(Base!$AB$2:$AB$601,MATCH(B332,Base!$A$2:$A$601,0))</f>
        <v>Alta</v>
      </c>
      <c r="O332">
        <v>34</v>
      </c>
    </row>
    <row r="333" spans="1:16" x14ac:dyDescent="0.25">
      <c r="A333" t="s">
        <v>1255</v>
      </c>
      <c r="B333" t="s">
        <v>476</v>
      </c>
      <c r="C333" t="s">
        <v>921</v>
      </c>
      <c r="D333" t="s">
        <v>919</v>
      </c>
      <c r="F333">
        <v>10</v>
      </c>
      <c r="G333" t="str">
        <f>INDEX(Base!$D$2:$D$601,MATCH(B333,Base!$A$2:$A$601,0))</f>
        <v>Pequeno Escritório</v>
      </c>
      <c r="H333" t="str">
        <f>INDEX(Base!$C$2:$C$601,MATCH(B333,Base!$A$2:$A$601,0))</f>
        <v>Nordeste</v>
      </c>
      <c r="I333">
        <f>INDEX(Base!$M$2:$M$601,MATCH(B333,Base!$A$2:$A$601,0))</f>
        <v>0</v>
      </c>
      <c r="J333">
        <f t="shared" si="10"/>
        <v>1</v>
      </c>
      <c r="K333">
        <f t="shared" si="11"/>
        <v>0</v>
      </c>
      <c r="L333" t="str">
        <f>IF(INDEX(Base!$U$2:$U$601,MATCH(B333,Base!$A$2:$A$601,0))="","",INDEX(Base!$U$2:$U$601,MATCH(B333,Base!$A$2:$A$601,0)))</f>
        <v>Média</v>
      </c>
      <c r="M333">
        <f>INDEX(Base!$R$2:$R$601,MATCH(B333,Base!$A$2:$A$601,0))</f>
        <v>1</v>
      </c>
      <c r="N333" t="str">
        <f>INDEX(Base!$AB$2:$AB$601,MATCH(B333,Base!$A$2:$A$601,0))</f>
        <v>Média</v>
      </c>
      <c r="O333">
        <v>5</v>
      </c>
    </row>
    <row r="334" spans="1:16" x14ac:dyDescent="0.25">
      <c r="A334" t="s">
        <v>1256</v>
      </c>
      <c r="B334" t="s">
        <v>806</v>
      </c>
      <c r="C334" t="s">
        <v>918</v>
      </c>
      <c r="D334" t="s">
        <v>218</v>
      </c>
      <c r="F334">
        <v>7</v>
      </c>
      <c r="G334" t="str">
        <f>INDEX(Base!$D$2:$D$601,MATCH(B334,Base!$A$2:$A$601,0))</f>
        <v>Autônomo</v>
      </c>
      <c r="H334" t="str">
        <f>INDEX(Base!$C$2:$C$601,MATCH(B334,Base!$A$2:$A$601,0))</f>
        <v>Sul</v>
      </c>
      <c r="I334">
        <f>INDEX(Base!$M$2:$M$601,MATCH(B334,Base!$A$2:$A$601,0))</f>
        <v>0</v>
      </c>
      <c r="J334">
        <f t="shared" si="10"/>
        <v>0</v>
      </c>
      <c r="K334">
        <f t="shared" si="11"/>
        <v>0</v>
      </c>
      <c r="L334" t="str">
        <f>IF(INDEX(Base!$U$2:$U$601,MATCH(B334,Base!$A$2:$A$601,0))="","",INDEX(Base!$U$2:$U$601,MATCH(B334,Base!$A$2:$A$601,0)))</f>
        <v>Baixa</v>
      </c>
      <c r="M334">
        <f>INDEX(Base!$R$2:$R$601,MATCH(B334,Base!$A$2:$A$601,0))</f>
        <v>0</v>
      </c>
      <c r="N334" t="str">
        <f>INDEX(Base!$AB$2:$AB$601,MATCH(B334,Base!$A$2:$A$601,0))</f>
        <v>Baixa</v>
      </c>
      <c r="O334">
        <v>113</v>
      </c>
    </row>
    <row r="335" spans="1:16" x14ac:dyDescent="0.25">
      <c r="A335" t="s">
        <v>1257</v>
      </c>
      <c r="B335" t="s">
        <v>755</v>
      </c>
      <c r="C335" t="s">
        <v>918</v>
      </c>
      <c r="D335" t="s">
        <v>221</v>
      </c>
      <c r="F335">
        <v>3</v>
      </c>
      <c r="G335" t="str">
        <f>INDEX(Base!$D$2:$D$601,MATCH(B335,Base!$A$2:$A$601,0))</f>
        <v>Autônomo</v>
      </c>
      <c r="H335" t="str">
        <f>INDEX(Base!$C$2:$C$601,MATCH(B335,Base!$A$2:$A$601,0))</f>
        <v>Sul</v>
      </c>
      <c r="I335">
        <f>INDEX(Base!$M$2:$M$601,MATCH(B335,Base!$A$2:$A$601,0))</f>
        <v>1</v>
      </c>
      <c r="J335">
        <f t="shared" si="10"/>
        <v>0</v>
      </c>
      <c r="K335">
        <f t="shared" si="11"/>
        <v>0</v>
      </c>
      <c r="L335" t="str">
        <f>IF(INDEX(Base!$U$2:$U$601,MATCH(B335,Base!$A$2:$A$601,0))="","",INDEX(Base!$U$2:$U$601,MATCH(B335,Base!$A$2:$A$601,0)))</f>
        <v/>
      </c>
      <c r="M335">
        <f>INDEX(Base!$R$2:$R$601,MATCH(B335,Base!$A$2:$A$601,0))</f>
        <v>0</v>
      </c>
      <c r="N335" t="str">
        <f>INDEX(Base!$AB$2:$AB$601,MATCH(B335,Base!$A$2:$A$601,0))</f>
        <v>Baixa</v>
      </c>
      <c r="O335">
        <v>138</v>
      </c>
    </row>
    <row r="336" spans="1:16" x14ac:dyDescent="0.25">
      <c r="A336" t="s">
        <v>1258</v>
      </c>
      <c r="B336" t="s">
        <v>799</v>
      </c>
      <c r="C336" t="s">
        <v>927</v>
      </c>
      <c r="D336" t="s">
        <v>218</v>
      </c>
      <c r="F336">
        <v>7</v>
      </c>
      <c r="G336" t="str">
        <f>INDEX(Base!$D$2:$D$601,MATCH(B336,Base!$A$2:$A$601,0))</f>
        <v>Autônomo</v>
      </c>
      <c r="H336" t="str">
        <f>INDEX(Base!$C$2:$C$601,MATCH(B336,Base!$A$2:$A$601,0))</f>
        <v>Sudeste</v>
      </c>
      <c r="I336">
        <f>INDEX(Base!$M$2:$M$601,MATCH(B336,Base!$A$2:$A$601,0))</f>
        <v>0</v>
      </c>
      <c r="J336">
        <f t="shared" si="10"/>
        <v>0</v>
      </c>
      <c r="K336">
        <f t="shared" si="11"/>
        <v>0</v>
      </c>
      <c r="L336" t="str">
        <f>IF(INDEX(Base!$U$2:$U$601,MATCH(B336,Base!$A$2:$A$601,0))="","",INDEX(Base!$U$2:$U$601,MATCH(B336,Base!$A$2:$A$601,0)))</f>
        <v>Média</v>
      </c>
      <c r="M336">
        <f>INDEX(Base!$R$2:$R$601,MATCH(B336,Base!$A$2:$A$601,0))</f>
        <v>0</v>
      </c>
      <c r="N336" t="str">
        <f>INDEX(Base!$AB$2:$AB$601,MATCH(B336,Base!$A$2:$A$601,0))</f>
        <v>Média</v>
      </c>
      <c r="O336">
        <v>7</v>
      </c>
    </row>
    <row r="337" spans="1:16" x14ac:dyDescent="0.25">
      <c r="A337" t="s">
        <v>1259</v>
      </c>
      <c r="B337" t="s">
        <v>643</v>
      </c>
      <c r="C337" t="s">
        <v>921</v>
      </c>
      <c r="D337" t="s">
        <v>218</v>
      </c>
      <c r="F337">
        <v>5</v>
      </c>
      <c r="G337" t="str">
        <f>INDEX(Base!$D$2:$D$601,MATCH(B337,Base!$A$2:$A$601,0))</f>
        <v>Autônomo</v>
      </c>
      <c r="H337" t="str">
        <f>INDEX(Base!$C$2:$C$601,MATCH(B337,Base!$A$2:$A$601,0))</f>
        <v>Nordeste</v>
      </c>
      <c r="I337">
        <f>INDEX(Base!$M$2:$M$601,MATCH(B337,Base!$A$2:$A$601,0))</f>
        <v>0</v>
      </c>
      <c r="J337">
        <f t="shared" si="10"/>
        <v>0</v>
      </c>
      <c r="K337">
        <f t="shared" si="11"/>
        <v>0</v>
      </c>
      <c r="L337" t="str">
        <f>IF(INDEX(Base!$U$2:$U$601,MATCH(B337,Base!$A$2:$A$601,0))="","",INDEX(Base!$U$2:$U$601,MATCH(B337,Base!$A$2:$A$601,0)))</f>
        <v>Baixa</v>
      </c>
      <c r="M337">
        <f>INDEX(Base!$R$2:$R$601,MATCH(B337,Base!$A$2:$A$601,0))</f>
        <v>0</v>
      </c>
      <c r="N337" t="str">
        <f>INDEX(Base!$AB$2:$AB$601,MATCH(B337,Base!$A$2:$A$601,0))</f>
        <v>Baixa</v>
      </c>
      <c r="O337">
        <v>61</v>
      </c>
    </row>
    <row r="338" spans="1:16" x14ac:dyDescent="0.25">
      <c r="A338" t="s">
        <v>1260</v>
      </c>
      <c r="B338" t="s">
        <v>703</v>
      </c>
      <c r="C338" t="s">
        <v>921</v>
      </c>
      <c r="D338" t="s">
        <v>220</v>
      </c>
      <c r="F338">
        <v>5</v>
      </c>
      <c r="G338" t="str">
        <f>INDEX(Base!$D$2:$D$601,MATCH(B338,Base!$A$2:$A$601,0))</f>
        <v>Pequeno Escritório</v>
      </c>
      <c r="H338" t="str">
        <f>INDEX(Base!$C$2:$C$601,MATCH(B338,Base!$A$2:$A$601,0))</f>
        <v>Sul</v>
      </c>
      <c r="I338">
        <f>INDEX(Base!$M$2:$M$601,MATCH(B338,Base!$A$2:$A$601,0))</f>
        <v>1</v>
      </c>
      <c r="J338">
        <f t="shared" si="10"/>
        <v>0</v>
      </c>
      <c r="K338">
        <f t="shared" si="11"/>
        <v>0</v>
      </c>
      <c r="L338" t="str">
        <f>IF(INDEX(Base!$U$2:$U$601,MATCH(B338,Base!$A$2:$A$601,0))="","",INDEX(Base!$U$2:$U$601,MATCH(B338,Base!$A$2:$A$601,0)))</f>
        <v/>
      </c>
      <c r="M338">
        <f>INDEX(Base!$R$2:$R$601,MATCH(B338,Base!$A$2:$A$601,0))</f>
        <v>0</v>
      </c>
      <c r="N338" t="str">
        <f>INDEX(Base!$AB$2:$AB$601,MATCH(B338,Base!$A$2:$A$601,0))</f>
        <v>Alta</v>
      </c>
      <c r="O338">
        <v>42</v>
      </c>
    </row>
    <row r="339" spans="1:16" x14ac:dyDescent="0.25">
      <c r="A339" t="s">
        <v>1261</v>
      </c>
      <c r="B339" t="s">
        <v>433</v>
      </c>
      <c r="C339" t="s">
        <v>927</v>
      </c>
      <c r="D339" t="s">
        <v>220</v>
      </c>
      <c r="F339">
        <v>6</v>
      </c>
      <c r="G339" t="str">
        <f>INDEX(Base!$D$2:$D$601,MATCH(B339,Base!$A$2:$A$601,0))</f>
        <v>Pequeno Escritório</v>
      </c>
      <c r="H339" t="str">
        <f>INDEX(Base!$C$2:$C$601,MATCH(B339,Base!$A$2:$A$601,0))</f>
        <v>Nordeste</v>
      </c>
      <c r="I339">
        <f>INDEX(Base!$M$2:$M$601,MATCH(B339,Base!$A$2:$A$601,0))</f>
        <v>1</v>
      </c>
      <c r="J339">
        <f t="shared" si="10"/>
        <v>0</v>
      </c>
      <c r="K339">
        <f t="shared" si="11"/>
        <v>0</v>
      </c>
      <c r="L339" t="str">
        <f>IF(INDEX(Base!$U$2:$U$601,MATCH(B339,Base!$A$2:$A$601,0))="","",INDEX(Base!$U$2:$U$601,MATCH(B339,Base!$A$2:$A$601,0)))</f>
        <v/>
      </c>
      <c r="M339">
        <f>INDEX(Base!$R$2:$R$601,MATCH(B339,Base!$A$2:$A$601,0))</f>
        <v>1</v>
      </c>
      <c r="N339" t="str">
        <f>INDEX(Base!$AB$2:$AB$601,MATCH(B339,Base!$A$2:$A$601,0))</f>
        <v>Alta</v>
      </c>
      <c r="O339">
        <v>84</v>
      </c>
    </row>
    <row r="340" spans="1:16" x14ac:dyDescent="0.25">
      <c r="A340" t="s">
        <v>1262</v>
      </c>
      <c r="B340" t="s">
        <v>904</v>
      </c>
      <c r="C340" t="s">
        <v>921</v>
      </c>
      <c r="D340" t="s">
        <v>220</v>
      </c>
      <c r="F340">
        <v>12</v>
      </c>
      <c r="G340" t="str">
        <f>INDEX(Base!$D$2:$D$601,MATCH(B340,Base!$A$2:$A$601,0))</f>
        <v>Autônomo</v>
      </c>
      <c r="H340" t="str">
        <f>INDEX(Base!$C$2:$C$601,MATCH(B340,Base!$A$2:$A$601,0))</f>
        <v>Sudeste</v>
      </c>
      <c r="I340">
        <f>INDEX(Base!$M$2:$M$601,MATCH(B340,Base!$A$2:$A$601,0))</f>
        <v>1</v>
      </c>
      <c r="J340">
        <f t="shared" si="10"/>
        <v>0</v>
      </c>
      <c r="K340">
        <f t="shared" si="11"/>
        <v>0</v>
      </c>
      <c r="L340" t="str">
        <f>IF(INDEX(Base!$U$2:$U$601,MATCH(B340,Base!$A$2:$A$601,0))="","",INDEX(Base!$U$2:$U$601,MATCH(B340,Base!$A$2:$A$601,0)))</f>
        <v/>
      </c>
      <c r="M340">
        <f>INDEX(Base!$R$2:$R$601,MATCH(B340,Base!$A$2:$A$601,0))</f>
        <v>0</v>
      </c>
      <c r="N340" t="str">
        <f>INDEX(Base!$AB$2:$AB$601,MATCH(B340,Base!$A$2:$A$601,0))</f>
        <v>Média</v>
      </c>
      <c r="O340">
        <v>151</v>
      </c>
    </row>
    <row r="341" spans="1:16" x14ac:dyDescent="0.25">
      <c r="A341" t="s">
        <v>1263</v>
      </c>
      <c r="B341" t="s">
        <v>287</v>
      </c>
      <c r="C341" t="s">
        <v>921</v>
      </c>
      <c r="D341" t="s">
        <v>215</v>
      </c>
      <c r="F341">
        <v>12</v>
      </c>
      <c r="G341" t="str">
        <f>INDEX(Base!$D$2:$D$601,MATCH(B341,Base!$A$2:$A$601,0))</f>
        <v>Grande Escritório</v>
      </c>
      <c r="H341" t="str">
        <f>INDEX(Base!$C$2:$C$601,MATCH(B341,Base!$A$2:$A$601,0))</f>
        <v>Sudeste</v>
      </c>
      <c r="I341">
        <f>INDEX(Base!$M$2:$M$601,MATCH(B341,Base!$A$2:$A$601,0))</f>
        <v>1</v>
      </c>
      <c r="J341">
        <f t="shared" si="10"/>
        <v>0</v>
      </c>
      <c r="K341">
        <f t="shared" si="11"/>
        <v>0</v>
      </c>
      <c r="L341" t="str">
        <f>IF(INDEX(Base!$U$2:$U$601,MATCH(B341,Base!$A$2:$A$601,0))="","",INDEX(Base!$U$2:$U$601,MATCH(B341,Base!$A$2:$A$601,0)))</f>
        <v/>
      </c>
      <c r="M341">
        <f>INDEX(Base!$R$2:$R$601,MATCH(B341,Base!$A$2:$A$601,0))</f>
        <v>1</v>
      </c>
      <c r="N341" t="str">
        <f>INDEX(Base!$AB$2:$AB$601,MATCH(B341,Base!$A$2:$A$601,0))</f>
        <v>Alta</v>
      </c>
      <c r="O341">
        <v>101</v>
      </c>
    </row>
    <row r="342" spans="1:16" x14ac:dyDescent="0.25">
      <c r="A342" t="s">
        <v>1264</v>
      </c>
      <c r="B342" t="s">
        <v>766</v>
      </c>
      <c r="C342" t="s">
        <v>918</v>
      </c>
      <c r="D342" t="s">
        <v>218</v>
      </c>
      <c r="F342">
        <v>12</v>
      </c>
      <c r="G342" t="str">
        <f>INDEX(Base!$D$2:$D$601,MATCH(B342,Base!$A$2:$A$601,0))</f>
        <v>Médio Escritório</v>
      </c>
      <c r="H342" t="str">
        <f>INDEX(Base!$C$2:$C$601,MATCH(B342,Base!$A$2:$A$601,0))</f>
        <v>Sudeste</v>
      </c>
      <c r="I342">
        <f>INDEX(Base!$M$2:$M$601,MATCH(B342,Base!$A$2:$A$601,0))</f>
        <v>1</v>
      </c>
      <c r="J342">
        <f t="shared" si="10"/>
        <v>0</v>
      </c>
      <c r="K342">
        <f t="shared" si="11"/>
        <v>0</v>
      </c>
      <c r="L342" t="str">
        <f>IF(INDEX(Base!$U$2:$U$601,MATCH(B342,Base!$A$2:$A$601,0))="","",INDEX(Base!$U$2:$U$601,MATCH(B342,Base!$A$2:$A$601,0)))</f>
        <v/>
      </c>
      <c r="M342">
        <f>INDEX(Base!$R$2:$R$601,MATCH(B342,Base!$A$2:$A$601,0))</f>
        <v>1</v>
      </c>
      <c r="N342" t="str">
        <f>INDEX(Base!$AB$2:$AB$601,MATCH(B342,Base!$A$2:$A$601,0))</f>
        <v>Alta</v>
      </c>
      <c r="O342">
        <v>58</v>
      </c>
    </row>
    <row r="343" spans="1:16" x14ac:dyDescent="0.25">
      <c r="A343" t="s">
        <v>1265</v>
      </c>
      <c r="B343" t="s">
        <v>413</v>
      </c>
      <c r="C343" t="s">
        <v>927</v>
      </c>
      <c r="D343" t="s">
        <v>922</v>
      </c>
      <c r="E343">
        <v>1673.21</v>
      </c>
      <c r="F343">
        <v>3</v>
      </c>
      <c r="G343" t="str">
        <f>INDEX(Base!$D$2:$D$601,MATCH(B343,Base!$A$2:$A$601,0))</f>
        <v>Pequeno Escritório</v>
      </c>
      <c r="H343" t="str">
        <f>INDEX(Base!$C$2:$C$601,MATCH(B343,Base!$A$2:$A$601,0))</f>
        <v>Sudeste</v>
      </c>
      <c r="I343">
        <f>INDEX(Base!$M$2:$M$601,MATCH(B343,Base!$A$2:$A$601,0))</f>
        <v>0</v>
      </c>
      <c r="J343">
        <f t="shared" si="10"/>
        <v>1</v>
      </c>
      <c r="K343">
        <f t="shared" si="11"/>
        <v>1</v>
      </c>
      <c r="L343" t="str">
        <f>IF(INDEX(Base!$U$2:$U$601,MATCH(B343,Base!$A$2:$A$601,0))="","",INDEX(Base!$U$2:$U$601,MATCH(B343,Base!$A$2:$A$601,0)))</f>
        <v>Média</v>
      </c>
      <c r="M343">
        <f>INDEX(Base!$R$2:$R$601,MATCH(B343,Base!$A$2:$A$601,0))</f>
        <v>0</v>
      </c>
      <c r="N343" t="str">
        <f>INDEX(Base!$AB$2:$AB$601,MATCH(B343,Base!$A$2:$A$601,0))</f>
        <v>Média</v>
      </c>
      <c r="O343">
        <v>6</v>
      </c>
      <c r="P343" s="33">
        <v>45528</v>
      </c>
    </row>
    <row r="344" spans="1:16" x14ac:dyDescent="0.25">
      <c r="A344" t="s">
        <v>1266</v>
      </c>
      <c r="B344" t="s">
        <v>858</v>
      </c>
      <c r="C344" t="s">
        <v>934</v>
      </c>
      <c r="D344" t="s">
        <v>218</v>
      </c>
      <c r="F344">
        <v>11</v>
      </c>
      <c r="G344" t="str">
        <f>INDEX(Base!$D$2:$D$601,MATCH(B344,Base!$A$2:$A$601,0))</f>
        <v>Grande Escritório</v>
      </c>
      <c r="H344" t="str">
        <f>INDEX(Base!$C$2:$C$601,MATCH(B344,Base!$A$2:$A$601,0))</f>
        <v>Sudeste</v>
      </c>
      <c r="I344">
        <f>INDEX(Base!$M$2:$M$601,MATCH(B344,Base!$A$2:$A$601,0))</f>
        <v>1</v>
      </c>
      <c r="J344">
        <f t="shared" si="10"/>
        <v>0</v>
      </c>
      <c r="K344">
        <f t="shared" si="11"/>
        <v>0</v>
      </c>
      <c r="L344" t="str">
        <f>IF(INDEX(Base!$U$2:$U$601,MATCH(B344,Base!$A$2:$A$601,0))="","",INDEX(Base!$U$2:$U$601,MATCH(B344,Base!$A$2:$A$601,0)))</f>
        <v/>
      </c>
      <c r="M344">
        <f>INDEX(Base!$R$2:$R$601,MATCH(B344,Base!$A$2:$A$601,0))</f>
        <v>1</v>
      </c>
      <c r="N344" t="str">
        <f>INDEX(Base!$AB$2:$AB$601,MATCH(B344,Base!$A$2:$A$601,0))</f>
        <v>Alta</v>
      </c>
      <c r="O344">
        <v>45</v>
      </c>
    </row>
    <row r="345" spans="1:16" x14ac:dyDescent="0.25">
      <c r="A345" t="s">
        <v>1267</v>
      </c>
      <c r="B345" t="s">
        <v>453</v>
      </c>
      <c r="C345" t="s">
        <v>981</v>
      </c>
      <c r="D345" t="s">
        <v>216</v>
      </c>
      <c r="F345">
        <v>7</v>
      </c>
      <c r="G345" t="str">
        <f>INDEX(Base!$D$2:$D$601,MATCH(B345,Base!$A$2:$A$601,0))</f>
        <v>Autônomo</v>
      </c>
      <c r="H345" t="str">
        <f>INDEX(Base!$C$2:$C$601,MATCH(B345,Base!$A$2:$A$601,0))</f>
        <v>Centro-Oeste</v>
      </c>
      <c r="I345">
        <f>INDEX(Base!$M$2:$M$601,MATCH(B345,Base!$A$2:$A$601,0))</f>
        <v>0</v>
      </c>
      <c r="J345">
        <f t="shared" si="10"/>
        <v>0</v>
      </c>
      <c r="K345">
        <f t="shared" si="11"/>
        <v>0</v>
      </c>
      <c r="L345" t="str">
        <f>IF(INDEX(Base!$U$2:$U$601,MATCH(B345,Base!$A$2:$A$601,0))="","",INDEX(Base!$U$2:$U$601,MATCH(B345,Base!$A$2:$A$601,0)))</f>
        <v>Baixa</v>
      </c>
      <c r="M345">
        <f>INDEX(Base!$R$2:$R$601,MATCH(B345,Base!$A$2:$A$601,0))</f>
        <v>0</v>
      </c>
      <c r="N345" t="str">
        <f>INDEX(Base!$AB$2:$AB$601,MATCH(B345,Base!$A$2:$A$601,0))</f>
        <v>Baixa</v>
      </c>
      <c r="O345">
        <v>178</v>
      </c>
    </row>
    <row r="346" spans="1:16" x14ac:dyDescent="0.25">
      <c r="A346" t="s">
        <v>1268</v>
      </c>
      <c r="B346" t="s">
        <v>604</v>
      </c>
      <c r="C346" t="s">
        <v>921</v>
      </c>
      <c r="D346" t="s">
        <v>922</v>
      </c>
      <c r="E346">
        <v>268.51</v>
      </c>
      <c r="F346">
        <v>12</v>
      </c>
      <c r="G346" t="str">
        <f>INDEX(Base!$D$2:$D$601,MATCH(B346,Base!$A$2:$A$601,0))</f>
        <v>Autônomo</v>
      </c>
      <c r="H346" t="str">
        <f>INDEX(Base!$C$2:$C$601,MATCH(B346,Base!$A$2:$A$601,0))</f>
        <v>Sudeste</v>
      </c>
      <c r="I346">
        <f>INDEX(Base!$M$2:$M$601,MATCH(B346,Base!$A$2:$A$601,0))</f>
        <v>1</v>
      </c>
      <c r="J346">
        <f t="shared" si="10"/>
        <v>1</v>
      </c>
      <c r="K346">
        <f t="shared" si="11"/>
        <v>1</v>
      </c>
      <c r="L346" t="str">
        <f>IF(INDEX(Base!$U$2:$U$601,MATCH(B346,Base!$A$2:$A$601,0))="","",INDEX(Base!$U$2:$U$601,MATCH(B346,Base!$A$2:$A$601,0)))</f>
        <v/>
      </c>
      <c r="M346">
        <f>INDEX(Base!$R$2:$R$601,MATCH(B346,Base!$A$2:$A$601,0))</f>
        <v>0</v>
      </c>
      <c r="N346" t="str">
        <f>INDEX(Base!$AB$2:$AB$601,MATCH(B346,Base!$A$2:$A$601,0))</f>
        <v>Média</v>
      </c>
      <c r="O346">
        <v>50</v>
      </c>
      <c r="P346" s="33">
        <v>45698</v>
      </c>
    </row>
    <row r="347" spans="1:16" x14ac:dyDescent="0.25">
      <c r="A347" t="s">
        <v>1269</v>
      </c>
      <c r="B347" t="s">
        <v>358</v>
      </c>
      <c r="C347" t="s">
        <v>918</v>
      </c>
      <c r="D347" t="s">
        <v>922</v>
      </c>
      <c r="E347">
        <v>799.72</v>
      </c>
      <c r="F347">
        <v>3</v>
      </c>
      <c r="G347" t="str">
        <f>INDEX(Base!$D$2:$D$601,MATCH(B347,Base!$A$2:$A$601,0))</f>
        <v>Autônomo</v>
      </c>
      <c r="H347" t="str">
        <f>INDEX(Base!$C$2:$C$601,MATCH(B347,Base!$A$2:$A$601,0))</f>
        <v>Sudeste</v>
      </c>
      <c r="I347">
        <f>INDEX(Base!$M$2:$M$601,MATCH(B347,Base!$A$2:$A$601,0))</f>
        <v>0</v>
      </c>
      <c r="J347">
        <f t="shared" si="10"/>
        <v>1</v>
      </c>
      <c r="K347">
        <f t="shared" si="11"/>
        <v>1</v>
      </c>
      <c r="L347" t="str">
        <f>IF(INDEX(Base!$U$2:$U$601,MATCH(B347,Base!$A$2:$A$601,0))="","",INDEX(Base!$U$2:$U$601,MATCH(B347,Base!$A$2:$A$601,0)))</f>
        <v>Baixa</v>
      </c>
      <c r="M347">
        <f>INDEX(Base!$R$2:$R$601,MATCH(B347,Base!$A$2:$A$601,0))</f>
        <v>0</v>
      </c>
      <c r="N347" t="str">
        <f>INDEX(Base!$AB$2:$AB$601,MATCH(B347,Base!$A$2:$A$601,0))</f>
        <v>Baixa</v>
      </c>
      <c r="O347">
        <v>70</v>
      </c>
      <c r="P347" s="33">
        <v>45561</v>
      </c>
    </row>
    <row r="348" spans="1:16" x14ac:dyDescent="0.25">
      <c r="A348" t="s">
        <v>1270</v>
      </c>
      <c r="B348" t="s">
        <v>503</v>
      </c>
      <c r="C348" t="s">
        <v>918</v>
      </c>
      <c r="D348" t="s">
        <v>919</v>
      </c>
      <c r="F348">
        <v>12</v>
      </c>
      <c r="G348" t="str">
        <f>INDEX(Base!$D$2:$D$601,MATCH(B348,Base!$A$2:$A$601,0))</f>
        <v>Pequeno Escritório</v>
      </c>
      <c r="H348" t="str">
        <f>INDEX(Base!$C$2:$C$601,MATCH(B348,Base!$A$2:$A$601,0))</f>
        <v>Sudeste</v>
      </c>
      <c r="I348">
        <f>INDEX(Base!$M$2:$M$601,MATCH(B348,Base!$A$2:$A$601,0))</f>
        <v>0</v>
      </c>
      <c r="J348">
        <f t="shared" si="10"/>
        <v>1</v>
      </c>
      <c r="K348">
        <f t="shared" si="11"/>
        <v>0</v>
      </c>
      <c r="L348" t="str">
        <f>IF(INDEX(Base!$U$2:$U$601,MATCH(B348,Base!$A$2:$A$601,0))="","",INDEX(Base!$U$2:$U$601,MATCH(B348,Base!$A$2:$A$601,0)))</f>
        <v>Média</v>
      </c>
      <c r="M348">
        <f>INDEX(Base!$R$2:$R$601,MATCH(B348,Base!$A$2:$A$601,0))</f>
        <v>0</v>
      </c>
      <c r="N348" t="str">
        <f>INDEX(Base!$AB$2:$AB$601,MATCH(B348,Base!$A$2:$A$601,0))</f>
        <v>Média</v>
      </c>
      <c r="O348">
        <v>82</v>
      </c>
    </row>
    <row r="349" spans="1:16" x14ac:dyDescent="0.25">
      <c r="A349" t="s">
        <v>1271</v>
      </c>
      <c r="B349" t="s">
        <v>476</v>
      </c>
      <c r="C349" t="s">
        <v>921</v>
      </c>
      <c r="D349" t="s">
        <v>215</v>
      </c>
      <c r="F349">
        <v>8</v>
      </c>
      <c r="G349" t="str">
        <f>INDEX(Base!$D$2:$D$601,MATCH(B349,Base!$A$2:$A$601,0))</f>
        <v>Pequeno Escritório</v>
      </c>
      <c r="H349" t="str">
        <f>INDEX(Base!$C$2:$C$601,MATCH(B349,Base!$A$2:$A$601,0))</f>
        <v>Nordeste</v>
      </c>
      <c r="I349">
        <f>INDEX(Base!$M$2:$M$601,MATCH(B349,Base!$A$2:$A$601,0))</f>
        <v>0</v>
      </c>
      <c r="J349">
        <f t="shared" si="10"/>
        <v>0</v>
      </c>
      <c r="K349">
        <f t="shared" si="11"/>
        <v>0</v>
      </c>
      <c r="L349" t="str">
        <f>IF(INDEX(Base!$U$2:$U$601,MATCH(B349,Base!$A$2:$A$601,0))="","",INDEX(Base!$U$2:$U$601,MATCH(B349,Base!$A$2:$A$601,0)))</f>
        <v>Média</v>
      </c>
      <c r="M349">
        <f>INDEX(Base!$R$2:$R$601,MATCH(B349,Base!$A$2:$A$601,0))</f>
        <v>1</v>
      </c>
      <c r="N349" t="str">
        <f>INDEX(Base!$AB$2:$AB$601,MATCH(B349,Base!$A$2:$A$601,0))</f>
        <v>Média</v>
      </c>
      <c r="O349">
        <v>128</v>
      </c>
    </row>
    <row r="350" spans="1:16" x14ac:dyDescent="0.25">
      <c r="A350" t="s">
        <v>1272</v>
      </c>
      <c r="B350" t="s">
        <v>894</v>
      </c>
      <c r="C350" t="s">
        <v>918</v>
      </c>
      <c r="D350" t="s">
        <v>218</v>
      </c>
      <c r="F350">
        <v>12</v>
      </c>
      <c r="G350" t="str">
        <f>INDEX(Base!$D$2:$D$601,MATCH(B350,Base!$A$2:$A$601,0))</f>
        <v>Pequeno Escritório</v>
      </c>
      <c r="H350" t="str">
        <f>INDEX(Base!$C$2:$C$601,MATCH(B350,Base!$A$2:$A$601,0))</f>
        <v>Sudeste</v>
      </c>
      <c r="I350">
        <f>INDEX(Base!$M$2:$M$601,MATCH(B350,Base!$A$2:$A$601,0))</f>
        <v>1</v>
      </c>
      <c r="J350">
        <f t="shared" si="10"/>
        <v>0</v>
      </c>
      <c r="K350">
        <f t="shared" si="11"/>
        <v>0</v>
      </c>
      <c r="L350" t="str">
        <f>IF(INDEX(Base!$U$2:$U$601,MATCH(B350,Base!$A$2:$A$601,0))="","",INDEX(Base!$U$2:$U$601,MATCH(B350,Base!$A$2:$A$601,0)))</f>
        <v/>
      </c>
      <c r="M350">
        <f>INDEX(Base!$R$2:$R$601,MATCH(B350,Base!$A$2:$A$601,0))</f>
        <v>1</v>
      </c>
      <c r="N350" t="str">
        <f>INDEX(Base!$AB$2:$AB$601,MATCH(B350,Base!$A$2:$A$601,0))</f>
        <v>Alta</v>
      </c>
      <c r="O350">
        <v>55</v>
      </c>
    </row>
    <row r="351" spans="1:16" x14ac:dyDescent="0.25">
      <c r="A351" t="s">
        <v>1273</v>
      </c>
      <c r="B351" t="s">
        <v>376</v>
      </c>
      <c r="C351" t="s">
        <v>927</v>
      </c>
      <c r="D351" t="s">
        <v>216</v>
      </c>
      <c r="F351">
        <v>10</v>
      </c>
      <c r="G351" t="str">
        <f>INDEX(Base!$D$2:$D$601,MATCH(B351,Base!$A$2:$A$601,0))</f>
        <v>Pequeno Escritório</v>
      </c>
      <c r="H351" t="str">
        <f>INDEX(Base!$C$2:$C$601,MATCH(B351,Base!$A$2:$A$601,0))</f>
        <v>Sudeste</v>
      </c>
      <c r="I351">
        <f>INDEX(Base!$M$2:$M$601,MATCH(B351,Base!$A$2:$A$601,0))</f>
        <v>0</v>
      </c>
      <c r="J351">
        <f t="shared" si="10"/>
        <v>0</v>
      </c>
      <c r="K351">
        <f t="shared" si="11"/>
        <v>0</v>
      </c>
      <c r="L351" t="str">
        <f>IF(INDEX(Base!$U$2:$U$601,MATCH(B351,Base!$A$2:$A$601,0))="","",INDEX(Base!$U$2:$U$601,MATCH(B351,Base!$A$2:$A$601,0)))</f>
        <v>Alta</v>
      </c>
      <c r="M351">
        <f>INDEX(Base!$R$2:$R$601,MATCH(B351,Base!$A$2:$A$601,0))</f>
        <v>0</v>
      </c>
      <c r="N351" t="str">
        <f>INDEX(Base!$AB$2:$AB$601,MATCH(B351,Base!$A$2:$A$601,0))</f>
        <v>Média</v>
      </c>
      <c r="O351">
        <v>31</v>
      </c>
    </row>
  </sheetData>
  <autoFilter ref="A1:P35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4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7" ht="30" x14ac:dyDescent="0.25">
      <c r="A1" s="12" t="s">
        <v>1274</v>
      </c>
      <c r="B1" s="12" t="s">
        <v>254</v>
      </c>
      <c r="C1" s="12" t="s">
        <v>1275</v>
      </c>
      <c r="D1" s="12" t="s">
        <v>909</v>
      </c>
      <c r="E1" s="12" t="s">
        <v>1276</v>
      </c>
      <c r="F1" s="12" t="s">
        <v>257</v>
      </c>
      <c r="G1" s="12" t="s">
        <v>266</v>
      </c>
    </row>
    <row r="2" spans="1:7" x14ac:dyDescent="0.25">
      <c r="A2" t="s">
        <v>1277</v>
      </c>
      <c r="B2" t="s">
        <v>890</v>
      </c>
      <c r="C2" t="s">
        <v>1278</v>
      </c>
      <c r="D2">
        <v>1186.79</v>
      </c>
      <c r="E2">
        <v>1225.9100000000001</v>
      </c>
      <c r="F2" t="str">
        <f>INDEX(Base!$D$2:$D$601,MATCH(B2,Base!$A$2:$A$601,0))</f>
        <v>Autônomo</v>
      </c>
      <c r="G2">
        <f>INDEX(Base!$M$2:$M$601,MATCH(B2,Base!$A$2:$A$601,0))</f>
        <v>0</v>
      </c>
    </row>
    <row r="3" spans="1:7" x14ac:dyDescent="0.25">
      <c r="A3" t="s">
        <v>1279</v>
      </c>
      <c r="B3" t="s">
        <v>346</v>
      </c>
      <c r="C3" t="s">
        <v>1278</v>
      </c>
      <c r="D3">
        <v>1491.16</v>
      </c>
      <c r="E3">
        <v>1406.26</v>
      </c>
      <c r="F3" t="str">
        <f>INDEX(Base!$D$2:$D$601,MATCH(B3,Base!$A$2:$A$601,0))</f>
        <v>Grande Escritório</v>
      </c>
      <c r="G3">
        <f>INDEX(Base!$M$2:$M$601,MATCH(B3,Base!$A$2:$A$601,0))</f>
        <v>1</v>
      </c>
    </row>
    <row r="4" spans="1:7" x14ac:dyDescent="0.25">
      <c r="A4" t="s">
        <v>1280</v>
      </c>
      <c r="B4" t="s">
        <v>704</v>
      </c>
      <c r="C4" t="s">
        <v>1278</v>
      </c>
      <c r="D4">
        <v>713.2</v>
      </c>
      <c r="E4">
        <v>808.76</v>
      </c>
      <c r="F4" t="str">
        <f>INDEX(Base!$D$2:$D$601,MATCH(B4,Base!$A$2:$A$601,0))</f>
        <v>Pequeno Escritório</v>
      </c>
      <c r="G4">
        <f>INDEX(Base!$M$2:$M$601,MATCH(B4,Base!$A$2:$A$601,0))</f>
        <v>1</v>
      </c>
    </row>
    <row r="5" spans="1:7" x14ac:dyDescent="0.25">
      <c r="A5" t="s">
        <v>1281</v>
      </c>
      <c r="B5" t="s">
        <v>456</v>
      </c>
      <c r="C5" t="s">
        <v>293</v>
      </c>
      <c r="D5">
        <v>1743.58</v>
      </c>
      <c r="E5">
        <v>0</v>
      </c>
      <c r="F5" t="str">
        <f>INDEX(Base!$D$2:$D$601,MATCH(B5,Base!$A$2:$A$601,0))</f>
        <v>Pequeno Escritório</v>
      </c>
      <c r="G5">
        <f>INDEX(Base!$M$2:$M$601,MATCH(B5,Base!$A$2:$A$601,0))</f>
        <v>0</v>
      </c>
    </row>
    <row r="6" spans="1:7" x14ac:dyDescent="0.25">
      <c r="A6" t="s">
        <v>1282</v>
      </c>
      <c r="B6" t="s">
        <v>708</v>
      </c>
      <c r="C6" t="s">
        <v>293</v>
      </c>
      <c r="D6">
        <v>294.60000000000002</v>
      </c>
      <c r="E6">
        <v>0</v>
      </c>
      <c r="F6" t="str">
        <f>INDEX(Base!$D$2:$D$601,MATCH(B6,Base!$A$2:$A$601,0))</f>
        <v>Pequeno Escritório</v>
      </c>
      <c r="G6">
        <f>INDEX(Base!$M$2:$M$601,MATCH(B6,Base!$A$2:$A$601,0))</f>
        <v>0</v>
      </c>
    </row>
    <row r="7" spans="1:7" x14ac:dyDescent="0.25">
      <c r="A7" t="s">
        <v>1283</v>
      </c>
      <c r="B7" t="s">
        <v>634</v>
      </c>
      <c r="C7" t="s">
        <v>1278</v>
      </c>
      <c r="D7">
        <v>1567.37</v>
      </c>
      <c r="E7">
        <v>1503.54</v>
      </c>
      <c r="F7" t="str">
        <f>INDEX(Base!$D$2:$D$601,MATCH(B7,Base!$A$2:$A$601,0))</f>
        <v>Autônomo</v>
      </c>
      <c r="G7">
        <f>INDEX(Base!$M$2:$M$601,MATCH(B7,Base!$A$2:$A$601,0))</f>
        <v>0</v>
      </c>
    </row>
    <row r="8" spans="1:7" x14ac:dyDescent="0.25">
      <c r="A8" t="s">
        <v>1284</v>
      </c>
      <c r="B8" t="s">
        <v>834</v>
      </c>
      <c r="C8" t="s">
        <v>1278</v>
      </c>
      <c r="D8">
        <v>1539.45</v>
      </c>
      <c r="E8">
        <v>2021.56</v>
      </c>
      <c r="F8" t="str">
        <f>INDEX(Base!$D$2:$D$601,MATCH(B8,Base!$A$2:$A$601,0))</f>
        <v>Autônomo</v>
      </c>
      <c r="G8">
        <f>INDEX(Base!$M$2:$M$601,MATCH(B8,Base!$A$2:$A$601,0))</f>
        <v>0</v>
      </c>
    </row>
    <row r="9" spans="1:7" x14ac:dyDescent="0.25">
      <c r="A9" t="s">
        <v>1285</v>
      </c>
      <c r="B9" t="s">
        <v>615</v>
      </c>
      <c r="C9" t="s">
        <v>1278</v>
      </c>
      <c r="D9">
        <v>1740.38</v>
      </c>
      <c r="E9">
        <v>1815</v>
      </c>
      <c r="F9" t="str">
        <f>INDEX(Base!$D$2:$D$601,MATCH(B9,Base!$A$2:$A$601,0))</f>
        <v>Pequeno Escritório</v>
      </c>
      <c r="G9">
        <f>INDEX(Base!$M$2:$M$601,MATCH(B9,Base!$A$2:$A$601,0))</f>
        <v>0</v>
      </c>
    </row>
    <row r="10" spans="1:7" x14ac:dyDescent="0.25">
      <c r="A10" t="s">
        <v>1286</v>
      </c>
      <c r="B10" t="s">
        <v>800</v>
      </c>
      <c r="C10" t="s">
        <v>1278</v>
      </c>
      <c r="D10">
        <v>211.08</v>
      </c>
      <c r="E10">
        <v>189.41</v>
      </c>
      <c r="F10" t="str">
        <f>INDEX(Base!$D$2:$D$601,MATCH(B10,Base!$A$2:$A$601,0))</f>
        <v>Pequeno Escritório</v>
      </c>
      <c r="G10">
        <f>INDEX(Base!$M$2:$M$601,MATCH(B10,Base!$A$2:$A$601,0))</f>
        <v>0</v>
      </c>
    </row>
    <row r="11" spans="1:7" x14ac:dyDescent="0.25">
      <c r="A11" t="s">
        <v>1287</v>
      </c>
      <c r="B11" t="s">
        <v>868</v>
      </c>
      <c r="C11" t="s">
        <v>293</v>
      </c>
      <c r="D11">
        <v>1643.37</v>
      </c>
      <c r="E11">
        <v>0</v>
      </c>
      <c r="F11" t="str">
        <f>INDEX(Base!$D$2:$D$601,MATCH(B11,Base!$A$2:$A$601,0))</f>
        <v>Autônomo</v>
      </c>
      <c r="G11">
        <f>INDEX(Base!$M$2:$M$601,MATCH(B11,Base!$A$2:$A$601,0))</f>
        <v>0</v>
      </c>
    </row>
    <row r="12" spans="1:7" x14ac:dyDescent="0.25">
      <c r="A12" t="s">
        <v>1288</v>
      </c>
      <c r="B12" t="s">
        <v>866</v>
      </c>
      <c r="C12" t="s">
        <v>1278</v>
      </c>
      <c r="D12">
        <v>1733.68</v>
      </c>
      <c r="E12">
        <v>2225.71</v>
      </c>
      <c r="F12" t="str">
        <f>INDEX(Base!$D$2:$D$601,MATCH(B12,Base!$A$2:$A$601,0))</f>
        <v>Pequeno Escritório</v>
      </c>
      <c r="G12">
        <f>INDEX(Base!$M$2:$M$601,MATCH(B12,Base!$A$2:$A$601,0))</f>
        <v>1</v>
      </c>
    </row>
    <row r="13" spans="1:7" x14ac:dyDescent="0.25">
      <c r="A13" t="s">
        <v>1289</v>
      </c>
      <c r="B13" t="s">
        <v>741</v>
      </c>
      <c r="C13" t="s">
        <v>1278</v>
      </c>
      <c r="D13">
        <v>1176.04</v>
      </c>
      <c r="E13">
        <v>1567.03</v>
      </c>
      <c r="F13" t="str">
        <f>INDEX(Base!$D$2:$D$601,MATCH(B13,Base!$A$2:$A$601,0))</f>
        <v>Pequeno Escritório</v>
      </c>
      <c r="G13">
        <f>INDEX(Base!$M$2:$M$601,MATCH(B13,Base!$A$2:$A$601,0))</f>
        <v>1</v>
      </c>
    </row>
    <row r="14" spans="1:7" x14ac:dyDescent="0.25">
      <c r="A14" t="s">
        <v>1290</v>
      </c>
      <c r="B14" t="s">
        <v>336</v>
      </c>
      <c r="C14" t="s">
        <v>1278</v>
      </c>
      <c r="D14">
        <v>435.93</v>
      </c>
      <c r="E14">
        <v>524.54</v>
      </c>
      <c r="F14" t="str">
        <f>INDEX(Base!$D$2:$D$601,MATCH(B14,Base!$A$2:$A$601,0))</f>
        <v>Autônomo</v>
      </c>
      <c r="G14">
        <f>INDEX(Base!$M$2:$M$601,MATCH(B14,Base!$A$2:$A$601,0))</f>
        <v>0</v>
      </c>
    </row>
    <row r="15" spans="1:7" x14ac:dyDescent="0.25">
      <c r="A15" t="s">
        <v>1291</v>
      </c>
      <c r="B15" t="s">
        <v>425</v>
      </c>
      <c r="C15" t="s">
        <v>293</v>
      </c>
      <c r="D15">
        <v>651.03</v>
      </c>
      <c r="E15">
        <v>0</v>
      </c>
      <c r="F15" t="str">
        <f>INDEX(Base!$D$2:$D$601,MATCH(B15,Base!$A$2:$A$601,0))</f>
        <v>Médio Escritório</v>
      </c>
      <c r="G15">
        <f>INDEX(Base!$M$2:$M$601,MATCH(B15,Base!$A$2:$A$601,0))</f>
        <v>1</v>
      </c>
    </row>
    <row r="16" spans="1:7" x14ac:dyDescent="0.25">
      <c r="A16" t="s">
        <v>1292</v>
      </c>
      <c r="B16" t="s">
        <v>765</v>
      </c>
      <c r="C16" t="s">
        <v>1278</v>
      </c>
      <c r="D16">
        <v>1420.66</v>
      </c>
      <c r="E16">
        <v>1317.28</v>
      </c>
      <c r="F16" t="str">
        <f>INDEX(Base!$D$2:$D$601,MATCH(B16,Base!$A$2:$A$601,0))</f>
        <v>Autônomo</v>
      </c>
      <c r="G16">
        <f>INDEX(Base!$M$2:$M$601,MATCH(B16,Base!$A$2:$A$601,0))</f>
        <v>0</v>
      </c>
    </row>
    <row r="17" spans="1:7" x14ac:dyDescent="0.25">
      <c r="A17" t="s">
        <v>1293</v>
      </c>
      <c r="B17" t="s">
        <v>552</v>
      </c>
      <c r="C17" t="s">
        <v>1278</v>
      </c>
      <c r="D17">
        <v>1758.19</v>
      </c>
      <c r="E17">
        <v>1758.26</v>
      </c>
      <c r="F17" t="str">
        <f>INDEX(Base!$D$2:$D$601,MATCH(B17,Base!$A$2:$A$601,0))</f>
        <v>Pequeno Escritório</v>
      </c>
      <c r="G17">
        <f>INDEX(Base!$M$2:$M$601,MATCH(B17,Base!$A$2:$A$601,0))</f>
        <v>0</v>
      </c>
    </row>
    <row r="18" spans="1:7" x14ac:dyDescent="0.25">
      <c r="A18" t="s">
        <v>1294</v>
      </c>
      <c r="B18" t="s">
        <v>447</v>
      </c>
      <c r="C18" t="s">
        <v>1278</v>
      </c>
      <c r="D18">
        <v>1707.17</v>
      </c>
      <c r="E18">
        <v>2106.06</v>
      </c>
      <c r="F18" t="str">
        <f>INDEX(Base!$D$2:$D$601,MATCH(B18,Base!$A$2:$A$601,0))</f>
        <v>Pequeno Escritório</v>
      </c>
      <c r="G18">
        <f>INDEX(Base!$M$2:$M$601,MATCH(B18,Base!$A$2:$A$601,0))</f>
        <v>0</v>
      </c>
    </row>
    <row r="19" spans="1:7" x14ac:dyDescent="0.25">
      <c r="A19" t="s">
        <v>1295</v>
      </c>
      <c r="B19" t="s">
        <v>784</v>
      </c>
      <c r="C19" t="s">
        <v>1278</v>
      </c>
      <c r="D19">
        <v>1754.89</v>
      </c>
      <c r="E19">
        <v>1842.61</v>
      </c>
      <c r="F19" t="str">
        <f>INDEX(Base!$D$2:$D$601,MATCH(B19,Base!$A$2:$A$601,0))</f>
        <v>Autônomo</v>
      </c>
      <c r="G19">
        <f>INDEX(Base!$M$2:$M$601,MATCH(B19,Base!$A$2:$A$601,0))</f>
        <v>0</v>
      </c>
    </row>
    <row r="20" spans="1:7" x14ac:dyDescent="0.25">
      <c r="A20" t="s">
        <v>1296</v>
      </c>
      <c r="B20" t="s">
        <v>492</v>
      </c>
      <c r="C20" t="s">
        <v>1278</v>
      </c>
      <c r="D20">
        <v>1340.56</v>
      </c>
      <c r="E20">
        <v>1646.04</v>
      </c>
      <c r="F20" t="str">
        <f>INDEX(Base!$D$2:$D$601,MATCH(B20,Base!$A$2:$A$601,0))</f>
        <v>Autônomo</v>
      </c>
      <c r="G20">
        <f>INDEX(Base!$M$2:$M$601,MATCH(B20,Base!$A$2:$A$601,0))</f>
        <v>0</v>
      </c>
    </row>
    <row r="21" spans="1:7" x14ac:dyDescent="0.25">
      <c r="A21" t="s">
        <v>1297</v>
      </c>
      <c r="B21" t="s">
        <v>900</v>
      </c>
      <c r="C21" t="s">
        <v>1278</v>
      </c>
      <c r="D21">
        <v>1180.19</v>
      </c>
      <c r="E21">
        <v>1253.51</v>
      </c>
      <c r="F21" t="str">
        <f>INDEX(Base!$D$2:$D$601,MATCH(B21,Base!$A$2:$A$601,0))</f>
        <v>Autônomo</v>
      </c>
      <c r="G21">
        <f>INDEX(Base!$M$2:$M$601,MATCH(B21,Base!$A$2:$A$601,0))</f>
        <v>0</v>
      </c>
    </row>
    <row r="22" spans="1:7" x14ac:dyDescent="0.25">
      <c r="A22" t="s">
        <v>1298</v>
      </c>
      <c r="B22" t="s">
        <v>636</v>
      </c>
      <c r="C22" t="s">
        <v>1278</v>
      </c>
      <c r="D22">
        <v>709.32</v>
      </c>
      <c r="E22">
        <v>772.18</v>
      </c>
      <c r="F22" t="str">
        <f>INDEX(Base!$D$2:$D$601,MATCH(B22,Base!$A$2:$A$601,0))</f>
        <v>Autônomo</v>
      </c>
      <c r="G22">
        <f>INDEX(Base!$M$2:$M$601,MATCH(B22,Base!$A$2:$A$601,0))</f>
        <v>0</v>
      </c>
    </row>
    <row r="23" spans="1:7" x14ac:dyDescent="0.25">
      <c r="A23" t="s">
        <v>1299</v>
      </c>
      <c r="B23" t="s">
        <v>739</v>
      </c>
      <c r="C23" t="s">
        <v>1278</v>
      </c>
      <c r="D23">
        <v>1007.45</v>
      </c>
      <c r="E23">
        <v>971.28</v>
      </c>
      <c r="F23" t="str">
        <f>INDEX(Base!$D$2:$D$601,MATCH(B23,Base!$A$2:$A$601,0))</f>
        <v>Autônomo</v>
      </c>
      <c r="G23">
        <f>INDEX(Base!$M$2:$M$601,MATCH(B23,Base!$A$2:$A$601,0))</f>
        <v>0</v>
      </c>
    </row>
    <row r="24" spans="1:7" x14ac:dyDescent="0.25">
      <c r="A24" t="s">
        <v>1300</v>
      </c>
      <c r="B24" t="s">
        <v>339</v>
      </c>
      <c r="C24" t="s">
        <v>293</v>
      </c>
      <c r="D24">
        <v>1509.29</v>
      </c>
      <c r="E24">
        <v>0</v>
      </c>
      <c r="F24" t="str">
        <f>INDEX(Base!$D$2:$D$601,MATCH(B24,Base!$A$2:$A$601,0))</f>
        <v>Autônomo</v>
      </c>
      <c r="G24">
        <f>INDEX(Base!$M$2:$M$601,MATCH(B24,Base!$A$2:$A$601,0))</f>
        <v>0</v>
      </c>
    </row>
    <row r="25" spans="1:7" x14ac:dyDescent="0.25">
      <c r="A25" t="s">
        <v>1301</v>
      </c>
      <c r="B25" t="s">
        <v>879</v>
      </c>
      <c r="C25" t="s">
        <v>293</v>
      </c>
      <c r="D25">
        <v>1747.25</v>
      </c>
      <c r="E25">
        <v>0</v>
      </c>
      <c r="F25" t="str">
        <f>INDEX(Base!$D$2:$D$601,MATCH(B25,Base!$A$2:$A$601,0))</f>
        <v>Autônomo</v>
      </c>
      <c r="G25">
        <f>INDEX(Base!$M$2:$M$601,MATCH(B25,Base!$A$2:$A$601,0))</f>
        <v>0</v>
      </c>
    </row>
    <row r="26" spans="1:7" x14ac:dyDescent="0.25">
      <c r="A26" t="s">
        <v>1302</v>
      </c>
      <c r="B26" t="s">
        <v>844</v>
      </c>
      <c r="C26" t="s">
        <v>1278</v>
      </c>
      <c r="D26">
        <v>931.04</v>
      </c>
      <c r="E26">
        <v>886.85</v>
      </c>
      <c r="F26" t="str">
        <f>INDEX(Base!$D$2:$D$601,MATCH(B26,Base!$A$2:$A$601,0))</f>
        <v>Autônomo</v>
      </c>
      <c r="G26">
        <f>INDEX(Base!$M$2:$M$601,MATCH(B26,Base!$A$2:$A$601,0))</f>
        <v>0</v>
      </c>
    </row>
    <row r="27" spans="1:7" x14ac:dyDescent="0.25">
      <c r="A27" t="s">
        <v>1303</v>
      </c>
      <c r="B27" t="s">
        <v>809</v>
      </c>
      <c r="C27" t="s">
        <v>1278</v>
      </c>
      <c r="D27">
        <v>230.27</v>
      </c>
      <c r="E27">
        <v>267.13</v>
      </c>
      <c r="F27" t="str">
        <f>INDEX(Base!$D$2:$D$601,MATCH(B27,Base!$A$2:$A$601,0))</f>
        <v>Autônomo</v>
      </c>
      <c r="G27">
        <f>INDEX(Base!$M$2:$M$601,MATCH(B27,Base!$A$2:$A$601,0))</f>
        <v>0</v>
      </c>
    </row>
    <row r="28" spans="1:7" x14ac:dyDescent="0.25">
      <c r="A28" t="s">
        <v>1304</v>
      </c>
      <c r="B28" t="s">
        <v>375</v>
      </c>
      <c r="C28" t="s">
        <v>1278</v>
      </c>
      <c r="D28">
        <v>1579.47</v>
      </c>
      <c r="E28">
        <v>1951.76</v>
      </c>
      <c r="F28" t="str">
        <f>INDEX(Base!$D$2:$D$601,MATCH(B28,Base!$A$2:$A$601,0))</f>
        <v>Autônomo</v>
      </c>
      <c r="G28">
        <f>INDEX(Base!$M$2:$M$601,MATCH(B28,Base!$A$2:$A$601,0))</f>
        <v>0</v>
      </c>
    </row>
    <row r="29" spans="1:7" x14ac:dyDescent="0.25">
      <c r="A29" t="s">
        <v>1305</v>
      </c>
      <c r="B29" t="s">
        <v>704</v>
      </c>
      <c r="C29" t="s">
        <v>1278</v>
      </c>
      <c r="D29">
        <v>534.16</v>
      </c>
      <c r="E29">
        <v>500.67</v>
      </c>
      <c r="F29" t="str">
        <f>INDEX(Base!$D$2:$D$601,MATCH(B29,Base!$A$2:$A$601,0))</f>
        <v>Pequeno Escritório</v>
      </c>
      <c r="G29">
        <f>INDEX(Base!$M$2:$M$601,MATCH(B29,Base!$A$2:$A$601,0))</f>
        <v>1</v>
      </c>
    </row>
    <row r="30" spans="1:7" x14ac:dyDescent="0.25">
      <c r="A30" t="s">
        <v>1306</v>
      </c>
      <c r="B30" t="s">
        <v>621</v>
      </c>
      <c r="C30" t="s">
        <v>1278</v>
      </c>
      <c r="D30">
        <v>467.5</v>
      </c>
      <c r="E30">
        <v>445.49</v>
      </c>
      <c r="F30" t="str">
        <f>INDEX(Base!$D$2:$D$601,MATCH(B30,Base!$A$2:$A$601,0))</f>
        <v>Pequeno Escritório</v>
      </c>
      <c r="G30">
        <f>INDEX(Base!$M$2:$M$601,MATCH(B30,Base!$A$2:$A$601,0))</f>
        <v>0</v>
      </c>
    </row>
    <row r="31" spans="1:7" x14ac:dyDescent="0.25">
      <c r="A31" t="s">
        <v>1307</v>
      </c>
      <c r="B31" t="s">
        <v>665</v>
      </c>
      <c r="C31" t="s">
        <v>293</v>
      </c>
      <c r="D31">
        <v>1518.99</v>
      </c>
      <c r="E31">
        <v>0</v>
      </c>
      <c r="F31" t="str">
        <f>INDEX(Base!$D$2:$D$601,MATCH(B31,Base!$A$2:$A$601,0))</f>
        <v>Médio Escritório</v>
      </c>
      <c r="G31">
        <f>INDEX(Base!$M$2:$M$601,MATCH(B31,Base!$A$2:$A$601,0))</f>
        <v>1</v>
      </c>
    </row>
    <row r="32" spans="1:7" x14ac:dyDescent="0.25">
      <c r="A32" t="s">
        <v>1308</v>
      </c>
      <c r="B32" t="s">
        <v>823</v>
      </c>
      <c r="C32" t="s">
        <v>1278</v>
      </c>
      <c r="D32">
        <v>652.61</v>
      </c>
      <c r="E32">
        <v>761.45</v>
      </c>
      <c r="F32" t="str">
        <f>INDEX(Base!$D$2:$D$601,MATCH(B32,Base!$A$2:$A$601,0))</f>
        <v>Pequeno Escritório</v>
      </c>
      <c r="G32">
        <f>INDEX(Base!$M$2:$M$601,MATCH(B32,Base!$A$2:$A$601,0))</f>
        <v>1</v>
      </c>
    </row>
    <row r="33" spans="1:7" x14ac:dyDescent="0.25">
      <c r="A33" t="s">
        <v>1309</v>
      </c>
      <c r="B33" t="s">
        <v>626</v>
      </c>
      <c r="C33" t="s">
        <v>1278</v>
      </c>
      <c r="D33">
        <v>1721.81</v>
      </c>
      <c r="E33">
        <v>1702.73</v>
      </c>
      <c r="F33" t="str">
        <f>INDEX(Base!$D$2:$D$601,MATCH(B33,Base!$A$2:$A$601,0))</f>
        <v>Médio Escritório</v>
      </c>
      <c r="G33">
        <f>INDEX(Base!$M$2:$M$601,MATCH(B33,Base!$A$2:$A$601,0))</f>
        <v>1</v>
      </c>
    </row>
    <row r="34" spans="1:7" x14ac:dyDescent="0.25">
      <c r="A34" t="s">
        <v>1310</v>
      </c>
      <c r="B34" t="s">
        <v>526</v>
      </c>
      <c r="C34" t="s">
        <v>293</v>
      </c>
      <c r="D34">
        <v>1154.5</v>
      </c>
      <c r="E34">
        <v>0</v>
      </c>
      <c r="F34" t="str">
        <f>INDEX(Base!$D$2:$D$601,MATCH(B34,Base!$A$2:$A$601,0))</f>
        <v>Pequeno Escritório</v>
      </c>
      <c r="G34">
        <f>INDEX(Base!$M$2:$M$601,MATCH(B34,Base!$A$2:$A$601,0))</f>
        <v>0</v>
      </c>
    </row>
    <row r="35" spans="1:7" x14ac:dyDescent="0.25">
      <c r="A35" t="s">
        <v>1311</v>
      </c>
      <c r="B35" t="s">
        <v>717</v>
      </c>
      <c r="C35" t="s">
        <v>1278</v>
      </c>
      <c r="D35">
        <v>567.32000000000005</v>
      </c>
      <c r="E35">
        <v>515.88</v>
      </c>
      <c r="F35" t="str">
        <f>INDEX(Base!$D$2:$D$601,MATCH(B35,Base!$A$2:$A$601,0))</f>
        <v>Pequeno Escritório</v>
      </c>
      <c r="G35">
        <f>INDEX(Base!$M$2:$M$601,MATCH(B35,Base!$A$2:$A$601,0))</f>
        <v>0</v>
      </c>
    </row>
    <row r="36" spans="1:7" x14ac:dyDescent="0.25">
      <c r="A36" t="s">
        <v>1312</v>
      </c>
      <c r="B36" t="s">
        <v>496</v>
      </c>
      <c r="C36" t="s">
        <v>293</v>
      </c>
      <c r="D36">
        <v>236.14</v>
      </c>
      <c r="E36">
        <v>0</v>
      </c>
      <c r="F36" t="str">
        <f>INDEX(Base!$D$2:$D$601,MATCH(B36,Base!$A$2:$A$601,0))</f>
        <v>Autônomo</v>
      </c>
      <c r="G36">
        <f>INDEX(Base!$M$2:$M$601,MATCH(B36,Base!$A$2:$A$601,0))</f>
        <v>0</v>
      </c>
    </row>
    <row r="37" spans="1:7" x14ac:dyDescent="0.25">
      <c r="A37" t="s">
        <v>1313</v>
      </c>
      <c r="B37" t="s">
        <v>793</v>
      </c>
      <c r="C37" t="s">
        <v>1278</v>
      </c>
      <c r="D37">
        <v>1576.56</v>
      </c>
      <c r="E37">
        <v>2108.85</v>
      </c>
      <c r="F37" t="str">
        <f>INDEX(Base!$D$2:$D$601,MATCH(B37,Base!$A$2:$A$601,0))</f>
        <v>Grande Escritório</v>
      </c>
      <c r="G37">
        <f>INDEX(Base!$M$2:$M$601,MATCH(B37,Base!$A$2:$A$601,0))</f>
        <v>1</v>
      </c>
    </row>
    <row r="38" spans="1:7" x14ac:dyDescent="0.25">
      <c r="A38" t="s">
        <v>1314</v>
      </c>
      <c r="B38" t="s">
        <v>779</v>
      </c>
      <c r="C38" t="s">
        <v>1278</v>
      </c>
      <c r="D38">
        <v>1441.83</v>
      </c>
      <c r="E38">
        <v>1980.1</v>
      </c>
      <c r="F38" t="str">
        <f>INDEX(Base!$D$2:$D$601,MATCH(B38,Base!$A$2:$A$601,0))</f>
        <v>Autônomo</v>
      </c>
      <c r="G38">
        <f>INDEX(Base!$M$2:$M$601,MATCH(B38,Base!$A$2:$A$601,0))</f>
        <v>0</v>
      </c>
    </row>
    <row r="39" spans="1:7" x14ac:dyDescent="0.25">
      <c r="A39" t="s">
        <v>1315</v>
      </c>
      <c r="B39" t="s">
        <v>861</v>
      </c>
      <c r="C39" t="s">
        <v>1278</v>
      </c>
      <c r="D39">
        <v>924.71</v>
      </c>
      <c r="E39">
        <v>955.44</v>
      </c>
      <c r="F39" t="str">
        <f>INDEX(Base!$D$2:$D$601,MATCH(B39,Base!$A$2:$A$601,0))</f>
        <v>Pequeno Escritório</v>
      </c>
      <c r="G39">
        <f>INDEX(Base!$M$2:$M$601,MATCH(B39,Base!$A$2:$A$601,0))</f>
        <v>0</v>
      </c>
    </row>
    <row r="40" spans="1:7" x14ac:dyDescent="0.25">
      <c r="A40" t="s">
        <v>1316</v>
      </c>
      <c r="B40" t="s">
        <v>362</v>
      </c>
      <c r="C40" t="s">
        <v>1278</v>
      </c>
      <c r="D40">
        <v>1139.6099999999999</v>
      </c>
      <c r="E40">
        <v>1465.62</v>
      </c>
      <c r="F40" t="str">
        <f>INDEX(Base!$D$2:$D$601,MATCH(B40,Base!$A$2:$A$601,0))</f>
        <v>Pequeno Escritório</v>
      </c>
      <c r="G40">
        <f>INDEX(Base!$M$2:$M$601,MATCH(B40,Base!$A$2:$A$601,0))</f>
        <v>1</v>
      </c>
    </row>
    <row r="41" spans="1:7" x14ac:dyDescent="0.25">
      <c r="A41" t="s">
        <v>1317</v>
      </c>
      <c r="B41" t="s">
        <v>489</v>
      </c>
      <c r="C41" t="s">
        <v>293</v>
      </c>
      <c r="D41">
        <v>557.83000000000004</v>
      </c>
      <c r="E41">
        <v>0</v>
      </c>
      <c r="F41" t="str">
        <f>INDEX(Base!$D$2:$D$601,MATCH(B41,Base!$A$2:$A$601,0))</f>
        <v>Médio Escritório</v>
      </c>
      <c r="G41">
        <f>INDEX(Base!$M$2:$M$601,MATCH(B41,Base!$A$2:$A$601,0))</f>
        <v>1</v>
      </c>
    </row>
    <row r="42" spans="1:7" x14ac:dyDescent="0.25">
      <c r="A42" t="s">
        <v>1318</v>
      </c>
      <c r="B42" t="s">
        <v>369</v>
      </c>
      <c r="C42" t="s">
        <v>1278</v>
      </c>
      <c r="D42">
        <v>257.04000000000002</v>
      </c>
      <c r="E42">
        <v>261.95999999999998</v>
      </c>
      <c r="F42" t="str">
        <f>INDEX(Base!$D$2:$D$601,MATCH(B42,Base!$A$2:$A$601,0))</f>
        <v>Autônomo</v>
      </c>
      <c r="G42">
        <f>INDEX(Base!$M$2:$M$601,MATCH(B42,Base!$A$2:$A$601,0))</f>
        <v>0</v>
      </c>
    </row>
    <row r="43" spans="1:7" x14ac:dyDescent="0.25">
      <c r="A43" t="s">
        <v>1319</v>
      </c>
      <c r="B43" t="s">
        <v>455</v>
      </c>
      <c r="C43" t="s">
        <v>1278</v>
      </c>
      <c r="D43">
        <v>972.67</v>
      </c>
      <c r="E43">
        <v>875.01</v>
      </c>
      <c r="F43" t="str">
        <f>INDEX(Base!$D$2:$D$601,MATCH(B43,Base!$A$2:$A$601,0))</f>
        <v>Autônomo</v>
      </c>
      <c r="G43">
        <f>INDEX(Base!$M$2:$M$601,MATCH(B43,Base!$A$2:$A$601,0))</f>
        <v>0</v>
      </c>
    </row>
    <row r="44" spans="1:7" x14ac:dyDescent="0.25">
      <c r="A44" t="s">
        <v>1320</v>
      </c>
      <c r="B44" t="s">
        <v>662</v>
      </c>
      <c r="C44" t="s">
        <v>1278</v>
      </c>
      <c r="D44">
        <v>883.43</v>
      </c>
      <c r="E44">
        <v>753.32</v>
      </c>
      <c r="F44" t="str">
        <f>INDEX(Base!$D$2:$D$601,MATCH(B44,Base!$A$2:$A$601,0))</f>
        <v>Autônomo</v>
      </c>
      <c r="G44">
        <f>INDEX(Base!$M$2:$M$601,MATCH(B44,Base!$A$2:$A$601,0))</f>
        <v>0</v>
      </c>
    </row>
    <row r="45" spans="1:7" x14ac:dyDescent="0.25">
      <c r="A45" t="s">
        <v>1321</v>
      </c>
      <c r="B45" t="s">
        <v>384</v>
      </c>
      <c r="C45" t="s">
        <v>1278</v>
      </c>
      <c r="D45">
        <v>312.38</v>
      </c>
      <c r="E45">
        <v>383.52</v>
      </c>
      <c r="F45" t="str">
        <f>INDEX(Base!$D$2:$D$601,MATCH(B45,Base!$A$2:$A$601,0))</f>
        <v>Autônomo</v>
      </c>
      <c r="G45">
        <f>INDEX(Base!$M$2:$M$601,MATCH(B45,Base!$A$2:$A$601,0))</f>
        <v>0</v>
      </c>
    </row>
    <row r="46" spans="1:7" x14ac:dyDescent="0.25">
      <c r="A46" t="s">
        <v>1322</v>
      </c>
      <c r="B46" t="s">
        <v>542</v>
      </c>
      <c r="C46" t="s">
        <v>1278</v>
      </c>
      <c r="D46">
        <v>712.09</v>
      </c>
      <c r="E46">
        <v>752.65</v>
      </c>
      <c r="F46" t="str">
        <f>INDEX(Base!$D$2:$D$601,MATCH(B46,Base!$A$2:$A$601,0))</f>
        <v>Médio Escritório</v>
      </c>
      <c r="G46">
        <f>INDEX(Base!$M$2:$M$601,MATCH(B46,Base!$A$2:$A$601,0))</f>
        <v>1</v>
      </c>
    </row>
    <row r="47" spans="1:7" x14ac:dyDescent="0.25">
      <c r="A47" t="s">
        <v>1323</v>
      </c>
      <c r="B47" t="s">
        <v>532</v>
      </c>
      <c r="C47" t="s">
        <v>1278</v>
      </c>
      <c r="D47">
        <v>839.18</v>
      </c>
      <c r="E47">
        <v>892.19</v>
      </c>
      <c r="F47" t="str">
        <f>INDEX(Base!$D$2:$D$601,MATCH(B47,Base!$A$2:$A$601,0))</f>
        <v>Autônomo</v>
      </c>
      <c r="G47">
        <f>INDEX(Base!$M$2:$M$601,MATCH(B47,Base!$A$2:$A$601,0))</f>
        <v>0</v>
      </c>
    </row>
    <row r="48" spans="1:7" x14ac:dyDescent="0.25">
      <c r="A48" t="s">
        <v>1324</v>
      </c>
      <c r="B48" t="s">
        <v>307</v>
      </c>
      <c r="C48" t="s">
        <v>1278</v>
      </c>
      <c r="D48">
        <v>1037.05</v>
      </c>
      <c r="E48">
        <v>1322.54</v>
      </c>
      <c r="F48" t="str">
        <f>INDEX(Base!$D$2:$D$601,MATCH(B48,Base!$A$2:$A$601,0))</f>
        <v>Autônomo</v>
      </c>
      <c r="G48">
        <f>INDEX(Base!$M$2:$M$601,MATCH(B48,Base!$A$2:$A$601,0))</f>
        <v>0</v>
      </c>
    </row>
    <row r="49" spans="1:7" x14ac:dyDescent="0.25">
      <c r="A49" t="s">
        <v>1325</v>
      </c>
      <c r="B49" t="s">
        <v>641</v>
      </c>
      <c r="C49" t="s">
        <v>1278</v>
      </c>
      <c r="D49">
        <v>403.59</v>
      </c>
      <c r="E49">
        <v>536.77</v>
      </c>
      <c r="F49" t="str">
        <f>INDEX(Base!$D$2:$D$601,MATCH(B49,Base!$A$2:$A$601,0))</f>
        <v>Autônomo</v>
      </c>
      <c r="G49">
        <f>INDEX(Base!$M$2:$M$601,MATCH(B49,Base!$A$2:$A$601,0))</f>
        <v>0</v>
      </c>
    </row>
    <row r="50" spans="1:7" x14ac:dyDescent="0.25">
      <c r="A50" t="s">
        <v>1326</v>
      </c>
      <c r="B50" t="s">
        <v>354</v>
      </c>
      <c r="C50" t="s">
        <v>1278</v>
      </c>
      <c r="D50">
        <v>303.85000000000002</v>
      </c>
      <c r="E50">
        <v>339.88</v>
      </c>
      <c r="F50" t="str">
        <f>INDEX(Base!$D$2:$D$601,MATCH(B50,Base!$A$2:$A$601,0))</f>
        <v>Pequeno Escritório</v>
      </c>
      <c r="G50">
        <f>INDEX(Base!$M$2:$M$601,MATCH(B50,Base!$A$2:$A$601,0))</f>
        <v>0</v>
      </c>
    </row>
    <row r="51" spans="1:7" x14ac:dyDescent="0.25">
      <c r="A51" t="s">
        <v>1327</v>
      </c>
      <c r="B51" t="s">
        <v>394</v>
      </c>
      <c r="C51" t="s">
        <v>1278</v>
      </c>
      <c r="D51">
        <v>1146.1199999999999</v>
      </c>
      <c r="E51">
        <v>1532.45</v>
      </c>
      <c r="F51" t="str">
        <f>INDEX(Base!$D$2:$D$601,MATCH(B51,Base!$A$2:$A$601,0))</f>
        <v>Pequeno Escritório</v>
      </c>
      <c r="G51">
        <f>INDEX(Base!$M$2:$M$601,MATCH(B51,Base!$A$2:$A$601,0))</f>
        <v>1</v>
      </c>
    </row>
    <row r="52" spans="1:7" x14ac:dyDescent="0.25">
      <c r="A52" t="s">
        <v>1328</v>
      </c>
      <c r="B52" t="s">
        <v>880</v>
      </c>
      <c r="C52" t="s">
        <v>1278</v>
      </c>
      <c r="D52">
        <v>604.48</v>
      </c>
      <c r="E52">
        <v>626.79999999999995</v>
      </c>
      <c r="F52" t="str">
        <f>INDEX(Base!$D$2:$D$601,MATCH(B52,Base!$A$2:$A$601,0))</f>
        <v>Autônomo</v>
      </c>
      <c r="G52">
        <f>INDEX(Base!$M$2:$M$601,MATCH(B52,Base!$A$2:$A$601,0))</f>
        <v>0</v>
      </c>
    </row>
    <row r="53" spans="1:7" x14ac:dyDescent="0.25">
      <c r="A53" t="s">
        <v>1329</v>
      </c>
      <c r="B53" t="s">
        <v>440</v>
      </c>
      <c r="C53" t="s">
        <v>1278</v>
      </c>
      <c r="D53">
        <v>1649.42</v>
      </c>
      <c r="E53">
        <v>2231.6999999999998</v>
      </c>
      <c r="F53" t="str">
        <f>INDEX(Base!$D$2:$D$601,MATCH(B53,Base!$A$2:$A$601,0))</f>
        <v>Pequeno Escritório</v>
      </c>
      <c r="G53">
        <f>INDEX(Base!$M$2:$M$601,MATCH(B53,Base!$A$2:$A$601,0))</f>
        <v>1</v>
      </c>
    </row>
    <row r="54" spans="1:7" x14ac:dyDescent="0.25">
      <c r="A54" t="s">
        <v>1330</v>
      </c>
      <c r="B54" t="s">
        <v>873</v>
      </c>
      <c r="C54" t="s">
        <v>1278</v>
      </c>
      <c r="D54">
        <v>826.66</v>
      </c>
      <c r="E54">
        <v>722.78</v>
      </c>
      <c r="F54" t="str">
        <f>INDEX(Base!$D$2:$D$601,MATCH(B54,Base!$A$2:$A$601,0))</f>
        <v>Autônomo</v>
      </c>
      <c r="G54">
        <f>INDEX(Base!$M$2:$M$601,MATCH(B54,Base!$A$2:$A$601,0))</f>
        <v>0</v>
      </c>
    </row>
    <row r="55" spans="1:7" x14ac:dyDescent="0.25">
      <c r="A55" t="s">
        <v>1331</v>
      </c>
      <c r="B55" t="s">
        <v>413</v>
      </c>
      <c r="C55" t="s">
        <v>1278</v>
      </c>
      <c r="D55">
        <v>1630.07</v>
      </c>
      <c r="E55">
        <v>1971.94</v>
      </c>
      <c r="F55" t="str">
        <f>INDEX(Base!$D$2:$D$601,MATCH(B55,Base!$A$2:$A$601,0))</f>
        <v>Pequeno Escritório</v>
      </c>
      <c r="G55">
        <f>INDEX(Base!$M$2:$M$601,MATCH(B55,Base!$A$2:$A$601,0))</f>
        <v>0</v>
      </c>
    </row>
    <row r="56" spans="1:7" x14ac:dyDescent="0.25">
      <c r="A56" t="s">
        <v>1332</v>
      </c>
      <c r="B56" t="s">
        <v>454</v>
      </c>
      <c r="C56" t="s">
        <v>1278</v>
      </c>
      <c r="D56">
        <v>801.86</v>
      </c>
      <c r="E56">
        <v>979.39</v>
      </c>
      <c r="F56" t="str">
        <f>INDEX(Base!$D$2:$D$601,MATCH(B56,Base!$A$2:$A$601,0))</f>
        <v>Pequeno Escritório</v>
      </c>
      <c r="G56">
        <f>INDEX(Base!$M$2:$M$601,MATCH(B56,Base!$A$2:$A$601,0))</f>
        <v>0</v>
      </c>
    </row>
    <row r="57" spans="1:7" x14ac:dyDescent="0.25">
      <c r="A57" t="s">
        <v>1333</v>
      </c>
      <c r="B57" t="s">
        <v>352</v>
      </c>
      <c r="C57" t="s">
        <v>1278</v>
      </c>
      <c r="D57">
        <v>222.5</v>
      </c>
      <c r="E57">
        <v>211.09</v>
      </c>
      <c r="F57" t="str">
        <f>INDEX(Base!$D$2:$D$601,MATCH(B57,Base!$A$2:$A$601,0))</f>
        <v>Autônomo</v>
      </c>
      <c r="G57">
        <f>INDEX(Base!$M$2:$M$601,MATCH(B57,Base!$A$2:$A$601,0))</f>
        <v>0</v>
      </c>
    </row>
    <row r="58" spans="1:7" x14ac:dyDescent="0.25">
      <c r="A58" t="s">
        <v>1334</v>
      </c>
      <c r="B58" t="s">
        <v>331</v>
      </c>
      <c r="C58" t="s">
        <v>293</v>
      </c>
      <c r="D58">
        <v>1009.44</v>
      </c>
      <c r="E58">
        <v>0</v>
      </c>
      <c r="F58" t="str">
        <f>INDEX(Base!$D$2:$D$601,MATCH(B58,Base!$A$2:$A$601,0))</f>
        <v>Autônomo</v>
      </c>
      <c r="G58">
        <f>INDEX(Base!$M$2:$M$601,MATCH(B58,Base!$A$2:$A$601,0))</f>
        <v>0</v>
      </c>
    </row>
    <row r="59" spans="1:7" x14ac:dyDescent="0.25">
      <c r="A59" t="s">
        <v>1335</v>
      </c>
      <c r="B59" t="s">
        <v>864</v>
      </c>
      <c r="C59" t="s">
        <v>1278</v>
      </c>
      <c r="D59">
        <v>1547.44</v>
      </c>
      <c r="E59">
        <v>2049.36</v>
      </c>
      <c r="F59" t="str">
        <f>INDEX(Base!$D$2:$D$601,MATCH(B59,Base!$A$2:$A$601,0))</f>
        <v>Pequeno Escritório</v>
      </c>
      <c r="G59">
        <f>INDEX(Base!$M$2:$M$601,MATCH(B59,Base!$A$2:$A$601,0))</f>
        <v>0</v>
      </c>
    </row>
    <row r="60" spans="1:7" x14ac:dyDescent="0.25">
      <c r="A60" t="s">
        <v>1336</v>
      </c>
      <c r="B60" t="s">
        <v>518</v>
      </c>
      <c r="C60" t="s">
        <v>1278</v>
      </c>
      <c r="D60">
        <v>1589.96</v>
      </c>
      <c r="E60">
        <v>1464.05</v>
      </c>
      <c r="F60" t="str">
        <f>INDEX(Base!$D$2:$D$601,MATCH(B60,Base!$A$2:$A$601,0))</f>
        <v>Autônomo</v>
      </c>
      <c r="G60">
        <f>INDEX(Base!$M$2:$M$601,MATCH(B60,Base!$A$2:$A$601,0))</f>
        <v>0</v>
      </c>
    </row>
    <row r="61" spans="1:7" x14ac:dyDescent="0.25">
      <c r="A61" t="s">
        <v>1337</v>
      </c>
      <c r="B61" t="s">
        <v>708</v>
      </c>
      <c r="C61" t="s">
        <v>1278</v>
      </c>
      <c r="D61">
        <v>1698.15</v>
      </c>
      <c r="E61">
        <v>1897.47</v>
      </c>
      <c r="F61" t="str">
        <f>INDEX(Base!$D$2:$D$601,MATCH(B61,Base!$A$2:$A$601,0))</f>
        <v>Pequeno Escritório</v>
      </c>
      <c r="G61">
        <f>INDEX(Base!$M$2:$M$601,MATCH(B61,Base!$A$2:$A$601,0))</f>
        <v>0</v>
      </c>
    </row>
    <row r="62" spans="1:7" x14ac:dyDescent="0.25">
      <c r="A62" t="s">
        <v>1338</v>
      </c>
      <c r="B62" t="s">
        <v>565</v>
      </c>
      <c r="C62" t="s">
        <v>1278</v>
      </c>
      <c r="D62">
        <v>394.01</v>
      </c>
      <c r="E62">
        <v>400.56</v>
      </c>
      <c r="F62" t="str">
        <f>INDEX(Base!$D$2:$D$601,MATCH(B62,Base!$A$2:$A$601,0))</f>
        <v>Pequeno Escritório</v>
      </c>
      <c r="G62">
        <f>INDEX(Base!$M$2:$M$601,MATCH(B62,Base!$A$2:$A$601,0))</f>
        <v>1</v>
      </c>
    </row>
    <row r="63" spans="1:7" x14ac:dyDescent="0.25">
      <c r="A63" t="s">
        <v>1339</v>
      </c>
      <c r="B63" t="s">
        <v>474</v>
      </c>
      <c r="C63" t="s">
        <v>1278</v>
      </c>
      <c r="D63">
        <v>330.3</v>
      </c>
      <c r="E63">
        <v>427.38</v>
      </c>
      <c r="F63" t="str">
        <f>INDEX(Base!$D$2:$D$601,MATCH(B63,Base!$A$2:$A$601,0))</f>
        <v>Grande Escritório</v>
      </c>
      <c r="G63">
        <f>INDEX(Base!$M$2:$M$601,MATCH(B63,Base!$A$2:$A$601,0))</f>
        <v>1</v>
      </c>
    </row>
    <row r="64" spans="1:7" x14ac:dyDescent="0.25">
      <c r="A64" t="s">
        <v>1340</v>
      </c>
      <c r="B64" t="s">
        <v>564</v>
      </c>
      <c r="C64" t="s">
        <v>1278</v>
      </c>
      <c r="D64">
        <v>1778.59</v>
      </c>
      <c r="E64">
        <v>2208.3200000000002</v>
      </c>
      <c r="F64" t="str">
        <f>INDEX(Base!$D$2:$D$601,MATCH(B64,Base!$A$2:$A$601,0))</f>
        <v>Grande Escritório</v>
      </c>
      <c r="G64">
        <f>INDEX(Base!$M$2:$M$601,MATCH(B64,Base!$A$2:$A$601,0))</f>
        <v>1</v>
      </c>
    </row>
    <row r="65" spans="1:7" x14ac:dyDescent="0.25">
      <c r="A65" t="s">
        <v>1341</v>
      </c>
      <c r="B65" t="s">
        <v>600</v>
      </c>
      <c r="C65" t="s">
        <v>1278</v>
      </c>
      <c r="D65">
        <v>309.79000000000002</v>
      </c>
      <c r="E65">
        <v>397.16</v>
      </c>
      <c r="F65" t="str">
        <f>INDEX(Base!$D$2:$D$601,MATCH(B65,Base!$A$2:$A$601,0))</f>
        <v>Grande Escritório</v>
      </c>
      <c r="G65">
        <f>INDEX(Base!$M$2:$M$601,MATCH(B65,Base!$A$2:$A$601,0))</f>
        <v>1</v>
      </c>
    </row>
    <row r="66" spans="1:7" x14ac:dyDescent="0.25">
      <c r="A66" t="s">
        <v>1342</v>
      </c>
      <c r="B66" t="s">
        <v>403</v>
      </c>
      <c r="C66" t="s">
        <v>293</v>
      </c>
      <c r="D66">
        <v>1151.1600000000001</v>
      </c>
      <c r="E66">
        <v>0</v>
      </c>
      <c r="F66" t="str">
        <f>INDEX(Base!$D$2:$D$601,MATCH(B66,Base!$A$2:$A$601,0))</f>
        <v>Pequeno Escritório</v>
      </c>
      <c r="G66">
        <f>INDEX(Base!$M$2:$M$601,MATCH(B66,Base!$A$2:$A$601,0))</f>
        <v>0</v>
      </c>
    </row>
    <row r="67" spans="1:7" x14ac:dyDescent="0.25">
      <c r="A67" t="s">
        <v>1343</v>
      </c>
      <c r="B67" t="s">
        <v>372</v>
      </c>
      <c r="C67" t="s">
        <v>1278</v>
      </c>
      <c r="D67">
        <v>1151.8399999999999</v>
      </c>
      <c r="E67">
        <v>1104.25</v>
      </c>
      <c r="F67" t="str">
        <f>INDEX(Base!$D$2:$D$601,MATCH(B67,Base!$A$2:$A$601,0))</f>
        <v>Médio Escritório</v>
      </c>
      <c r="G67">
        <f>INDEX(Base!$M$2:$M$601,MATCH(B67,Base!$A$2:$A$601,0))</f>
        <v>1</v>
      </c>
    </row>
    <row r="68" spans="1:7" x14ac:dyDescent="0.25">
      <c r="A68" t="s">
        <v>1344</v>
      </c>
      <c r="B68" t="s">
        <v>843</v>
      </c>
      <c r="C68" t="s">
        <v>1278</v>
      </c>
      <c r="D68">
        <v>202.38</v>
      </c>
      <c r="E68">
        <v>220.43</v>
      </c>
      <c r="F68" t="str">
        <f>INDEX(Base!$D$2:$D$601,MATCH(B68,Base!$A$2:$A$601,0))</f>
        <v>Autônomo</v>
      </c>
      <c r="G68">
        <f>INDEX(Base!$M$2:$M$601,MATCH(B68,Base!$A$2:$A$601,0))</f>
        <v>0</v>
      </c>
    </row>
    <row r="69" spans="1:7" x14ac:dyDescent="0.25">
      <c r="A69" t="s">
        <v>1345</v>
      </c>
      <c r="B69" t="s">
        <v>899</v>
      </c>
      <c r="C69" t="s">
        <v>293</v>
      </c>
      <c r="D69">
        <v>867.57</v>
      </c>
      <c r="E69">
        <v>0</v>
      </c>
      <c r="F69" t="str">
        <f>INDEX(Base!$D$2:$D$601,MATCH(B69,Base!$A$2:$A$601,0))</f>
        <v>Autônomo</v>
      </c>
      <c r="G69">
        <f>INDEX(Base!$M$2:$M$601,MATCH(B69,Base!$A$2:$A$601,0))</f>
        <v>0</v>
      </c>
    </row>
    <row r="70" spans="1:7" x14ac:dyDescent="0.25">
      <c r="A70" t="s">
        <v>1346</v>
      </c>
      <c r="B70" t="s">
        <v>737</v>
      </c>
      <c r="C70" t="s">
        <v>1278</v>
      </c>
      <c r="D70">
        <v>256.7</v>
      </c>
      <c r="E70">
        <v>278.3</v>
      </c>
      <c r="F70" t="str">
        <f>INDEX(Base!$D$2:$D$601,MATCH(B70,Base!$A$2:$A$601,0))</f>
        <v>Autônomo</v>
      </c>
      <c r="G70">
        <f>INDEX(Base!$M$2:$M$601,MATCH(B70,Base!$A$2:$A$601,0))</f>
        <v>0</v>
      </c>
    </row>
    <row r="71" spans="1:7" x14ac:dyDescent="0.25">
      <c r="A71" t="s">
        <v>1347</v>
      </c>
      <c r="B71" t="s">
        <v>393</v>
      </c>
      <c r="C71" t="s">
        <v>1278</v>
      </c>
      <c r="D71">
        <v>1744.31</v>
      </c>
      <c r="E71">
        <v>2003.36</v>
      </c>
      <c r="F71" t="str">
        <f>INDEX(Base!$D$2:$D$601,MATCH(B71,Base!$A$2:$A$601,0))</f>
        <v>Pequeno Escritório</v>
      </c>
      <c r="G71">
        <f>INDEX(Base!$M$2:$M$601,MATCH(B71,Base!$A$2:$A$601,0))</f>
        <v>0</v>
      </c>
    </row>
    <row r="72" spans="1:7" x14ac:dyDescent="0.25">
      <c r="A72" t="s">
        <v>1348</v>
      </c>
      <c r="B72" t="s">
        <v>413</v>
      </c>
      <c r="C72" t="s">
        <v>1278</v>
      </c>
      <c r="D72">
        <v>1673.21</v>
      </c>
      <c r="E72">
        <v>1833.38</v>
      </c>
      <c r="F72" t="str">
        <f>INDEX(Base!$D$2:$D$601,MATCH(B72,Base!$A$2:$A$601,0))</f>
        <v>Pequeno Escritório</v>
      </c>
      <c r="G72">
        <f>INDEX(Base!$M$2:$M$601,MATCH(B72,Base!$A$2:$A$601,0))</f>
        <v>0</v>
      </c>
    </row>
    <row r="73" spans="1:7" x14ac:dyDescent="0.25">
      <c r="A73" t="s">
        <v>1349</v>
      </c>
      <c r="B73" t="s">
        <v>604</v>
      </c>
      <c r="C73" t="s">
        <v>293</v>
      </c>
      <c r="D73">
        <v>268.51</v>
      </c>
      <c r="E73">
        <v>0</v>
      </c>
      <c r="F73" t="str">
        <f>INDEX(Base!$D$2:$D$601,MATCH(B73,Base!$A$2:$A$601,0))</f>
        <v>Autônomo</v>
      </c>
      <c r="G73">
        <f>INDEX(Base!$M$2:$M$601,MATCH(B73,Base!$A$2:$A$601,0))</f>
        <v>1</v>
      </c>
    </row>
    <row r="74" spans="1:7" x14ac:dyDescent="0.25">
      <c r="A74" t="s">
        <v>1350</v>
      </c>
      <c r="B74" t="s">
        <v>358</v>
      </c>
      <c r="C74" t="s">
        <v>293</v>
      </c>
      <c r="D74">
        <v>799.72</v>
      </c>
      <c r="E74">
        <v>0</v>
      </c>
      <c r="F74" t="str">
        <f>INDEX(Base!$D$2:$D$601,MATCH(B74,Base!$A$2:$A$601,0))</f>
        <v>Autônomo</v>
      </c>
      <c r="G74">
        <f>INDEX(Base!$M$2:$M$601,MATCH(B74,Base!$A$2:$A$601,0))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Respostas</vt:lpstr>
      <vt:lpstr>Drivers</vt:lpstr>
      <vt:lpstr>Como_Avaliar</vt:lpstr>
      <vt:lpstr>Impacto_nMRR</vt:lpstr>
      <vt:lpstr>Previsao_Receita</vt:lpstr>
      <vt:lpstr>Base</vt:lpstr>
      <vt:lpstr>Leads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Barbosa Lins Filho</cp:lastModifiedBy>
  <dcterms:created xsi:type="dcterms:W3CDTF">2026-10-19T07:32:43Z</dcterms:created>
  <dcterms:modified xsi:type="dcterms:W3CDTF">2026-10-19T07:32:48Z</dcterms:modified>
</cp:coreProperties>
</file>