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75accf49a20a1b0/Documentos/Omie_Antigravity/omie-case-contadores/output/"/>
    </mc:Choice>
  </mc:AlternateContent>
  <xr:revisionPtr revIDLastSave="0" documentId="11_455B6DB736781122A527CC428010DD7A4F814E1A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IA-ME" sheetId="1" r:id="rId1"/>
    <sheet name="Premissas" sheetId="2" r:id="rId2"/>
    <sheet name="Gap_Meta" sheetId="3" r:id="rId3"/>
    <sheet name="Regioes" sheetId="4" r:id="rId4"/>
    <sheet name="Simulador_Funil" sheetId="5" r:id="rId5"/>
    <sheet name="Priorizacao" sheetId="6" r:id="rId6"/>
    <sheet name="Ondas_Capacidade" sheetId="7" r:id="rId7"/>
    <sheet name="EC_Adicional" sheetId="8" r:id="rId8"/>
    <sheet name="Execucao" sheetId="9" r:id="rId9"/>
  </sheets>
  <definedNames>
    <definedName name="_xlnm._FilterDatabase" localSheetId="8" hidden="1">Execucao!$A$1:$K$529</definedName>
    <definedName name="_xlnm._FilterDatabase" localSheetId="5" hidden="1">Priorizacao!$A$1:$X$304</definedName>
  </definedNames>
  <calcPr calcId="191029"/>
</workbook>
</file>

<file path=xl/calcChain.xml><?xml version="1.0" encoding="utf-8"?>
<calcChain xmlns="http://schemas.openxmlformats.org/spreadsheetml/2006/main">
  <c r="K529" i="9" l="1"/>
  <c r="J529" i="9"/>
  <c r="K528" i="9"/>
  <c r="J528" i="9"/>
  <c r="K527" i="9"/>
  <c r="J527" i="9"/>
  <c r="K526" i="9"/>
  <c r="J526" i="9"/>
  <c r="K525" i="9"/>
  <c r="J525" i="9"/>
  <c r="K524" i="9"/>
  <c r="J524" i="9"/>
  <c r="K523" i="9"/>
  <c r="J523" i="9"/>
  <c r="K522" i="9"/>
  <c r="J522" i="9"/>
  <c r="K521" i="9"/>
  <c r="J521" i="9"/>
  <c r="K520" i="9"/>
  <c r="J520" i="9"/>
  <c r="K519" i="9"/>
  <c r="J519" i="9"/>
  <c r="K518" i="9"/>
  <c r="J518" i="9"/>
  <c r="K517" i="9"/>
  <c r="J517" i="9"/>
  <c r="K516" i="9"/>
  <c r="J516" i="9"/>
  <c r="K515" i="9"/>
  <c r="J515" i="9"/>
  <c r="K514" i="9"/>
  <c r="J514" i="9"/>
  <c r="K513" i="9"/>
  <c r="J513" i="9"/>
  <c r="K512" i="9"/>
  <c r="J512" i="9"/>
  <c r="K511" i="9"/>
  <c r="J511" i="9"/>
  <c r="K510" i="9"/>
  <c r="J510" i="9"/>
  <c r="K509" i="9"/>
  <c r="J509" i="9"/>
  <c r="K508" i="9"/>
  <c r="J508" i="9"/>
  <c r="K507" i="9"/>
  <c r="J507" i="9"/>
  <c r="K506" i="9"/>
  <c r="J506" i="9"/>
  <c r="K505" i="9"/>
  <c r="J505" i="9"/>
  <c r="K504" i="9"/>
  <c r="J504" i="9"/>
  <c r="K503" i="9"/>
  <c r="J503" i="9"/>
  <c r="K502" i="9"/>
  <c r="J502" i="9"/>
  <c r="K501" i="9"/>
  <c r="J501" i="9"/>
  <c r="K500" i="9"/>
  <c r="J500" i="9"/>
  <c r="K499" i="9"/>
  <c r="J499" i="9"/>
  <c r="K498" i="9"/>
  <c r="J498" i="9"/>
  <c r="K497" i="9"/>
  <c r="J497" i="9"/>
  <c r="K496" i="9"/>
  <c r="J496" i="9"/>
  <c r="K495" i="9"/>
  <c r="J495" i="9"/>
  <c r="K494" i="9"/>
  <c r="J494" i="9"/>
  <c r="K493" i="9"/>
  <c r="J493" i="9"/>
  <c r="K492" i="9"/>
  <c r="J492" i="9"/>
  <c r="K491" i="9"/>
  <c r="J491" i="9"/>
  <c r="K490" i="9"/>
  <c r="J490" i="9"/>
  <c r="K489" i="9"/>
  <c r="J489" i="9"/>
  <c r="K488" i="9"/>
  <c r="J488" i="9"/>
  <c r="K487" i="9"/>
  <c r="J487" i="9"/>
  <c r="K486" i="9"/>
  <c r="J486" i="9"/>
  <c r="K485" i="9"/>
  <c r="J485" i="9"/>
  <c r="K484" i="9"/>
  <c r="J484" i="9"/>
  <c r="K483" i="9"/>
  <c r="J483" i="9"/>
  <c r="K482" i="9"/>
  <c r="J482" i="9"/>
  <c r="K481" i="9"/>
  <c r="J481" i="9"/>
  <c r="K480" i="9"/>
  <c r="J480" i="9"/>
  <c r="K479" i="9"/>
  <c r="J479" i="9"/>
  <c r="K478" i="9"/>
  <c r="J478" i="9"/>
  <c r="K477" i="9"/>
  <c r="J477" i="9"/>
  <c r="K476" i="9"/>
  <c r="J476" i="9"/>
  <c r="K475" i="9"/>
  <c r="J475" i="9"/>
  <c r="K474" i="9"/>
  <c r="J474" i="9"/>
  <c r="K473" i="9"/>
  <c r="J473" i="9"/>
  <c r="K472" i="9"/>
  <c r="J472" i="9"/>
  <c r="K471" i="9"/>
  <c r="J471" i="9"/>
  <c r="K470" i="9"/>
  <c r="J470" i="9"/>
  <c r="K469" i="9"/>
  <c r="J469" i="9"/>
  <c r="K468" i="9"/>
  <c r="J468" i="9"/>
  <c r="K467" i="9"/>
  <c r="J467" i="9"/>
  <c r="K466" i="9"/>
  <c r="J466" i="9"/>
  <c r="K465" i="9"/>
  <c r="J465" i="9"/>
  <c r="K464" i="9"/>
  <c r="J464" i="9"/>
  <c r="K463" i="9"/>
  <c r="J463" i="9"/>
  <c r="K462" i="9"/>
  <c r="J462" i="9"/>
  <c r="K461" i="9"/>
  <c r="J461" i="9"/>
  <c r="K460" i="9"/>
  <c r="J460" i="9"/>
  <c r="K459" i="9"/>
  <c r="J459" i="9"/>
  <c r="K458" i="9"/>
  <c r="J458" i="9"/>
  <c r="K457" i="9"/>
  <c r="J457" i="9"/>
  <c r="K456" i="9"/>
  <c r="J456" i="9"/>
  <c r="K455" i="9"/>
  <c r="J455" i="9"/>
  <c r="K454" i="9"/>
  <c r="J454" i="9"/>
  <c r="K453" i="9"/>
  <c r="J453" i="9"/>
  <c r="K452" i="9"/>
  <c r="J452" i="9"/>
  <c r="K451" i="9"/>
  <c r="J451" i="9"/>
  <c r="K450" i="9"/>
  <c r="J450" i="9"/>
  <c r="K449" i="9"/>
  <c r="J449" i="9"/>
  <c r="K448" i="9"/>
  <c r="J448" i="9"/>
  <c r="K447" i="9"/>
  <c r="J447" i="9"/>
  <c r="K446" i="9"/>
  <c r="J446" i="9"/>
  <c r="K445" i="9"/>
  <c r="J445" i="9"/>
  <c r="K444" i="9"/>
  <c r="J444" i="9"/>
  <c r="K443" i="9"/>
  <c r="J443" i="9"/>
  <c r="K442" i="9"/>
  <c r="J442" i="9"/>
  <c r="K441" i="9"/>
  <c r="J441" i="9"/>
  <c r="K440" i="9"/>
  <c r="J440" i="9"/>
  <c r="K439" i="9"/>
  <c r="J439" i="9"/>
  <c r="K438" i="9"/>
  <c r="J438" i="9"/>
  <c r="K437" i="9"/>
  <c r="J437" i="9"/>
  <c r="K436" i="9"/>
  <c r="J436" i="9"/>
  <c r="K435" i="9"/>
  <c r="J435" i="9"/>
  <c r="K434" i="9"/>
  <c r="J434" i="9"/>
  <c r="K433" i="9"/>
  <c r="J433" i="9"/>
  <c r="K432" i="9"/>
  <c r="J432" i="9"/>
  <c r="K431" i="9"/>
  <c r="J431" i="9"/>
  <c r="K430" i="9"/>
  <c r="J430" i="9"/>
  <c r="K429" i="9"/>
  <c r="J429" i="9"/>
  <c r="K428" i="9"/>
  <c r="J428" i="9"/>
  <c r="K427" i="9"/>
  <c r="J427" i="9"/>
  <c r="K426" i="9"/>
  <c r="J426" i="9"/>
  <c r="K425" i="9"/>
  <c r="J425" i="9"/>
  <c r="K424" i="9"/>
  <c r="J424" i="9"/>
  <c r="K423" i="9"/>
  <c r="J423" i="9"/>
  <c r="K422" i="9"/>
  <c r="J422" i="9"/>
  <c r="K421" i="9"/>
  <c r="J421" i="9"/>
  <c r="K420" i="9"/>
  <c r="J420" i="9"/>
  <c r="K419" i="9"/>
  <c r="J419" i="9"/>
  <c r="K418" i="9"/>
  <c r="J418" i="9"/>
  <c r="K417" i="9"/>
  <c r="J417" i="9"/>
  <c r="K416" i="9"/>
  <c r="J416" i="9"/>
  <c r="K415" i="9"/>
  <c r="J415" i="9"/>
  <c r="K414" i="9"/>
  <c r="J414" i="9"/>
  <c r="K413" i="9"/>
  <c r="J413" i="9"/>
  <c r="K412" i="9"/>
  <c r="J412" i="9"/>
  <c r="K411" i="9"/>
  <c r="J411" i="9"/>
  <c r="K410" i="9"/>
  <c r="J410" i="9"/>
  <c r="K409" i="9"/>
  <c r="J409" i="9"/>
  <c r="K408" i="9"/>
  <c r="J408" i="9"/>
  <c r="K407" i="9"/>
  <c r="J407" i="9"/>
  <c r="K406" i="9"/>
  <c r="J406" i="9"/>
  <c r="K405" i="9"/>
  <c r="J405" i="9"/>
  <c r="K404" i="9"/>
  <c r="J404" i="9"/>
  <c r="K403" i="9"/>
  <c r="J403" i="9"/>
  <c r="K402" i="9"/>
  <c r="J402" i="9"/>
  <c r="K401" i="9"/>
  <c r="J401" i="9"/>
  <c r="K400" i="9"/>
  <c r="J400" i="9"/>
  <c r="K399" i="9"/>
  <c r="J399" i="9"/>
  <c r="K398" i="9"/>
  <c r="J398" i="9"/>
  <c r="K397" i="9"/>
  <c r="J397" i="9"/>
  <c r="K396" i="9"/>
  <c r="J396" i="9"/>
  <c r="K395" i="9"/>
  <c r="J395" i="9"/>
  <c r="K394" i="9"/>
  <c r="J394" i="9"/>
  <c r="K393" i="9"/>
  <c r="J393" i="9"/>
  <c r="K392" i="9"/>
  <c r="J392" i="9"/>
  <c r="K391" i="9"/>
  <c r="J391" i="9"/>
  <c r="K390" i="9"/>
  <c r="J390" i="9"/>
  <c r="K389" i="9"/>
  <c r="J389" i="9"/>
  <c r="K388" i="9"/>
  <c r="J388" i="9"/>
  <c r="K387" i="9"/>
  <c r="J387" i="9"/>
  <c r="K386" i="9"/>
  <c r="J386" i="9"/>
  <c r="K385" i="9"/>
  <c r="J385" i="9"/>
  <c r="K384" i="9"/>
  <c r="J384" i="9"/>
  <c r="K383" i="9"/>
  <c r="J383" i="9"/>
  <c r="K382" i="9"/>
  <c r="J382" i="9"/>
  <c r="K381" i="9"/>
  <c r="J381" i="9"/>
  <c r="K380" i="9"/>
  <c r="J380" i="9"/>
  <c r="K379" i="9"/>
  <c r="J379" i="9"/>
  <c r="K378" i="9"/>
  <c r="J378" i="9"/>
  <c r="K377" i="9"/>
  <c r="J377" i="9"/>
  <c r="K376" i="9"/>
  <c r="J376" i="9"/>
  <c r="K375" i="9"/>
  <c r="J375" i="9"/>
  <c r="K374" i="9"/>
  <c r="J374" i="9"/>
  <c r="K373" i="9"/>
  <c r="J373" i="9"/>
  <c r="K372" i="9"/>
  <c r="J372" i="9"/>
  <c r="K371" i="9"/>
  <c r="J371" i="9"/>
  <c r="K370" i="9"/>
  <c r="J370" i="9"/>
  <c r="K369" i="9"/>
  <c r="J369" i="9"/>
  <c r="K368" i="9"/>
  <c r="J368" i="9"/>
  <c r="K367" i="9"/>
  <c r="J367" i="9"/>
  <c r="K366" i="9"/>
  <c r="J366" i="9"/>
  <c r="K365" i="9"/>
  <c r="J365" i="9"/>
  <c r="K364" i="9"/>
  <c r="J364" i="9"/>
  <c r="K363" i="9"/>
  <c r="J363" i="9"/>
  <c r="K362" i="9"/>
  <c r="J362" i="9"/>
  <c r="K361" i="9"/>
  <c r="J361" i="9"/>
  <c r="K360" i="9"/>
  <c r="J360" i="9"/>
  <c r="K359" i="9"/>
  <c r="J359" i="9"/>
  <c r="K358" i="9"/>
  <c r="J358" i="9"/>
  <c r="K357" i="9"/>
  <c r="J357" i="9"/>
  <c r="K356" i="9"/>
  <c r="J356" i="9"/>
  <c r="K355" i="9"/>
  <c r="J355" i="9"/>
  <c r="K354" i="9"/>
  <c r="J354" i="9"/>
  <c r="K353" i="9"/>
  <c r="J353" i="9"/>
  <c r="K352" i="9"/>
  <c r="J352" i="9"/>
  <c r="K351" i="9"/>
  <c r="J351" i="9"/>
  <c r="K350" i="9"/>
  <c r="J350" i="9"/>
  <c r="K349" i="9"/>
  <c r="J349" i="9"/>
  <c r="K348" i="9"/>
  <c r="J348" i="9"/>
  <c r="K347" i="9"/>
  <c r="J347" i="9"/>
  <c r="K346" i="9"/>
  <c r="J346" i="9"/>
  <c r="K345" i="9"/>
  <c r="J345" i="9"/>
  <c r="K344" i="9"/>
  <c r="J344" i="9"/>
  <c r="K343" i="9"/>
  <c r="J343" i="9"/>
  <c r="K342" i="9"/>
  <c r="J342" i="9"/>
  <c r="K341" i="9"/>
  <c r="J341" i="9"/>
  <c r="K340" i="9"/>
  <c r="J340" i="9"/>
  <c r="K339" i="9"/>
  <c r="J339" i="9"/>
  <c r="K338" i="9"/>
  <c r="J338" i="9"/>
  <c r="K337" i="9"/>
  <c r="J337" i="9"/>
  <c r="K336" i="9"/>
  <c r="J336" i="9"/>
  <c r="K335" i="9"/>
  <c r="J335" i="9"/>
  <c r="K334" i="9"/>
  <c r="J334" i="9"/>
  <c r="K333" i="9"/>
  <c r="J333" i="9"/>
  <c r="K332" i="9"/>
  <c r="J332" i="9"/>
  <c r="K331" i="9"/>
  <c r="J331" i="9"/>
  <c r="K330" i="9"/>
  <c r="J330" i="9"/>
  <c r="K329" i="9"/>
  <c r="J329" i="9"/>
  <c r="K328" i="9"/>
  <c r="J328" i="9"/>
  <c r="K327" i="9"/>
  <c r="J327" i="9"/>
  <c r="K326" i="9"/>
  <c r="J326" i="9"/>
  <c r="K325" i="9"/>
  <c r="J325" i="9"/>
  <c r="K324" i="9"/>
  <c r="J324" i="9"/>
  <c r="K323" i="9"/>
  <c r="J323" i="9"/>
  <c r="K322" i="9"/>
  <c r="J322" i="9"/>
  <c r="K321" i="9"/>
  <c r="J321" i="9"/>
  <c r="K320" i="9"/>
  <c r="J320" i="9"/>
  <c r="K319" i="9"/>
  <c r="J319" i="9"/>
  <c r="K318" i="9"/>
  <c r="J318" i="9"/>
  <c r="K317" i="9"/>
  <c r="J317" i="9"/>
  <c r="K316" i="9"/>
  <c r="J316" i="9"/>
  <c r="K315" i="9"/>
  <c r="J315" i="9"/>
  <c r="K314" i="9"/>
  <c r="J314" i="9"/>
  <c r="K313" i="9"/>
  <c r="J313" i="9"/>
  <c r="K312" i="9"/>
  <c r="J312" i="9"/>
  <c r="K311" i="9"/>
  <c r="J311" i="9"/>
  <c r="K310" i="9"/>
  <c r="J310" i="9"/>
  <c r="K309" i="9"/>
  <c r="J309" i="9"/>
  <c r="K308" i="9"/>
  <c r="J308" i="9"/>
  <c r="K307" i="9"/>
  <c r="J307" i="9"/>
  <c r="K306" i="9"/>
  <c r="J306" i="9"/>
  <c r="K305" i="9"/>
  <c r="J305" i="9"/>
  <c r="K304" i="9"/>
  <c r="J304" i="9"/>
  <c r="K303" i="9"/>
  <c r="J303" i="9"/>
  <c r="K302" i="9"/>
  <c r="J302" i="9"/>
  <c r="K301" i="9"/>
  <c r="J301" i="9"/>
  <c r="K300" i="9"/>
  <c r="J300" i="9"/>
  <c r="K299" i="9"/>
  <c r="J299" i="9"/>
  <c r="K298" i="9"/>
  <c r="J298" i="9"/>
  <c r="K297" i="9"/>
  <c r="J297" i="9"/>
  <c r="K296" i="9"/>
  <c r="J296" i="9"/>
  <c r="K295" i="9"/>
  <c r="J295" i="9"/>
  <c r="K294" i="9"/>
  <c r="J294" i="9"/>
  <c r="K293" i="9"/>
  <c r="J293" i="9"/>
  <c r="K292" i="9"/>
  <c r="J292" i="9"/>
  <c r="K291" i="9"/>
  <c r="J291" i="9"/>
  <c r="K290" i="9"/>
  <c r="J290" i="9"/>
  <c r="K289" i="9"/>
  <c r="J289" i="9"/>
  <c r="K288" i="9"/>
  <c r="J288" i="9"/>
  <c r="K287" i="9"/>
  <c r="J287" i="9"/>
  <c r="K286" i="9"/>
  <c r="J286" i="9"/>
  <c r="K285" i="9"/>
  <c r="J285" i="9"/>
  <c r="K284" i="9"/>
  <c r="J284" i="9"/>
  <c r="K283" i="9"/>
  <c r="J283" i="9"/>
  <c r="K282" i="9"/>
  <c r="J282" i="9"/>
  <c r="K281" i="9"/>
  <c r="J281" i="9"/>
  <c r="K280" i="9"/>
  <c r="J280" i="9"/>
  <c r="K279" i="9"/>
  <c r="J279" i="9"/>
  <c r="K278" i="9"/>
  <c r="J278" i="9"/>
  <c r="K277" i="9"/>
  <c r="J277" i="9"/>
  <c r="K276" i="9"/>
  <c r="J276" i="9"/>
  <c r="K275" i="9"/>
  <c r="J275" i="9"/>
  <c r="K274" i="9"/>
  <c r="J274" i="9"/>
  <c r="K273" i="9"/>
  <c r="J273" i="9"/>
  <c r="K272" i="9"/>
  <c r="J272" i="9"/>
  <c r="K271" i="9"/>
  <c r="J271" i="9"/>
  <c r="K270" i="9"/>
  <c r="J270" i="9"/>
  <c r="K269" i="9"/>
  <c r="J269" i="9"/>
  <c r="K268" i="9"/>
  <c r="J268" i="9"/>
  <c r="K267" i="9"/>
  <c r="J267" i="9"/>
  <c r="K266" i="9"/>
  <c r="J266" i="9"/>
  <c r="K265" i="9"/>
  <c r="J265" i="9"/>
  <c r="K264" i="9"/>
  <c r="J264" i="9"/>
  <c r="K263" i="9"/>
  <c r="J263" i="9"/>
  <c r="K262" i="9"/>
  <c r="J262" i="9"/>
  <c r="K261" i="9"/>
  <c r="J261" i="9"/>
  <c r="K260" i="9"/>
  <c r="J260" i="9"/>
  <c r="K259" i="9"/>
  <c r="J259" i="9"/>
  <c r="K258" i="9"/>
  <c r="J258" i="9"/>
  <c r="K257" i="9"/>
  <c r="J257" i="9"/>
  <c r="K256" i="9"/>
  <c r="J256" i="9"/>
  <c r="K255" i="9"/>
  <c r="J255" i="9"/>
  <c r="K254" i="9"/>
  <c r="J254" i="9"/>
  <c r="K253" i="9"/>
  <c r="J253" i="9"/>
  <c r="K252" i="9"/>
  <c r="J252" i="9"/>
  <c r="K251" i="9"/>
  <c r="J251" i="9"/>
  <c r="K250" i="9"/>
  <c r="J250" i="9"/>
  <c r="K249" i="9"/>
  <c r="J249" i="9"/>
  <c r="K248" i="9"/>
  <c r="J248" i="9"/>
  <c r="K247" i="9"/>
  <c r="J247" i="9"/>
  <c r="K246" i="9"/>
  <c r="J246" i="9"/>
  <c r="K245" i="9"/>
  <c r="J245" i="9"/>
  <c r="K244" i="9"/>
  <c r="J244" i="9"/>
  <c r="K243" i="9"/>
  <c r="J243" i="9"/>
  <c r="K242" i="9"/>
  <c r="J242" i="9"/>
  <c r="K241" i="9"/>
  <c r="J241" i="9"/>
  <c r="K240" i="9"/>
  <c r="J240" i="9"/>
  <c r="K239" i="9"/>
  <c r="J239" i="9"/>
  <c r="K238" i="9"/>
  <c r="J238" i="9"/>
  <c r="K237" i="9"/>
  <c r="J237" i="9"/>
  <c r="K236" i="9"/>
  <c r="J236" i="9"/>
  <c r="K235" i="9"/>
  <c r="J235" i="9"/>
  <c r="K234" i="9"/>
  <c r="J234" i="9"/>
  <c r="K233" i="9"/>
  <c r="J233" i="9"/>
  <c r="K232" i="9"/>
  <c r="J232" i="9"/>
  <c r="K231" i="9"/>
  <c r="J231" i="9"/>
  <c r="K230" i="9"/>
  <c r="J230" i="9"/>
  <c r="K229" i="9"/>
  <c r="J229" i="9"/>
  <c r="K228" i="9"/>
  <c r="J228" i="9"/>
  <c r="K227" i="9"/>
  <c r="J227" i="9"/>
  <c r="K226" i="9"/>
  <c r="J226" i="9"/>
  <c r="K225" i="9"/>
  <c r="J225" i="9"/>
  <c r="K224" i="9"/>
  <c r="J224" i="9"/>
  <c r="K223" i="9"/>
  <c r="J223" i="9"/>
  <c r="K222" i="9"/>
  <c r="J222" i="9"/>
  <c r="K221" i="9"/>
  <c r="J221" i="9"/>
  <c r="K220" i="9"/>
  <c r="J220" i="9"/>
  <c r="K219" i="9"/>
  <c r="J219" i="9"/>
  <c r="K218" i="9"/>
  <c r="J218" i="9"/>
  <c r="K217" i="9"/>
  <c r="J217" i="9"/>
  <c r="K216" i="9"/>
  <c r="J216" i="9"/>
  <c r="K215" i="9"/>
  <c r="J215" i="9"/>
  <c r="K214" i="9"/>
  <c r="J214" i="9"/>
  <c r="K213" i="9"/>
  <c r="J213" i="9"/>
  <c r="K212" i="9"/>
  <c r="J212" i="9"/>
  <c r="K211" i="9"/>
  <c r="J211" i="9"/>
  <c r="K210" i="9"/>
  <c r="J210" i="9"/>
  <c r="K209" i="9"/>
  <c r="J209" i="9"/>
  <c r="K208" i="9"/>
  <c r="J208" i="9"/>
  <c r="K207" i="9"/>
  <c r="J207" i="9"/>
  <c r="K206" i="9"/>
  <c r="J206" i="9"/>
  <c r="K205" i="9"/>
  <c r="J205" i="9"/>
  <c r="K204" i="9"/>
  <c r="J204" i="9"/>
  <c r="K203" i="9"/>
  <c r="J203" i="9"/>
  <c r="K202" i="9"/>
  <c r="J202" i="9"/>
  <c r="K201" i="9"/>
  <c r="J201" i="9"/>
  <c r="K200" i="9"/>
  <c r="J200" i="9"/>
  <c r="K199" i="9"/>
  <c r="J199" i="9"/>
  <c r="K198" i="9"/>
  <c r="J198" i="9"/>
  <c r="K197" i="9"/>
  <c r="J197" i="9"/>
  <c r="K196" i="9"/>
  <c r="J196" i="9"/>
  <c r="K195" i="9"/>
  <c r="J195" i="9"/>
  <c r="K194" i="9"/>
  <c r="J194" i="9"/>
  <c r="K193" i="9"/>
  <c r="J193" i="9"/>
  <c r="K192" i="9"/>
  <c r="J192" i="9"/>
  <c r="K191" i="9"/>
  <c r="J191" i="9"/>
  <c r="K190" i="9"/>
  <c r="J190" i="9"/>
  <c r="K189" i="9"/>
  <c r="J189" i="9"/>
  <c r="K188" i="9"/>
  <c r="J188" i="9"/>
  <c r="K187" i="9"/>
  <c r="J187" i="9"/>
  <c r="K186" i="9"/>
  <c r="J186" i="9"/>
  <c r="K185" i="9"/>
  <c r="J185" i="9"/>
  <c r="K184" i="9"/>
  <c r="J184" i="9"/>
  <c r="K183" i="9"/>
  <c r="J183" i="9"/>
  <c r="K182" i="9"/>
  <c r="J182" i="9"/>
  <c r="K181" i="9"/>
  <c r="J181" i="9"/>
  <c r="K180" i="9"/>
  <c r="J180" i="9"/>
  <c r="K179" i="9"/>
  <c r="J179" i="9"/>
  <c r="K178" i="9"/>
  <c r="J178" i="9"/>
  <c r="K177" i="9"/>
  <c r="J177" i="9"/>
  <c r="K176" i="9"/>
  <c r="J176" i="9"/>
  <c r="K175" i="9"/>
  <c r="J175" i="9"/>
  <c r="K174" i="9"/>
  <c r="J174" i="9"/>
  <c r="K173" i="9"/>
  <c r="J173" i="9"/>
  <c r="K172" i="9"/>
  <c r="J172" i="9"/>
  <c r="K171" i="9"/>
  <c r="J171" i="9"/>
  <c r="K170" i="9"/>
  <c r="J170" i="9"/>
  <c r="K169" i="9"/>
  <c r="J169" i="9"/>
  <c r="K168" i="9"/>
  <c r="J168" i="9"/>
  <c r="K167" i="9"/>
  <c r="J167" i="9"/>
  <c r="K166" i="9"/>
  <c r="J166" i="9"/>
  <c r="K165" i="9"/>
  <c r="J165" i="9"/>
  <c r="K164" i="9"/>
  <c r="J164" i="9"/>
  <c r="K163" i="9"/>
  <c r="J163" i="9"/>
  <c r="K162" i="9"/>
  <c r="J162" i="9"/>
  <c r="K161" i="9"/>
  <c r="J161" i="9"/>
  <c r="K160" i="9"/>
  <c r="J160" i="9"/>
  <c r="K159" i="9"/>
  <c r="J159" i="9"/>
  <c r="K158" i="9"/>
  <c r="J158" i="9"/>
  <c r="K157" i="9"/>
  <c r="J157" i="9"/>
  <c r="K156" i="9"/>
  <c r="J156" i="9"/>
  <c r="K155" i="9"/>
  <c r="J155" i="9"/>
  <c r="K154" i="9"/>
  <c r="J154" i="9"/>
  <c r="K153" i="9"/>
  <c r="J153" i="9"/>
  <c r="K152" i="9"/>
  <c r="J152" i="9"/>
  <c r="K151" i="9"/>
  <c r="J151" i="9"/>
  <c r="K150" i="9"/>
  <c r="J150" i="9"/>
  <c r="K149" i="9"/>
  <c r="J149" i="9"/>
  <c r="K148" i="9"/>
  <c r="J148" i="9"/>
  <c r="K147" i="9"/>
  <c r="J147" i="9"/>
  <c r="K146" i="9"/>
  <c r="J146" i="9"/>
  <c r="K145" i="9"/>
  <c r="J145" i="9"/>
  <c r="K144" i="9"/>
  <c r="J144" i="9"/>
  <c r="K143" i="9"/>
  <c r="J143" i="9"/>
  <c r="K142" i="9"/>
  <c r="J142" i="9"/>
  <c r="K141" i="9"/>
  <c r="J141" i="9"/>
  <c r="K140" i="9"/>
  <c r="J140" i="9"/>
  <c r="K139" i="9"/>
  <c r="J139" i="9"/>
  <c r="K138" i="9"/>
  <c r="J138" i="9"/>
  <c r="K137" i="9"/>
  <c r="J137" i="9"/>
  <c r="K136" i="9"/>
  <c r="J136" i="9"/>
  <c r="K135" i="9"/>
  <c r="J135" i="9"/>
  <c r="K134" i="9"/>
  <c r="J134" i="9"/>
  <c r="K133" i="9"/>
  <c r="J133" i="9"/>
  <c r="K132" i="9"/>
  <c r="J132" i="9"/>
  <c r="K131" i="9"/>
  <c r="J131" i="9"/>
  <c r="K130" i="9"/>
  <c r="J130" i="9"/>
  <c r="K129" i="9"/>
  <c r="J129" i="9"/>
  <c r="K128" i="9"/>
  <c r="J128" i="9"/>
  <c r="K127" i="9"/>
  <c r="J127" i="9"/>
  <c r="K126" i="9"/>
  <c r="J126" i="9"/>
  <c r="K125" i="9"/>
  <c r="J125" i="9"/>
  <c r="K124" i="9"/>
  <c r="J124" i="9"/>
  <c r="K123" i="9"/>
  <c r="J123" i="9"/>
  <c r="K122" i="9"/>
  <c r="J122" i="9"/>
  <c r="K121" i="9"/>
  <c r="J121" i="9"/>
  <c r="K120" i="9"/>
  <c r="J120" i="9"/>
  <c r="K119" i="9"/>
  <c r="J119" i="9"/>
  <c r="K118" i="9"/>
  <c r="J118" i="9"/>
  <c r="K117" i="9"/>
  <c r="J117" i="9"/>
  <c r="K116" i="9"/>
  <c r="J116" i="9"/>
  <c r="K115" i="9"/>
  <c r="J115" i="9"/>
  <c r="K114" i="9"/>
  <c r="J114" i="9"/>
  <c r="K113" i="9"/>
  <c r="J113" i="9"/>
  <c r="K112" i="9"/>
  <c r="J112" i="9"/>
  <c r="K111" i="9"/>
  <c r="J111" i="9"/>
  <c r="K110" i="9"/>
  <c r="J110" i="9"/>
  <c r="K109" i="9"/>
  <c r="J109" i="9"/>
  <c r="K108" i="9"/>
  <c r="J108" i="9"/>
  <c r="K107" i="9"/>
  <c r="J107" i="9"/>
  <c r="K106" i="9"/>
  <c r="J106" i="9"/>
  <c r="K105" i="9"/>
  <c r="J105" i="9"/>
  <c r="K104" i="9"/>
  <c r="J104" i="9"/>
  <c r="K103" i="9"/>
  <c r="J103" i="9"/>
  <c r="K102" i="9"/>
  <c r="J102" i="9"/>
  <c r="K101" i="9"/>
  <c r="J101" i="9"/>
  <c r="K100" i="9"/>
  <c r="J100" i="9"/>
  <c r="K99" i="9"/>
  <c r="J99" i="9"/>
  <c r="K98" i="9"/>
  <c r="J98" i="9"/>
  <c r="K97" i="9"/>
  <c r="J97" i="9"/>
  <c r="K96" i="9"/>
  <c r="J96" i="9"/>
  <c r="K95" i="9"/>
  <c r="J95" i="9"/>
  <c r="K94" i="9"/>
  <c r="J94" i="9"/>
  <c r="K93" i="9"/>
  <c r="J93" i="9"/>
  <c r="K92" i="9"/>
  <c r="J92" i="9"/>
  <c r="K91" i="9"/>
  <c r="J91" i="9"/>
  <c r="K90" i="9"/>
  <c r="J90" i="9"/>
  <c r="K89" i="9"/>
  <c r="J89" i="9"/>
  <c r="K88" i="9"/>
  <c r="J88" i="9"/>
  <c r="K87" i="9"/>
  <c r="J87" i="9"/>
  <c r="K86" i="9"/>
  <c r="J86" i="9"/>
  <c r="K85" i="9"/>
  <c r="J85" i="9"/>
  <c r="K84" i="9"/>
  <c r="J84" i="9"/>
  <c r="K83" i="9"/>
  <c r="J83" i="9"/>
  <c r="K82" i="9"/>
  <c r="J82" i="9"/>
  <c r="K81" i="9"/>
  <c r="J81" i="9"/>
  <c r="K80" i="9"/>
  <c r="J80" i="9"/>
  <c r="K79" i="9"/>
  <c r="J79" i="9"/>
  <c r="K78" i="9"/>
  <c r="J78" i="9"/>
  <c r="K77" i="9"/>
  <c r="J77" i="9"/>
  <c r="K76" i="9"/>
  <c r="J76" i="9"/>
  <c r="K75" i="9"/>
  <c r="J75" i="9"/>
  <c r="K74" i="9"/>
  <c r="J74" i="9"/>
  <c r="K73" i="9"/>
  <c r="J73" i="9"/>
  <c r="K72" i="9"/>
  <c r="J72" i="9"/>
  <c r="K71" i="9"/>
  <c r="J71" i="9"/>
  <c r="K70" i="9"/>
  <c r="J70" i="9"/>
  <c r="K69" i="9"/>
  <c r="J69" i="9"/>
  <c r="K68" i="9"/>
  <c r="J68" i="9"/>
  <c r="K67" i="9"/>
  <c r="J67" i="9"/>
  <c r="K66" i="9"/>
  <c r="J66" i="9"/>
  <c r="K65" i="9"/>
  <c r="J65" i="9"/>
  <c r="K64" i="9"/>
  <c r="J64" i="9"/>
  <c r="K63" i="9"/>
  <c r="J63" i="9"/>
  <c r="K62" i="9"/>
  <c r="J62" i="9"/>
  <c r="K61" i="9"/>
  <c r="J61" i="9"/>
  <c r="K60" i="9"/>
  <c r="J60" i="9"/>
  <c r="K59" i="9"/>
  <c r="J59" i="9"/>
  <c r="K58" i="9"/>
  <c r="J58" i="9"/>
  <c r="K57" i="9"/>
  <c r="J57" i="9"/>
  <c r="K56" i="9"/>
  <c r="J56" i="9"/>
  <c r="K55" i="9"/>
  <c r="J55" i="9"/>
  <c r="K54" i="9"/>
  <c r="J54" i="9"/>
  <c r="K53" i="9"/>
  <c r="J53" i="9"/>
  <c r="K52" i="9"/>
  <c r="J52" i="9"/>
  <c r="K51" i="9"/>
  <c r="J51" i="9"/>
  <c r="K50" i="9"/>
  <c r="J50" i="9"/>
  <c r="K49" i="9"/>
  <c r="J49" i="9"/>
  <c r="K48" i="9"/>
  <c r="J48" i="9"/>
  <c r="K47" i="9"/>
  <c r="J47" i="9"/>
  <c r="K46" i="9"/>
  <c r="J46" i="9"/>
  <c r="K45" i="9"/>
  <c r="J45" i="9"/>
  <c r="K44" i="9"/>
  <c r="J44" i="9"/>
  <c r="K43" i="9"/>
  <c r="J43" i="9"/>
  <c r="K42" i="9"/>
  <c r="J42" i="9"/>
  <c r="K41" i="9"/>
  <c r="J41" i="9"/>
  <c r="K40" i="9"/>
  <c r="J40" i="9"/>
  <c r="K39" i="9"/>
  <c r="J39" i="9"/>
  <c r="K38" i="9"/>
  <c r="J38" i="9"/>
  <c r="K37" i="9"/>
  <c r="J37" i="9"/>
  <c r="K36" i="9"/>
  <c r="J36" i="9"/>
  <c r="K35" i="9"/>
  <c r="J35" i="9"/>
  <c r="K34" i="9"/>
  <c r="J34" i="9"/>
  <c r="K33" i="9"/>
  <c r="J33" i="9"/>
  <c r="K32" i="9"/>
  <c r="J32" i="9"/>
  <c r="K31" i="9"/>
  <c r="J31" i="9"/>
  <c r="K30" i="9"/>
  <c r="J30" i="9"/>
  <c r="K29" i="9"/>
  <c r="J29" i="9"/>
  <c r="K28" i="9"/>
  <c r="J28" i="9"/>
  <c r="K27" i="9"/>
  <c r="J27" i="9"/>
  <c r="K26" i="9"/>
  <c r="J26" i="9"/>
  <c r="K25" i="9"/>
  <c r="J25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K6" i="9"/>
  <c r="J6" i="9"/>
  <c r="K5" i="9"/>
  <c r="J5" i="9"/>
  <c r="K4" i="9"/>
  <c r="J4" i="9"/>
  <c r="K3" i="9"/>
  <c r="J3" i="9"/>
  <c r="K2" i="9"/>
  <c r="J2" i="9"/>
  <c r="D19" i="8"/>
  <c r="C19" i="8"/>
  <c r="B19" i="8"/>
  <c r="A19" i="8"/>
  <c r="O19" i="8" s="1"/>
  <c r="D18" i="8"/>
  <c r="C18" i="8"/>
  <c r="B18" i="8"/>
  <c r="A18" i="8"/>
  <c r="O18" i="8" s="1"/>
  <c r="D17" i="8"/>
  <c r="C17" i="8"/>
  <c r="B17" i="8"/>
  <c r="A17" i="8"/>
  <c r="O17" i="8" s="1"/>
  <c r="D16" i="8"/>
  <c r="C16" i="8"/>
  <c r="B16" i="8"/>
  <c r="A16" i="8"/>
  <c r="O16" i="8" s="1"/>
  <c r="D15" i="8"/>
  <c r="C15" i="8"/>
  <c r="B15" i="8"/>
  <c r="A15" i="8"/>
  <c r="O15" i="8" s="1"/>
  <c r="D14" i="8"/>
  <c r="C14" i="8"/>
  <c r="B14" i="8"/>
  <c r="A14" i="8"/>
  <c r="O14" i="8" s="1"/>
  <c r="D13" i="8"/>
  <c r="C13" i="8"/>
  <c r="B13" i="8"/>
  <c r="A13" i="8"/>
  <c r="O13" i="8" s="1"/>
  <c r="D12" i="8"/>
  <c r="C12" i="8"/>
  <c r="B12" i="8"/>
  <c r="A12" i="8"/>
  <c r="O12" i="8" s="1"/>
  <c r="D11" i="8"/>
  <c r="C11" i="8"/>
  <c r="B11" i="8"/>
  <c r="A11" i="8"/>
  <c r="O11" i="8" s="1"/>
  <c r="D10" i="8"/>
  <c r="C10" i="8"/>
  <c r="B10" i="8"/>
  <c r="A10" i="8"/>
  <c r="O10" i="8" s="1"/>
  <c r="D9" i="8"/>
  <c r="C9" i="8"/>
  <c r="B9" i="8"/>
  <c r="A9" i="8"/>
  <c r="O9" i="8" s="1"/>
  <c r="D8" i="8"/>
  <c r="C8" i="8"/>
  <c r="B8" i="8"/>
  <c r="A8" i="8"/>
  <c r="O8" i="8" s="1"/>
  <c r="D7" i="8"/>
  <c r="C7" i="8"/>
  <c r="B7" i="8"/>
  <c r="A7" i="8"/>
  <c r="O7" i="8" s="1"/>
  <c r="D6" i="8"/>
  <c r="C6" i="8"/>
  <c r="B6" i="8"/>
  <c r="A6" i="8"/>
  <c r="O6" i="8" s="1"/>
  <c r="D5" i="8"/>
  <c r="C5" i="8"/>
  <c r="B5" i="8"/>
  <c r="A5" i="8"/>
  <c r="O5" i="8" s="1"/>
  <c r="C29" i="7"/>
  <c r="D29" i="7" s="1"/>
  <c r="B29" i="7"/>
  <c r="A29" i="7"/>
  <c r="C28" i="7"/>
  <c r="D28" i="7" s="1"/>
  <c r="B28" i="7"/>
  <c r="A28" i="7"/>
  <c r="C27" i="7"/>
  <c r="D27" i="7" s="1"/>
  <c r="B27" i="7"/>
  <c r="A27" i="7"/>
  <c r="C26" i="7"/>
  <c r="D26" i="7" s="1"/>
  <c r="B26" i="7"/>
  <c r="A26" i="7"/>
  <c r="C25" i="7"/>
  <c r="D25" i="7" s="1"/>
  <c r="B25" i="7"/>
  <c r="A25" i="7"/>
  <c r="C24" i="7"/>
  <c r="D24" i="7" s="1"/>
  <c r="B24" i="7"/>
  <c r="A24" i="7"/>
  <c r="C23" i="7"/>
  <c r="D23" i="7" s="1"/>
  <c r="B23" i="7"/>
  <c r="A23" i="7"/>
  <c r="C22" i="7"/>
  <c r="D22" i="7" s="1"/>
  <c r="B22" i="7"/>
  <c r="A22" i="7"/>
  <c r="C21" i="7"/>
  <c r="D21" i="7" s="1"/>
  <c r="B21" i="7"/>
  <c r="A21" i="7"/>
  <c r="C20" i="7"/>
  <c r="D20" i="7" s="1"/>
  <c r="B20" i="7"/>
  <c r="A20" i="7"/>
  <c r="C19" i="7"/>
  <c r="D19" i="7" s="1"/>
  <c r="B19" i="7"/>
  <c r="A19" i="7"/>
  <c r="C18" i="7"/>
  <c r="D18" i="7" s="1"/>
  <c r="B18" i="7"/>
  <c r="A18" i="7"/>
  <c r="C17" i="7"/>
  <c r="D17" i="7" s="1"/>
  <c r="B17" i="7"/>
  <c r="A17" i="7"/>
  <c r="C16" i="7"/>
  <c r="D16" i="7" s="1"/>
  <c r="B16" i="7"/>
  <c r="A16" i="7"/>
  <c r="D15" i="7"/>
  <c r="C15" i="7"/>
  <c r="B15" i="7"/>
  <c r="A15" i="7"/>
  <c r="S304" i="6"/>
  <c r="T304" i="6" s="1"/>
  <c r="Q304" i="6"/>
  <c r="R304" i="6" s="1"/>
  <c r="O304" i="6"/>
  <c r="P304" i="6" s="1"/>
  <c r="S303" i="6"/>
  <c r="T303" i="6" s="1"/>
  <c r="Q303" i="6"/>
  <c r="R303" i="6" s="1"/>
  <c r="O303" i="6"/>
  <c r="P303" i="6" s="1"/>
  <c r="S302" i="6"/>
  <c r="T302" i="6" s="1"/>
  <c r="Q302" i="6"/>
  <c r="R302" i="6" s="1"/>
  <c r="O302" i="6"/>
  <c r="P302" i="6" s="1"/>
  <c r="T301" i="6"/>
  <c r="S301" i="6"/>
  <c r="R301" i="6"/>
  <c r="Q301" i="6"/>
  <c r="P301" i="6"/>
  <c r="O301" i="6"/>
  <c r="S300" i="6"/>
  <c r="T300" i="6" s="1"/>
  <c r="Q300" i="6"/>
  <c r="R300" i="6" s="1"/>
  <c r="O300" i="6"/>
  <c r="P300" i="6" s="1"/>
  <c r="S299" i="6"/>
  <c r="T299" i="6" s="1"/>
  <c r="Q299" i="6"/>
  <c r="R299" i="6" s="1"/>
  <c r="O299" i="6"/>
  <c r="P299" i="6" s="1"/>
  <c r="S298" i="6"/>
  <c r="T298" i="6" s="1"/>
  <c r="Q298" i="6"/>
  <c r="R298" i="6" s="1"/>
  <c r="O298" i="6"/>
  <c r="P298" i="6" s="1"/>
  <c r="T297" i="6"/>
  <c r="S297" i="6"/>
  <c r="R297" i="6"/>
  <c r="Q297" i="6"/>
  <c r="P297" i="6"/>
  <c r="O297" i="6"/>
  <c r="S296" i="6"/>
  <c r="T296" i="6" s="1"/>
  <c r="Q296" i="6"/>
  <c r="R296" i="6" s="1"/>
  <c r="O296" i="6"/>
  <c r="P296" i="6" s="1"/>
  <c r="S295" i="6"/>
  <c r="T295" i="6" s="1"/>
  <c r="Q295" i="6"/>
  <c r="R295" i="6" s="1"/>
  <c r="O295" i="6"/>
  <c r="P295" i="6" s="1"/>
  <c r="S294" i="6"/>
  <c r="T294" i="6" s="1"/>
  <c r="Q294" i="6"/>
  <c r="R294" i="6" s="1"/>
  <c r="O294" i="6"/>
  <c r="P294" i="6" s="1"/>
  <c r="T293" i="6"/>
  <c r="S293" i="6"/>
  <c r="R293" i="6"/>
  <c r="Q293" i="6"/>
  <c r="P293" i="6"/>
  <c r="O293" i="6"/>
  <c r="S292" i="6"/>
  <c r="T292" i="6" s="1"/>
  <c r="Q292" i="6"/>
  <c r="R292" i="6" s="1"/>
  <c r="O292" i="6"/>
  <c r="P292" i="6" s="1"/>
  <c r="S291" i="6"/>
  <c r="T291" i="6" s="1"/>
  <c r="Q291" i="6"/>
  <c r="R291" i="6" s="1"/>
  <c r="O291" i="6"/>
  <c r="P291" i="6" s="1"/>
  <c r="S290" i="6"/>
  <c r="T290" i="6" s="1"/>
  <c r="Q290" i="6"/>
  <c r="R290" i="6" s="1"/>
  <c r="O290" i="6"/>
  <c r="P290" i="6" s="1"/>
  <c r="T289" i="6"/>
  <c r="S289" i="6"/>
  <c r="R289" i="6"/>
  <c r="Q289" i="6"/>
  <c r="P289" i="6"/>
  <c r="O289" i="6"/>
  <c r="S288" i="6"/>
  <c r="T288" i="6" s="1"/>
  <c r="Q288" i="6"/>
  <c r="R288" i="6" s="1"/>
  <c r="O288" i="6"/>
  <c r="P288" i="6" s="1"/>
  <c r="S287" i="6"/>
  <c r="T287" i="6" s="1"/>
  <c r="Q287" i="6"/>
  <c r="R287" i="6" s="1"/>
  <c r="O287" i="6"/>
  <c r="P287" i="6" s="1"/>
  <c r="S286" i="6"/>
  <c r="T286" i="6" s="1"/>
  <c r="Q286" i="6"/>
  <c r="R286" i="6" s="1"/>
  <c r="O286" i="6"/>
  <c r="P286" i="6" s="1"/>
  <c r="T285" i="6"/>
  <c r="S285" i="6"/>
  <c r="R285" i="6"/>
  <c r="Q285" i="6"/>
  <c r="P285" i="6"/>
  <c r="O285" i="6"/>
  <c r="S284" i="6"/>
  <c r="T284" i="6" s="1"/>
  <c r="Q284" i="6"/>
  <c r="R284" i="6" s="1"/>
  <c r="O284" i="6"/>
  <c r="P284" i="6" s="1"/>
  <c r="S283" i="6"/>
  <c r="T283" i="6" s="1"/>
  <c r="Q283" i="6"/>
  <c r="R283" i="6" s="1"/>
  <c r="O283" i="6"/>
  <c r="P283" i="6" s="1"/>
  <c r="S282" i="6"/>
  <c r="T282" i="6" s="1"/>
  <c r="Q282" i="6"/>
  <c r="R282" i="6" s="1"/>
  <c r="O282" i="6"/>
  <c r="P282" i="6" s="1"/>
  <c r="S281" i="6"/>
  <c r="T281" i="6" s="1"/>
  <c r="Q281" i="6"/>
  <c r="R281" i="6" s="1"/>
  <c r="O281" i="6"/>
  <c r="S280" i="6"/>
  <c r="T280" i="6" s="1"/>
  <c r="Q280" i="6"/>
  <c r="R280" i="6" s="1"/>
  <c r="O280" i="6"/>
  <c r="P280" i="6" s="1"/>
  <c r="T279" i="6"/>
  <c r="S279" i="6"/>
  <c r="Q279" i="6"/>
  <c r="R279" i="6" s="1"/>
  <c r="O279" i="6"/>
  <c r="P279" i="6" s="1"/>
  <c r="S278" i="6"/>
  <c r="T278" i="6" s="1"/>
  <c r="Q278" i="6"/>
  <c r="R278" i="6" s="1"/>
  <c r="O278" i="6"/>
  <c r="S277" i="6"/>
  <c r="T277" i="6" s="1"/>
  <c r="Q277" i="6"/>
  <c r="R277" i="6" s="1"/>
  <c r="O277" i="6"/>
  <c r="S276" i="6"/>
  <c r="T276" i="6" s="1"/>
  <c r="Q276" i="6"/>
  <c r="R276" i="6" s="1"/>
  <c r="O276" i="6"/>
  <c r="P276" i="6" s="1"/>
  <c r="T275" i="6"/>
  <c r="S275" i="6"/>
  <c r="Q275" i="6"/>
  <c r="R275" i="6" s="1"/>
  <c r="O275" i="6"/>
  <c r="P275" i="6" s="1"/>
  <c r="S274" i="6"/>
  <c r="T274" i="6" s="1"/>
  <c r="R274" i="6"/>
  <c r="Q274" i="6"/>
  <c r="O274" i="6"/>
  <c r="S273" i="6"/>
  <c r="T273" i="6" s="1"/>
  <c r="Q273" i="6"/>
  <c r="R273" i="6" s="1"/>
  <c r="O273" i="6"/>
  <c r="P273" i="6" s="1"/>
  <c r="T272" i="6"/>
  <c r="S272" i="6"/>
  <c r="R272" i="6"/>
  <c r="Q272" i="6"/>
  <c r="P272" i="6"/>
  <c r="O272" i="6"/>
  <c r="T271" i="6"/>
  <c r="S271" i="6"/>
  <c r="Q271" i="6"/>
  <c r="R271" i="6" s="1"/>
  <c r="O271" i="6"/>
  <c r="P271" i="6" s="1"/>
  <c r="S270" i="6"/>
  <c r="T270" i="6" s="1"/>
  <c r="R270" i="6"/>
  <c r="Q270" i="6"/>
  <c r="O270" i="6"/>
  <c r="S269" i="6"/>
  <c r="T269" i="6" s="1"/>
  <c r="Q269" i="6"/>
  <c r="R269" i="6" s="1"/>
  <c r="O269" i="6"/>
  <c r="P269" i="6" s="1"/>
  <c r="T268" i="6"/>
  <c r="S268" i="6"/>
  <c r="R268" i="6"/>
  <c r="Q268" i="6"/>
  <c r="P268" i="6"/>
  <c r="O268" i="6"/>
  <c r="T267" i="6"/>
  <c r="S267" i="6"/>
  <c r="Q267" i="6"/>
  <c r="R267" i="6" s="1"/>
  <c r="O267" i="6"/>
  <c r="P267" i="6" s="1"/>
  <c r="S266" i="6"/>
  <c r="T266" i="6" s="1"/>
  <c r="R266" i="6"/>
  <c r="Q266" i="6"/>
  <c r="O266" i="6"/>
  <c r="S265" i="6"/>
  <c r="T265" i="6" s="1"/>
  <c r="Q265" i="6"/>
  <c r="R265" i="6" s="1"/>
  <c r="O265" i="6"/>
  <c r="P265" i="6" s="1"/>
  <c r="T264" i="6"/>
  <c r="S264" i="6"/>
  <c r="R264" i="6"/>
  <c r="Q264" i="6"/>
  <c r="P264" i="6"/>
  <c r="O264" i="6"/>
  <c r="T263" i="6"/>
  <c r="S263" i="6"/>
  <c r="Q263" i="6"/>
  <c r="R263" i="6" s="1"/>
  <c r="O263" i="6"/>
  <c r="P263" i="6" s="1"/>
  <c r="S262" i="6"/>
  <c r="T262" i="6" s="1"/>
  <c r="R262" i="6"/>
  <c r="Q262" i="6"/>
  <c r="O262" i="6"/>
  <c r="S261" i="6"/>
  <c r="T261" i="6" s="1"/>
  <c r="Q261" i="6"/>
  <c r="R261" i="6" s="1"/>
  <c r="O261" i="6"/>
  <c r="P261" i="6" s="1"/>
  <c r="T260" i="6"/>
  <c r="S260" i="6"/>
  <c r="R260" i="6"/>
  <c r="Q260" i="6"/>
  <c r="P260" i="6"/>
  <c r="O260" i="6"/>
  <c r="T259" i="6"/>
  <c r="S259" i="6"/>
  <c r="Q259" i="6"/>
  <c r="R259" i="6" s="1"/>
  <c r="O259" i="6"/>
  <c r="P259" i="6" s="1"/>
  <c r="S258" i="6"/>
  <c r="T258" i="6" s="1"/>
  <c r="R258" i="6"/>
  <c r="Q258" i="6"/>
  <c r="O258" i="6"/>
  <c r="S257" i="6"/>
  <c r="T257" i="6" s="1"/>
  <c r="Q257" i="6"/>
  <c r="R257" i="6" s="1"/>
  <c r="O257" i="6"/>
  <c r="P257" i="6" s="1"/>
  <c r="T256" i="6"/>
  <c r="S256" i="6"/>
  <c r="R256" i="6"/>
  <c r="Q256" i="6"/>
  <c r="P256" i="6"/>
  <c r="O256" i="6"/>
  <c r="T255" i="6"/>
  <c r="S255" i="6"/>
  <c r="Q255" i="6"/>
  <c r="R255" i="6" s="1"/>
  <c r="O255" i="6"/>
  <c r="P255" i="6" s="1"/>
  <c r="S254" i="6"/>
  <c r="T254" i="6" s="1"/>
  <c r="R254" i="6"/>
  <c r="Q254" i="6"/>
  <c r="O254" i="6"/>
  <c r="S253" i="6"/>
  <c r="T253" i="6" s="1"/>
  <c r="Q253" i="6"/>
  <c r="R253" i="6" s="1"/>
  <c r="O253" i="6"/>
  <c r="P253" i="6" s="1"/>
  <c r="T252" i="6"/>
  <c r="S252" i="6"/>
  <c r="R252" i="6"/>
  <c r="Q252" i="6"/>
  <c r="P252" i="6"/>
  <c r="O252" i="6"/>
  <c r="T251" i="6"/>
  <c r="S251" i="6"/>
  <c r="Q251" i="6"/>
  <c r="R251" i="6" s="1"/>
  <c r="O251" i="6"/>
  <c r="P251" i="6" s="1"/>
  <c r="S250" i="6"/>
  <c r="T250" i="6" s="1"/>
  <c r="R250" i="6"/>
  <c r="Q250" i="6"/>
  <c r="O250" i="6"/>
  <c r="S249" i="6"/>
  <c r="T249" i="6" s="1"/>
  <c r="Q249" i="6"/>
  <c r="R249" i="6" s="1"/>
  <c r="O249" i="6"/>
  <c r="P249" i="6" s="1"/>
  <c r="T248" i="6"/>
  <c r="S248" i="6"/>
  <c r="R248" i="6"/>
  <c r="Q248" i="6"/>
  <c r="P248" i="6"/>
  <c r="O248" i="6"/>
  <c r="T247" i="6"/>
  <c r="S247" i="6"/>
  <c r="Q247" i="6"/>
  <c r="R247" i="6" s="1"/>
  <c r="O247" i="6"/>
  <c r="P247" i="6" s="1"/>
  <c r="S246" i="6"/>
  <c r="T246" i="6" s="1"/>
  <c r="R246" i="6"/>
  <c r="Q246" i="6"/>
  <c r="O246" i="6"/>
  <c r="S245" i="6"/>
  <c r="T245" i="6" s="1"/>
  <c r="Q245" i="6"/>
  <c r="R245" i="6" s="1"/>
  <c r="O245" i="6"/>
  <c r="P245" i="6" s="1"/>
  <c r="T244" i="6"/>
  <c r="S244" i="6"/>
  <c r="R244" i="6"/>
  <c r="Q244" i="6"/>
  <c r="P244" i="6"/>
  <c r="O244" i="6"/>
  <c r="T243" i="6"/>
  <c r="S243" i="6"/>
  <c r="Q243" i="6"/>
  <c r="R243" i="6" s="1"/>
  <c r="O243" i="6"/>
  <c r="P243" i="6" s="1"/>
  <c r="S242" i="6"/>
  <c r="T242" i="6" s="1"/>
  <c r="R242" i="6"/>
  <c r="Q242" i="6"/>
  <c r="O242" i="6"/>
  <c r="S241" i="6"/>
  <c r="T241" i="6" s="1"/>
  <c r="Q241" i="6"/>
  <c r="R241" i="6" s="1"/>
  <c r="O241" i="6"/>
  <c r="P241" i="6" s="1"/>
  <c r="T240" i="6"/>
  <c r="S240" i="6"/>
  <c r="R240" i="6"/>
  <c r="Q240" i="6"/>
  <c r="P240" i="6"/>
  <c r="O240" i="6"/>
  <c r="T239" i="6"/>
  <c r="S239" i="6"/>
  <c r="Q239" i="6"/>
  <c r="R239" i="6" s="1"/>
  <c r="O239" i="6"/>
  <c r="P239" i="6" s="1"/>
  <c r="S238" i="6"/>
  <c r="T238" i="6" s="1"/>
  <c r="R238" i="6"/>
  <c r="Q238" i="6"/>
  <c r="O238" i="6"/>
  <c r="S237" i="6"/>
  <c r="T237" i="6" s="1"/>
  <c r="Q237" i="6"/>
  <c r="R237" i="6" s="1"/>
  <c r="O237" i="6"/>
  <c r="P237" i="6" s="1"/>
  <c r="T236" i="6"/>
  <c r="S236" i="6"/>
  <c r="R236" i="6"/>
  <c r="Q236" i="6"/>
  <c r="P236" i="6"/>
  <c r="O236" i="6"/>
  <c r="T235" i="6"/>
  <c r="S235" i="6"/>
  <c r="Q235" i="6"/>
  <c r="R235" i="6" s="1"/>
  <c r="O235" i="6"/>
  <c r="P235" i="6" s="1"/>
  <c r="S234" i="6"/>
  <c r="T234" i="6" s="1"/>
  <c r="R234" i="6"/>
  <c r="Q234" i="6"/>
  <c r="O234" i="6"/>
  <c r="S233" i="6"/>
  <c r="T233" i="6" s="1"/>
  <c r="Q233" i="6"/>
  <c r="R233" i="6" s="1"/>
  <c r="O233" i="6"/>
  <c r="P233" i="6" s="1"/>
  <c r="T232" i="6"/>
  <c r="S232" i="6"/>
  <c r="R232" i="6"/>
  <c r="Q232" i="6"/>
  <c r="P232" i="6"/>
  <c r="O232" i="6"/>
  <c r="T231" i="6"/>
  <c r="S231" i="6"/>
  <c r="Q231" i="6"/>
  <c r="R231" i="6" s="1"/>
  <c r="O231" i="6"/>
  <c r="P231" i="6" s="1"/>
  <c r="S230" i="6"/>
  <c r="T230" i="6" s="1"/>
  <c r="Q230" i="6"/>
  <c r="R230" i="6" s="1"/>
  <c r="O230" i="6"/>
  <c r="P230" i="6" s="1"/>
  <c r="S229" i="6"/>
  <c r="T229" i="6" s="1"/>
  <c r="R229" i="6"/>
  <c r="Q229" i="6"/>
  <c r="O229" i="6"/>
  <c r="S228" i="6"/>
  <c r="T228" i="6" s="1"/>
  <c r="Q228" i="6"/>
  <c r="R228" i="6" s="1"/>
  <c r="P228" i="6"/>
  <c r="O228" i="6"/>
  <c r="T227" i="6"/>
  <c r="S227" i="6"/>
  <c r="Q227" i="6"/>
  <c r="R227" i="6" s="1"/>
  <c r="O227" i="6"/>
  <c r="P227" i="6" s="1"/>
  <c r="S226" i="6"/>
  <c r="T226" i="6" s="1"/>
  <c r="R226" i="6"/>
  <c r="Q226" i="6"/>
  <c r="O226" i="6"/>
  <c r="S225" i="6"/>
  <c r="T225" i="6" s="1"/>
  <c r="R225" i="6"/>
  <c r="Q225" i="6"/>
  <c r="O225" i="6"/>
  <c r="S224" i="6"/>
  <c r="T224" i="6" s="1"/>
  <c r="Q224" i="6"/>
  <c r="R224" i="6" s="1"/>
  <c r="O224" i="6"/>
  <c r="P224" i="6" s="1"/>
  <c r="S223" i="6"/>
  <c r="T223" i="6" s="1"/>
  <c r="Q223" i="6"/>
  <c r="R223" i="6" s="1"/>
  <c r="P223" i="6"/>
  <c r="O223" i="6"/>
  <c r="T222" i="6"/>
  <c r="S222" i="6"/>
  <c r="R222" i="6"/>
  <c r="Q222" i="6"/>
  <c r="P222" i="6"/>
  <c r="O222" i="6"/>
  <c r="S221" i="6"/>
  <c r="T221" i="6" s="1"/>
  <c r="Q221" i="6"/>
  <c r="R221" i="6" s="1"/>
  <c r="O221" i="6"/>
  <c r="T220" i="6"/>
  <c r="S220" i="6"/>
  <c r="Q220" i="6"/>
  <c r="R220" i="6" s="1"/>
  <c r="O220" i="6"/>
  <c r="P220" i="6" s="1"/>
  <c r="S219" i="6"/>
  <c r="T219" i="6" s="1"/>
  <c r="Q219" i="6"/>
  <c r="R219" i="6" s="1"/>
  <c r="P219" i="6"/>
  <c r="O219" i="6"/>
  <c r="S218" i="6"/>
  <c r="T218" i="6" s="1"/>
  <c r="Q218" i="6"/>
  <c r="R218" i="6" s="1"/>
  <c r="O218" i="6"/>
  <c r="S217" i="6"/>
  <c r="T217" i="6" s="1"/>
  <c r="Q217" i="6"/>
  <c r="R217" i="6" s="1"/>
  <c r="O217" i="6"/>
  <c r="T216" i="6"/>
  <c r="S216" i="6"/>
  <c r="R216" i="6"/>
  <c r="Q216" i="6"/>
  <c r="P216" i="6"/>
  <c r="O216" i="6"/>
  <c r="T215" i="6"/>
  <c r="S215" i="6"/>
  <c r="Q215" i="6"/>
  <c r="R215" i="6" s="1"/>
  <c r="O215" i="6"/>
  <c r="P215" i="6" s="1"/>
  <c r="S214" i="6"/>
  <c r="T214" i="6" s="1"/>
  <c r="Q214" i="6"/>
  <c r="R214" i="6" s="1"/>
  <c r="O214" i="6"/>
  <c r="P214" i="6" s="1"/>
  <c r="S213" i="6"/>
  <c r="T213" i="6" s="1"/>
  <c r="R213" i="6"/>
  <c r="Q213" i="6"/>
  <c r="O213" i="6"/>
  <c r="S212" i="6"/>
  <c r="T212" i="6" s="1"/>
  <c r="Q212" i="6"/>
  <c r="R212" i="6" s="1"/>
  <c r="P212" i="6"/>
  <c r="O212" i="6"/>
  <c r="T211" i="6"/>
  <c r="S211" i="6"/>
  <c r="Q211" i="6"/>
  <c r="R211" i="6" s="1"/>
  <c r="O211" i="6"/>
  <c r="P211" i="6" s="1"/>
  <c r="S210" i="6"/>
  <c r="T210" i="6" s="1"/>
  <c r="R210" i="6"/>
  <c r="Q210" i="6"/>
  <c r="O210" i="6"/>
  <c r="S209" i="6"/>
  <c r="T209" i="6" s="1"/>
  <c r="Q209" i="6"/>
  <c r="R209" i="6" s="1"/>
  <c r="O209" i="6"/>
  <c r="P209" i="6" s="1"/>
  <c r="T208" i="6"/>
  <c r="S208" i="6"/>
  <c r="Q208" i="6"/>
  <c r="R208" i="6" s="1"/>
  <c r="O208" i="6"/>
  <c r="P208" i="6" s="1"/>
  <c r="S207" i="6"/>
  <c r="T207" i="6" s="1"/>
  <c r="Q207" i="6"/>
  <c r="R207" i="6" s="1"/>
  <c r="O207" i="6"/>
  <c r="S206" i="6"/>
  <c r="T206" i="6" s="1"/>
  <c r="R206" i="6"/>
  <c r="Q206" i="6"/>
  <c r="O206" i="6"/>
  <c r="S205" i="6"/>
  <c r="T205" i="6" s="1"/>
  <c r="Q205" i="6"/>
  <c r="R205" i="6" s="1"/>
  <c r="O205" i="6"/>
  <c r="P205" i="6" s="1"/>
  <c r="T204" i="6"/>
  <c r="S204" i="6"/>
  <c r="Q204" i="6"/>
  <c r="R204" i="6" s="1"/>
  <c r="O204" i="6"/>
  <c r="P204" i="6" s="1"/>
  <c r="S203" i="6"/>
  <c r="T203" i="6" s="1"/>
  <c r="Q203" i="6"/>
  <c r="R203" i="6" s="1"/>
  <c r="O203" i="6"/>
  <c r="S202" i="6"/>
  <c r="T202" i="6" s="1"/>
  <c r="R202" i="6"/>
  <c r="Q202" i="6"/>
  <c r="O202" i="6"/>
  <c r="S201" i="6"/>
  <c r="T201" i="6" s="1"/>
  <c r="Q201" i="6"/>
  <c r="R201" i="6" s="1"/>
  <c r="O201" i="6"/>
  <c r="P201" i="6" s="1"/>
  <c r="T200" i="6"/>
  <c r="S200" i="6"/>
  <c r="Q200" i="6"/>
  <c r="R200" i="6" s="1"/>
  <c r="O200" i="6"/>
  <c r="P200" i="6" s="1"/>
  <c r="S199" i="6"/>
  <c r="T199" i="6" s="1"/>
  <c r="Q199" i="6"/>
  <c r="R199" i="6" s="1"/>
  <c r="O199" i="6"/>
  <c r="S198" i="6"/>
  <c r="T198" i="6" s="1"/>
  <c r="R198" i="6"/>
  <c r="Q198" i="6"/>
  <c r="O198" i="6"/>
  <c r="S197" i="6"/>
  <c r="T197" i="6" s="1"/>
  <c r="Q197" i="6"/>
  <c r="R197" i="6" s="1"/>
  <c r="O197" i="6"/>
  <c r="P197" i="6" s="1"/>
  <c r="T196" i="6"/>
  <c r="S196" i="6"/>
  <c r="Q196" i="6"/>
  <c r="R196" i="6" s="1"/>
  <c r="O196" i="6"/>
  <c r="P196" i="6" s="1"/>
  <c r="S195" i="6"/>
  <c r="T195" i="6" s="1"/>
  <c r="Q195" i="6"/>
  <c r="R195" i="6" s="1"/>
  <c r="O195" i="6"/>
  <c r="S194" i="6"/>
  <c r="T194" i="6" s="1"/>
  <c r="R194" i="6"/>
  <c r="Q194" i="6"/>
  <c r="O194" i="6"/>
  <c r="S193" i="6"/>
  <c r="T193" i="6" s="1"/>
  <c r="Q193" i="6"/>
  <c r="R193" i="6" s="1"/>
  <c r="O193" i="6"/>
  <c r="P193" i="6" s="1"/>
  <c r="T192" i="6"/>
  <c r="S192" i="6"/>
  <c r="Q192" i="6"/>
  <c r="R192" i="6" s="1"/>
  <c r="O192" i="6"/>
  <c r="P192" i="6" s="1"/>
  <c r="S191" i="6"/>
  <c r="T191" i="6" s="1"/>
  <c r="Q191" i="6"/>
  <c r="R191" i="6" s="1"/>
  <c r="O191" i="6"/>
  <c r="S190" i="6"/>
  <c r="T190" i="6" s="1"/>
  <c r="R190" i="6"/>
  <c r="Q190" i="6"/>
  <c r="O190" i="6"/>
  <c r="S189" i="6"/>
  <c r="T189" i="6" s="1"/>
  <c r="Q189" i="6"/>
  <c r="R189" i="6" s="1"/>
  <c r="O189" i="6"/>
  <c r="P189" i="6" s="1"/>
  <c r="T188" i="6"/>
  <c r="S188" i="6"/>
  <c r="Q188" i="6"/>
  <c r="R188" i="6" s="1"/>
  <c r="O188" i="6"/>
  <c r="P188" i="6" s="1"/>
  <c r="S187" i="6"/>
  <c r="T187" i="6" s="1"/>
  <c r="Q187" i="6"/>
  <c r="R187" i="6" s="1"/>
  <c r="O187" i="6"/>
  <c r="S186" i="6"/>
  <c r="T186" i="6" s="1"/>
  <c r="R186" i="6"/>
  <c r="Q186" i="6"/>
  <c r="O186" i="6"/>
  <c r="S185" i="6"/>
  <c r="T185" i="6" s="1"/>
  <c r="Q185" i="6"/>
  <c r="R185" i="6" s="1"/>
  <c r="O185" i="6"/>
  <c r="P185" i="6" s="1"/>
  <c r="T184" i="6"/>
  <c r="S184" i="6"/>
  <c r="Q184" i="6"/>
  <c r="R184" i="6" s="1"/>
  <c r="O184" i="6"/>
  <c r="P184" i="6" s="1"/>
  <c r="S183" i="6"/>
  <c r="T183" i="6" s="1"/>
  <c r="Q183" i="6"/>
  <c r="R183" i="6" s="1"/>
  <c r="O183" i="6"/>
  <c r="S182" i="6"/>
  <c r="T182" i="6" s="1"/>
  <c r="R182" i="6"/>
  <c r="Q182" i="6"/>
  <c r="O182" i="6"/>
  <c r="S181" i="6"/>
  <c r="T181" i="6" s="1"/>
  <c r="Q181" i="6"/>
  <c r="R181" i="6" s="1"/>
  <c r="O181" i="6"/>
  <c r="P181" i="6" s="1"/>
  <c r="T180" i="6"/>
  <c r="S180" i="6"/>
  <c r="Q180" i="6"/>
  <c r="R180" i="6" s="1"/>
  <c r="O180" i="6"/>
  <c r="P180" i="6" s="1"/>
  <c r="S179" i="6"/>
  <c r="T179" i="6" s="1"/>
  <c r="Q179" i="6"/>
  <c r="R179" i="6" s="1"/>
  <c r="O179" i="6"/>
  <c r="S178" i="6"/>
  <c r="T178" i="6" s="1"/>
  <c r="R178" i="6"/>
  <c r="Q178" i="6"/>
  <c r="O178" i="6"/>
  <c r="S177" i="6"/>
  <c r="T177" i="6" s="1"/>
  <c r="Q177" i="6"/>
  <c r="R177" i="6" s="1"/>
  <c r="O177" i="6"/>
  <c r="P177" i="6" s="1"/>
  <c r="T176" i="6"/>
  <c r="S176" i="6"/>
  <c r="Q176" i="6"/>
  <c r="R176" i="6" s="1"/>
  <c r="O176" i="6"/>
  <c r="P176" i="6" s="1"/>
  <c r="S175" i="6"/>
  <c r="T175" i="6" s="1"/>
  <c r="Q175" i="6"/>
  <c r="R175" i="6" s="1"/>
  <c r="O175" i="6"/>
  <c r="S174" i="6"/>
  <c r="T174" i="6" s="1"/>
  <c r="R174" i="6"/>
  <c r="Q174" i="6"/>
  <c r="O174" i="6"/>
  <c r="S173" i="6"/>
  <c r="T173" i="6" s="1"/>
  <c r="Q173" i="6"/>
  <c r="R173" i="6" s="1"/>
  <c r="O173" i="6"/>
  <c r="P173" i="6" s="1"/>
  <c r="T172" i="6"/>
  <c r="S172" i="6"/>
  <c r="Q172" i="6"/>
  <c r="R172" i="6" s="1"/>
  <c r="O172" i="6"/>
  <c r="P172" i="6" s="1"/>
  <c r="S171" i="6"/>
  <c r="T171" i="6" s="1"/>
  <c r="Q171" i="6"/>
  <c r="R171" i="6" s="1"/>
  <c r="O171" i="6"/>
  <c r="S170" i="6"/>
  <c r="T170" i="6" s="1"/>
  <c r="R170" i="6"/>
  <c r="Q170" i="6"/>
  <c r="O170" i="6"/>
  <c r="S169" i="6"/>
  <c r="T169" i="6" s="1"/>
  <c r="Q169" i="6"/>
  <c r="R169" i="6" s="1"/>
  <c r="O169" i="6"/>
  <c r="P169" i="6" s="1"/>
  <c r="T168" i="6"/>
  <c r="S168" i="6"/>
  <c r="Q168" i="6"/>
  <c r="R168" i="6" s="1"/>
  <c r="O168" i="6"/>
  <c r="P168" i="6" s="1"/>
  <c r="S167" i="6"/>
  <c r="T167" i="6" s="1"/>
  <c r="Q167" i="6"/>
  <c r="R167" i="6" s="1"/>
  <c r="O167" i="6"/>
  <c r="S166" i="6"/>
  <c r="T166" i="6" s="1"/>
  <c r="R166" i="6"/>
  <c r="Q166" i="6"/>
  <c r="O166" i="6"/>
  <c r="S165" i="6"/>
  <c r="T165" i="6" s="1"/>
  <c r="Q165" i="6"/>
  <c r="R165" i="6" s="1"/>
  <c r="O165" i="6"/>
  <c r="P165" i="6" s="1"/>
  <c r="T164" i="6"/>
  <c r="S164" i="6"/>
  <c r="Q164" i="6"/>
  <c r="R164" i="6" s="1"/>
  <c r="O164" i="6"/>
  <c r="P164" i="6" s="1"/>
  <c r="S163" i="6"/>
  <c r="T163" i="6" s="1"/>
  <c r="Q163" i="6"/>
  <c r="R163" i="6" s="1"/>
  <c r="O163" i="6"/>
  <c r="S162" i="6"/>
  <c r="T162" i="6" s="1"/>
  <c r="R162" i="6"/>
  <c r="Q162" i="6"/>
  <c r="O162" i="6"/>
  <c r="S161" i="6"/>
  <c r="T161" i="6" s="1"/>
  <c r="Q161" i="6"/>
  <c r="R161" i="6" s="1"/>
  <c r="O161" i="6"/>
  <c r="P161" i="6" s="1"/>
  <c r="T160" i="6"/>
  <c r="S160" i="6"/>
  <c r="Q160" i="6"/>
  <c r="R160" i="6" s="1"/>
  <c r="O160" i="6"/>
  <c r="P160" i="6" s="1"/>
  <c r="S159" i="6"/>
  <c r="T159" i="6" s="1"/>
  <c r="Q159" i="6"/>
  <c r="R159" i="6" s="1"/>
  <c r="O159" i="6"/>
  <c r="S158" i="6"/>
  <c r="T158" i="6" s="1"/>
  <c r="R158" i="6"/>
  <c r="Q158" i="6"/>
  <c r="O158" i="6"/>
  <c r="S157" i="6"/>
  <c r="T157" i="6" s="1"/>
  <c r="Q157" i="6"/>
  <c r="R157" i="6" s="1"/>
  <c r="O157" i="6"/>
  <c r="P157" i="6" s="1"/>
  <c r="T156" i="6"/>
  <c r="S156" i="6"/>
  <c r="Q156" i="6"/>
  <c r="R156" i="6" s="1"/>
  <c r="O156" i="6"/>
  <c r="P156" i="6" s="1"/>
  <c r="S155" i="6"/>
  <c r="T155" i="6" s="1"/>
  <c r="Q155" i="6"/>
  <c r="R155" i="6" s="1"/>
  <c r="O155" i="6"/>
  <c r="S154" i="6"/>
  <c r="T154" i="6" s="1"/>
  <c r="R154" i="6"/>
  <c r="Q154" i="6"/>
  <c r="O154" i="6"/>
  <c r="S153" i="6"/>
  <c r="T153" i="6" s="1"/>
  <c r="Q153" i="6"/>
  <c r="R153" i="6" s="1"/>
  <c r="O153" i="6"/>
  <c r="P153" i="6" s="1"/>
  <c r="T152" i="6"/>
  <c r="S152" i="6"/>
  <c r="Q152" i="6"/>
  <c r="R152" i="6" s="1"/>
  <c r="O152" i="6"/>
  <c r="P152" i="6" s="1"/>
  <c r="S151" i="6"/>
  <c r="T151" i="6" s="1"/>
  <c r="Q151" i="6"/>
  <c r="R151" i="6" s="1"/>
  <c r="O151" i="6"/>
  <c r="S150" i="6"/>
  <c r="T150" i="6" s="1"/>
  <c r="R150" i="6"/>
  <c r="Q150" i="6"/>
  <c r="O150" i="6"/>
  <c r="S149" i="6"/>
  <c r="T149" i="6" s="1"/>
  <c r="Q149" i="6"/>
  <c r="R149" i="6" s="1"/>
  <c r="O149" i="6"/>
  <c r="P149" i="6" s="1"/>
  <c r="T148" i="6"/>
  <c r="S148" i="6"/>
  <c r="Q148" i="6"/>
  <c r="R148" i="6" s="1"/>
  <c r="O148" i="6"/>
  <c r="P148" i="6" s="1"/>
  <c r="S147" i="6"/>
  <c r="T147" i="6" s="1"/>
  <c r="Q147" i="6"/>
  <c r="R147" i="6" s="1"/>
  <c r="O147" i="6"/>
  <c r="S146" i="6"/>
  <c r="T146" i="6" s="1"/>
  <c r="R146" i="6"/>
  <c r="Q146" i="6"/>
  <c r="O146" i="6"/>
  <c r="S145" i="6"/>
  <c r="T145" i="6" s="1"/>
  <c r="Q145" i="6"/>
  <c r="R145" i="6" s="1"/>
  <c r="O145" i="6"/>
  <c r="P145" i="6" s="1"/>
  <c r="T144" i="6"/>
  <c r="S144" i="6"/>
  <c r="Q144" i="6"/>
  <c r="R144" i="6" s="1"/>
  <c r="O144" i="6"/>
  <c r="P144" i="6" s="1"/>
  <c r="S143" i="6"/>
  <c r="T143" i="6" s="1"/>
  <c r="Q143" i="6"/>
  <c r="R143" i="6" s="1"/>
  <c r="O143" i="6"/>
  <c r="S142" i="6"/>
  <c r="T142" i="6" s="1"/>
  <c r="R142" i="6"/>
  <c r="Q142" i="6"/>
  <c r="O142" i="6"/>
  <c r="S141" i="6"/>
  <c r="T141" i="6" s="1"/>
  <c r="Q141" i="6"/>
  <c r="R141" i="6" s="1"/>
  <c r="O141" i="6"/>
  <c r="P141" i="6" s="1"/>
  <c r="T140" i="6"/>
  <c r="S140" i="6"/>
  <c r="Q140" i="6"/>
  <c r="R140" i="6" s="1"/>
  <c r="O140" i="6"/>
  <c r="P140" i="6" s="1"/>
  <c r="S139" i="6"/>
  <c r="T139" i="6" s="1"/>
  <c r="Q139" i="6"/>
  <c r="R139" i="6" s="1"/>
  <c r="O139" i="6"/>
  <c r="S138" i="6"/>
  <c r="T138" i="6" s="1"/>
  <c r="R138" i="6"/>
  <c r="Q138" i="6"/>
  <c r="O138" i="6"/>
  <c r="S137" i="6"/>
  <c r="T137" i="6" s="1"/>
  <c r="Q137" i="6"/>
  <c r="R137" i="6" s="1"/>
  <c r="O137" i="6"/>
  <c r="P137" i="6" s="1"/>
  <c r="T136" i="6"/>
  <c r="S136" i="6"/>
  <c r="Q136" i="6"/>
  <c r="R136" i="6" s="1"/>
  <c r="O136" i="6"/>
  <c r="P136" i="6" s="1"/>
  <c r="S135" i="6"/>
  <c r="T135" i="6" s="1"/>
  <c r="Q135" i="6"/>
  <c r="R135" i="6" s="1"/>
  <c r="O135" i="6"/>
  <c r="S134" i="6"/>
  <c r="T134" i="6" s="1"/>
  <c r="R134" i="6"/>
  <c r="Q134" i="6"/>
  <c r="O134" i="6"/>
  <c r="S133" i="6"/>
  <c r="T133" i="6" s="1"/>
  <c r="Q133" i="6"/>
  <c r="R133" i="6" s="1"/>
  <c r="O133" i="6"/>
  <c r="P133" i="6" s="1"/>
  <c r="T132" i="6"/>
  <c r="S132" i="6"/>
  <c r="Q132" i="6"/>
  <c r="R132" i="6" s="1"/>
  <c r="O132" i="6"/>
  <c r="P132" i="6" s="1"/>
  <c r="S131" i="6"/>
  <c r="T131" i="6" s="1"/>
  <c r="Q131" i="6"/>
  <c r="R131" i="6" s="1"/>
  <c r="O131" i="6"/>
  <c r="S130" i="6"/>
  <c r="T130" i="6" s="1"/>
  <c r="R130" i="6"/>
  <c r="Q130" i="6"/>
  <c r="O130" i="6"/>
  <c r="S129" i="6"/>
  <c r="T129" i="6" s="1"/>
  <c r="Q129" i="6"/>
  <c r="R129" i="6" s="1"/>
  <c r="O129" i="6"/>
  <c r="P129" i="6" s="1"/>
  <c r="T128" i="6"/>
  <c r="S128" i="6"/>
  <c r="Q128" i="6"/>
  <c r="R128" i="6" s="1"/>
  <c r="O128" i="6"/>
  <c r="P128" i="6" s="1"/>
  <c r="S127" i="6"/>
  <c r="T127" i="6" s="1"/>
  <c r="Q127" i="6"/>
  <c r="R127" i="6" s="1"/>
  <c r="O127" i="6"/>
  <c r="S126" i="6"/>
  <c r="T126" i="6" s="1"/>
  <c r="R126" i="6"/>
  <c r="Q126" i="6"/>
  <c r="O126" i="6"/>
  <c r="S125" i="6"/>
  <c r="T125" i="6" s="1"/>
  <c r="Q125" i="6"/>
  <c r="R125" i="6" s="1"/>
  <c r="O125" i="6"/>
  <c r="P125" i="6" s="1"/>
  <c r="S124" i="6"/>
  <c r="T124" i="6" s="1"/>
  <c r="Q124" i="6"/>
  <c r="R124" i="6" s="1"/>
  <c r="O124" i="6"/>
  <c r="T123" i="6"/>
  <c r="S123" i="6"/>
  <c r="Q123" i="6"/>
  <c r="R123" i="6" s="1"/>
  <c r="P123" i="6"/>
  <c r="O123" i="6"/>
  <c r="S122" i="6"/>
  <c r="T122" i="6" s="1"/>
  <c r="Q122" i="6"/>
  <c r="R122" i="6" s="1"/>
  <c r="O122" i="6"/>
  <c r="P122" i="6" s="1"/>
  <c r="T121" i="6"/>
  <c r="S121" i="6"/>
  <c r="Q121" i="6"/>
  <c r="R121" i="6" s="1"/>
  <c r="P121" i="6"/>
  <c r="O121" i="6"/>
  <c r="S120" i="6"/>
  <c r="T120" i="6" s="1"/>
  <c r="Q120" i="6"/>
  <c r="R120" i="6" s="1"/>
  <c r="O120" i="6"/>
  <c r="S119" i="6"/>
  <c r="T119" i="6" s="1"/>
  <c r="Q119" i="6"/>
  <c r="R119" i="6" s="1"/>
  <c r="O119" i="6"/>
  <c r="P119" i="6" s="1"/>
  <c r="S118" i="6"/>
  <c r="T118" i="6" s="1"/>
  <c r="Q118" i="6"/>
  <c r="R118" i="6" s="1"/>
  <c r="O118" i="6"/>
  <c r="P118" i="6" s="1"/>
  <c r="T117" i="6"/>
  <c r="S117" i="6"/>
  <c r="R117" i="6"/>
  <c r="Q117" i="6"/>
  <c r="P117" i="6"/>
  <c r="O117" i="6"/>
  <c r="S116" i="6"/>
  <c r="T116" i="6" s="1"/>
  <c r="Q116" i="6"/>
  <c r="R116" i="6" s="1"/>
  <c r="O116" i="6"/>
  <c r="S115" i="6"/>
  <c r="T115" i="6" s="1"/>
  <c r="Q115" i="6"/>
  <c r="R115" i="6" s="1"/>
  <c r="P115" i="6"/>
  <c r="O115" i="6"/>
  <c r="S114" i="6"/>
  <c r="T114" i="6" s="1"/>
  <c r="Q114" i="6"/>
  <c r="R114" i="6" s="1"/>
  <c r="O114" i="6"/>
  <c r="P114" i="6" s="1"/>
  <c r="T113" i="6"/>
  <c r="S113" i="6"/>
  <c r="R113" i="6"/>
  <c r="Q113" i="6"/>
  <c r="P113" i="6"/>
  <c r="O113" i="6"/>
  <c r="S112" i="6"/>
  <c r="T112" i="6" s="1"/>
  <c r="Q112" i="6"/>
  <c r="R112" i="6" s="1"/>
  <c r="O112" i="6"/>
  <c r="S111" i="6"/>
  <c r="T111" i="6" s="1"/>
  <c r="R111" i="6"/>
  <c r="Q111" i="6"/>
  <c r="O111" i="6"/>
  <c r="P111" i="6" s="1"/>
  <c r="S110" i="6"/>
  <c r="T110" i="6" s="1"/>
  <c r="Q110" i="6"/>
  <c r="R110" i="6" s="1"/>
  <c r="O110" i="6"/>
  <c r="P110" i="6" s="1"/>
  <c r="S109" i="6"/>
  <c r="T109" i="6" s="1"/>
  <c r="R109" i="6"/>
  <c r="Q109" i="6"/>
  <c r="O109" i="6"/>
  <c r="P109" i="6" s="1"/>
  <c r="S108" i="6"/>
  <c r="T108" i="6" s="1"/>
  <c r="Q108" i="6"/>
  <c r="R108" i="6" s="1"/>
  <c r="O108" i="6"/>
  <c r="S107" i="6"/>
  <c r="T107" i="6" s="1"/>
  <c r="Q107" i="6"/>
  <c r="R107" i="6" s="1"/>
  <c r="O107" i="6"/>
  <c r="P107" i="6" s="1"/>
  <c r="S106" i="6"/>
  <c r="T106" i="6" s="1"/>
  <c r="Q106" i="6"/>
  <c r="R106" i="6" s="1"/>
  <c r="O106" i="6"/>
  <c r="P106" i="6" s="1"/>
  <c r="T105" i="6"/>
  <c r="S105" i="6"/>
  <c r="R105" i="6"/>
  <c r="Q105" i="6"/>
  <c r="P105" i="6"/>
  <c r="O105" i="6"/>
  <c r="S104" i="6"/>
  <c r="T104" i="6" s="1"/>
  <c r="Q104" i="6"/>
  <c r="R104" i="6" s="1"/>
  <c r="O104" i="6"/>
  <c r="P104" i="6" s="1"/>
  <c r="S103" i="6"/>
  <c r="T103" i="6" s="1"/>
  <c r="R103" i="6"/>
  <c r="Q103" i="6"/>
  <c r="O103" i="6"/>
  <c r="P103" i="6" s="1"/>
  <c r="S102" i="6"/>
  <c r="T102" i="6" s="1"/>
  <c r="Q102" i="6"/>
  <c r="R102" i="6" s="1"/>
  <c r="O102" i="6"/>
  <c r="P102" i="6" s="1"/>
  <c r="S101" i="6"/>
  <c r="T101" i="6" s="1"/>
  <c r="R101" i="6"/>
  <c r="Q101" i="6"/>
  <c r="O101" i="6"/>
  <c r="P101" i="6" s="1"/>
  <c r="S100" i="6"/>
  <c r="T100" i="6" s="1"/>
  <c r="Q100" i="6"/>
  <c r="R100" i="6" s="1"/>
  <c r="O100" i="6"/>
  <c r="P100" i="6" s="1"/>
  <c r="T99" i="6"/>
  <c r="S99" i="6"/>
  <c r="Q99" i="6"/>
  <c r="R99" i="6" s="1"/>
  <c r="O99" i="6"/>
  <c r="P99" i="6" s="1"/>
  <c r="S98" i="6"/>
  <c r="T98" i="6" s="1"/>
  <c r="Q98" i="6"/>
  <c r="R98" i="6" s="1"/>
  <c r="O98" i="6"/>
  <c r="P98" i="6" s="1"/>
  <c r="T97" i="6"/>
  <c r="S97" i="6"/>
  <c r="Q97" i="6"/>
  <c r="R97" i="6" s="1"/>
  <c r="P97" i="6"/>
  <c r="O97" i="6"/>
  <c r="S96" i="6"/>
  <c r="T96" i="6" s="1"/>
  <c r="Q96" i="6"/>
  <c r="R96" i="6" s="1"/>
  <c r="O96" i="6"/>
  <c r="P96" i="6" s="1"/>
  <c r="S95" i="6"/>
  <c r="T95" i="6" s="1"/>
  <c r="Q95" i="6"/>
  <c r="R95" i="6" s="1"/>
  <c r="O95" i="6"/>
  <c r="P95" i="6" s="1"/>
  <c r="S94" i="6"/>
  <c r="T94" i="6" s="1"/>
  <c r="Q94" i="6"/>
  <c r="R94" i="6" s="1"/>
  <c r="O94" i="6"/>
  <c r="P94" i="6" s="1"/>
  <c r="T93" i="6"/>
  <c r="S93" i="6"/>
  <c r="R93" i="6"/>
  <c r="Q93" i="6"/>
  <c r="P93" i="6"/>
  <c r="O93" i="6"/>
  <c r="S92" i="6"/>
  <c r="T92" i="6" s="1"/>
  <c r="Q92" i="6"/>
  <c r="R92" i="6" s="1"/>
  <c r="O92" i="6"/>
  <c r="P92" i="6" s="1"/>
  <c r="T91" i="6"/>
  <c r="S91" i="6"/>
  <c r="Q91" i="6"/>
  <c r="R91" i="6" s="1"/>
  <c r="P91" i="6"/>
  <c r="O91" i="6"/>
  <c r="S90" i="6"/>
  <c r="T90" i="6" s="1"/>
  <c r="Q90" i="6"/>
  <c r="R90" i="6" s="1"/>
  <c r="O90" i="6"/>
  <c r="P90" i="6" s="1"/>
  <c r="T89" i="6"/>
  <c r="S89" i="6"/>
  <c r="Q89" i="6"/>
  <c r="R89" i="6" s="1"/>
  <c r="P89" i="6"/>
  <c r="O89" i="6"/>
  <c r="S88" i="6"/>
  <c r="T88" i="6" s="1"/>
  <c r="Q88" i="6"/>
  <c r="R88" i="6" s="1"/>
  <c r="O88" i="6"/>
  <c r="P88" i="6" s="1"/>
  <c r="S87" i="6"/>
  <c r="T87" i="6" s="1"/>
  <c r="Q87" i="6"/>
  <c r="R87" i="6" s="1"/>
  <c r="O87" i="6"/>
  <c r="P87" i="6" s="1"/>
  <c r="S86" i="6"/>
  <c r="T86" i="6" s="1"/>
  <c r="Q86" i="6"/>
  <c r="R86" i="6" s="1"/>
  <c r="O86" i="6"/>
  <c r="P86" i="6" s="1"/>
  <c r="T85" i="6"/>
  <c r="S85" i="6"/>
  <c r="R85" i="6"/>
  <c r="Q85" i="6"/>
  <c r="P85" i="6"/>
  <c r="O85" i="6"/>
  <c r="S84" i="6"/>
  <c r="T84" i="6" s="1"/>
  <c r="Q84" i="6"/>
  <c r="R84" i="6" s="1"/>
  <c r="O84" i="6"/>
  <c r="P84" i="6" s="1"/>
  <c r="S83" i="6"/>
  <c r="T83" i="6" s="1"/>
  <c r="Q83" i="6"/>
  <c r="R83" i="6" s="1"/>
  <c r="P83" i="6"/>
  <c r="O83" i="6"/>
  <c r="S82" i="6"/>
  <c r="T82" i="6" s="1"/>
  <c r="Q82" i="6"/>
  <c r="R82" i="6" s="1"/>
  <c r="O82" i="6"/>
  <c r="P82" i="6" s="1"/>
  <c r="T81" i="6"/>
  <c r="S81" i="6"/>
  <c r="R81" i="6"/>
  <c r="Q81" i="6"/>
  <c r="P81" i="6"/>
  <c r="O81" i="6"/>
  <c r="S80" i="6"/>
  <c r="T80" i="6" s="1"/>
  <c r="Q80" i="6"/>
  <c r="R80" i="6" s="1"/>
  <c r="O80" i="6"/>
  <c r="P80" i="6" s="1"/>
  <c r="S79" i="6"/>
  <c r="T79" i="6" s="1"/>
  <c r="R79" i="6"/>
  <c r="Q79" i="6"/>
  <c r="O79" i="6"/>
  <c r="P79" i="6" s="1"/>
  <c r="S78" i="6"/>
  <c r="T78" i="6" s="1"/>
  <c r="Q78" i="6"/>
  <c r="R78" i="6" s="1"/>
  <c r="O78" i="6"/>
  <c r="P78" i="6" s="1"/>
  <c r="S77" i="6"/>
  <c r="T77" i="6" s="1"/>
  <c r="R77" i="6"/>
  <c r="Q77" i="6"/>
  <c r="O77" i="6"/>
  <c r="P77" i="6" s="1"/>
  <c r="S76" i="6"/>
  <c r="T76" i="6" s="1"/>
  <c r="Q76" i="6"/>
  <c r="R76" i="6" s="1"/>
  <c r="O76" i="6"/>
  <c r="P76" i="6" s="1"/>
  <c r="S75" i="6"/>
  <c r="T75" i="6" s="1"/>
  <c r="Q75" i="6"/>
  <c r="R75" i="6" s="1"/>
  <c r="O75" i="6"/>
  <c r="P75" i="6" s="1"/>
  <c r="S74" i="6"/>
  <c r="T74" i="6" s="1"/>
  <c r="Q74" i="6"/>
  <c r="R74" i="6" s="1"/>
  <c r="O74" i="6"/>
  <c r="P74" i="6" s="1"/>
  <c r="T73" i="6"/>
  <c r="S73" i="6"/>
  <c r="R73" i="6"/>
  <c r="Q73" i="6"/>
  <c r="P73" i="6"/>
  <c r="O73" i="6"/>
  <c r="S72" i="6"/>
  <c r="T72" i="6" s="1"/>
  <c r="Q72" i="6"/>
  <c r="R72" i="6" s="1"/>
  <c r="O72" i="6"/>
  <c r="P72" i="6" s="1"/>
  <c r="S71" i="6"/>
  <c r="T71" i="6" s="1"/>
  <c r="R71" i="6"/>
  <c r="Q71" i="6"/>
  <c r="O71" i="6"/>
  <c r="P71" i="6" s="1"/>
  <c r="S70" i="6"/>
  <c r="T70" i="6" s="1"/>
  <c r="Q70" i="6"/>
  <c r="R70" i="6" s="1"/>
  <c r="O70" i="6"/>
  <c r="P70" i="6" s="1"/>
  <c r="S69" i="6"/>
  <c r="T69" i="6" s="1"/>
  <c r="R69" i="6"/>
  <c r="Q69" i="6"/>
  <c r="O69" i="6"/>
  <c r="P69" i="6" s="1"/>
  <c r="S68" i="6"/>
  <c r="T68" i="6" s="1"/>
  <c r="Q68" i="6"/>
  <c r="R68" i="6" s="1"/>
  <c r="O68" i="6"/>
  <c r="P68" i="6" s="1"/>
  <c r="T67" i="6"/>
  <c r="S67" i="6"/>
  <c r="Q67" i="6"/>
  <c r="R67" i="6" s="1"/>
  <c r="O67" i="6"/>
  <c r="P67" i="6" s="1"/>
  <c r="S66" i="6"/>
  <c r="T66" i="6" s="1"/>
  <c r="Q66" i="6"/>
  <c r="R66" i="6" s="1"/>
  <c r="O66" i="6"/>
  <c r="P66" i="6" s="1"/>
  <c r="T65" i="6"/>
  <c r="S65" i="6"/>
  <c r="Q65" i="6"/>
  <c r="R65" i="6" s="1"/>
  <c r="P65" i="6"/>
  <c r="O65" i="6"/>
  <c r="S64" i="6"/>
  <c r="T64" i="6" s="1"/>
  <c r="Q64" i="6"/>
  <c r="R64" i="6" s="1"/>
  <c r="O64" i="6"/>
  <c r="P64" i="6" s="1"/>
  <c r="S63" i="6"/>
  <c r="T63" i="6" s="1"/>
  <c r="Q63" i="6"/>
  <c r="R63" i="6" s="1"/>
  <c r="O63" i="6"/>
  <c r="P63" i="6" s="1"/>
  <c r="S62" i="6"/>
  <c r="T62" i="6" s="1"/>
  <c r="Q62" i="6"/>
  <c r="R62" i="6" s="1"/>
  <c r="O62" i="6"/>
  <c r="P62" i="6" s="1"/>
  <c r="T61" i="6"/>
  <c r="S61" i="6"/>
  <c r="R61" i="6"/>
  <c r="Q61" i="6"/>
  <c r="P61" i="6"/>
  <c r="O61" i="6"/>
  <c r="S60" i="6"/>
  <c r="T60" i="6" s="1"/>
  <c r="Q60" i="6"/>
  <c r="R60" i="6" s="1"/>
  <c r="O60" i="6"/>
  <c r="P60" i="6" s="1"/>
  <c r="T59" i="6"/>
  <c r="S59" i="6"/>
  <c r="Q59" i="6"/>
  <c r="R59" i="6" s="1"/>
  <c r="P59" i="6"/>
  <c r="O59" i="6"/>
  <c r="S58" i="6"/>
  <c r="T58" i="6" s="1"/>
  <c r="Q58" i="6"/>
  <c r="R58" i="6" s="1"/>
  <c r="O58" i="6"/>
  <c r="S57" i="6"/>
  <c r="T57" i="6" s="1"/>
  <c r="R57" i="6"/>
  <c r="Q57" i="6"/>
  <c r="O57" i="6"/>
  <c r="S56" i="6"/>
  <c r="T56" i="6" s="1"/>
  <c r="Q56" i="6"/>
  <c r="R56" i="6" s="1"/>
  <c r="O56" i="6"/>
  <c r="P56" i="6" s="1"/>
  <c r="T55" i="6"/>
  <c r="S55" i="6"/>
  <c r="Q55" i="6"/>
  <c r="R55" i="6" s="1"/>
  <c r="O55" i="6"/>
  <c r="P55" i="6" s="1"/>
  <c r="S54" i="6"/>
  <c r="T54" i="6" s="1"/>
  <c r="Q54" i="6"/>
  <c r="R54" i="6" s="1"/>
  <c r="O54" i="6"/>
  <c r="S53" i="6"/>
  <c r="T53" i="6" s="1"/>
  <c r="R53" i="6"/>
  <c r="Q53" i="6"/>
  <c r="O53" i="6"/>
  <c r="S52" i="6"/>
  <c r="T52" i="6" s="1"/>
  <c r="Q52" i="6"/>
  <c r="R52" i="6" s="1"/>
  <c r="O52" i="6"/>
  <c r="P52" i="6" s="1"/>
  <c r="S51" i="6"/>
  <c r="T51" i="6" s="1"/>
  <c r="Q51" i="6"/>
  <c r="R51" i="6" s="1"/>
  <c r="P51" i="6"/>
  <c r="O51" i="6"/>
  <c r="S50" i="6"/>
  <c r="T50" i="6" s="1"/>
  <c r="Q50" i="6"/>
  <c r="R50" i="6" s="1"/>
  <c r="O50" i="6"/>
  <c r="S49" i="6"/>
  <c r="T49" i="6" s="1"/>
  <c r="Q49" i="6"/>
  <c r="R49" i="6" s="1"/>
  <c r="O49" i="6"/>
  <c r="S48" i="6"/>
  <c r="T48" i="6" s="1"/>
  <c r="Q48" i="6"/>
  <c r="R48" i="6" s="1"/>
  <c r="O48" i="6"/>
  <c r="P48" i="6" s="1"/>
  <c r="T47" i="6"/>
  <c r="S47" i="6"/>
  <c r="Q47" i="6"/>
  <c r="R47" i="6" s="1"/>
  <c r="O47" i="6"/>
  <c r="P47" i="6" s="1"/>
  <c r="S46" i="6"/>
  <c r="T46" i="6" s="1"/>
  <c r="Q46" i="6"/>
  <c r="R46" i="6" s="1"/>
  <c r="O46" i="6"/>
  <c r="S45" i="6"/>
  <c r="T45" i="6" s="1"/>
  <c r="R45" i="6"/>
  <c r="Q45" i="6"/>
  <c r="O45" i="6"/>
  <c r="S44" i="6"/>
  <c r="T44" i="6" s="1"/>
  <c r="Q44" i="6"/>
  <c r="R44" i="6" s="1"/>
  <c r="O44" i="6"/>
  <c r="P44" i="6" s="1"/>
  <c r="T43" i="6"/>
  <c r="S43" i="6"/>
  <c r="Q43" i="6"/>
  <c r="R43" i="6" s="1"/>
  <c r="O43" i="6"/>
  <c r="P43" i="6" s="1"/>
  <c r="S42" i="6"/>
  <c r="T42" i="6" s="1"/>
  <c r="Q42" i="6"/>
  <c r="R42" i="6" s="1"/>
  <c r="O42" i="6"/>
  <c r="S41" i="6"/>
  <c r="T41" i="6" s="1"/>
  <c r="R41" i="6"/>
  <c r="Q41" i="6"/>
  <c r="O41" i="6"/>
  <c r="S40" i="6"/>
  <c r="T40" i="6" s="1"/>
  <c r="Q40" i="6"/>
  <c r="R40" i="6" s="1"/>
  <c r="O40" i="6"/>
  <c r="P40" i="6" s="1"/>
  <c r="T39" i="6"/>
  <c r="S39" i="6"/>
  <c r="Q39" i="6"/>
  <c r="R39" i="6" s="1"/>
  <c r="P39" i="6"/>
  <c r="O39" i="6"/>
  <c r="S38" i="6"/>
  <c r="T38" i="6" s="1"/>
  <c r="Q38" i="6"/>
  <c r="R38" i="6" s="1"/>
  <c r="O38" i="6"/>
  <c r="S37" i="6"/>
  <c r="T37" i="6" s="1"/>
  <c r="Q37" i="6"/>
  <c r="R37" i="6" s="1"/>
  <c r="O37" i="6"/>
  <c r="S36" i="6"/>
  <c r="T36" i="6" s="1"/>
  <c r="Q36" i="6"/>
  <c r="R36" i="6" s="1"/>
  <c r="O36" i="6"/>
  <c r="P36" i="6" s="1"/>
  <c r="T35" i="6"/>
  <c r="S35" i="6"/>
  <c r="Q35" i="6"/>
  <c r="R35" i="6" s="1"/>
  <c r="P35" i="6"/>
  <c r="O35" i="6"/>
  <c r="S34" i="6"/>
  <c r="T34" i="6" s="1"/>
  <c r="Q34" i="6"/>
  <c r="R34" i="6" s="1"/>
  <c r="O34" i="6"/>
  <c r="S33" i="6"/>
  <c r="T33" i="6" s="1"/>
  <c r="Q33" i="6"/>
  <c r="R33" i="6" s="1"/>
  <c r="O33" i="6"/>
  <c r="S32" i="6"/>
  <c r="T32" i="6" s="1"/>
  <c r="Q32" i="6"/>
  <c r="R32" i="6" s="1"/>
  <c r="O32" i="6"/>
  <c r="P32" i="6" s="1"/>
  <c r="T31" i="6"/>
  <c r="S31" i="6"/>
  <c r="Q31" i="6"/>
  <c r="R31" i="6" s="1"/>
  <c r="O31" i="6"/>
  <c r="P31" i="6" s="1"/>
  <c r="S30" i="6"/>
  <c r="T30" i="6" s="1"/>
  <c r="Q30" i="6"/>
  <c r="R30" i="6" s="1"/>
  <c r="O30" i="6"/>
  <c r="S29" i="6"/>
  <c r="T29" i="6" s="1"/>
  <c r="Q29" i="6"/>
  <c r="R29" i="6" s="1"/>
  <c r="O29" i="6"/>
  <c r="T28" i="6"/>
  <c r="S28" i="6"/>
  <c r="R28" i="6"/>
  <c r="Q28" i="6"/>
  <c r="P28" i="6"/>
  <c r="O28" i="6"/>
  <c r="S27" i="6"/>
  <c r="T27" i="6" s="1"/>
  <c r="Q27" i="6"/>
  <c r="R27" i="6" s="1"/>
  <c r="O27" i="6"/>
  <c r="T26" i="6"/>
  <c r="S26" i="6"/>
  <c r="Q26" i="6"/>
  <c r="R26" i="6" s="1"/>
  <c r="P26" i="6"/>
  <c r="O26" i="6"/>
  <c r="S25" i="6"/>
  <c r="T25" i="6" s="1"/>
  <c r="Q25" i="6"/>
  <c r="R25" i="6" s="1"/>
  <c r="O25" i="6"/>
  <c r="P25" i="6" s="1"/>
  <c r="T24" i="6"/>
  <c r="S24" i="6"/>
  <c r="Q24" i="6"/>
  <c r="R24" i="6" s="1"/>
  <c r="P24" i="6"/>
  <c r="O24" i="6"/>
  <c r="S23" i="6"/>
  <c r="T23" i="6" s="1"/>
  <c r="Q23" i="6"/>
  <c r="R23" i="6" s="1"/>
  <c r="O23" i="6"/>
  <c r="S22" i="6"/>
  <c r="T22" i="6" s="1"/>
  <c r="R22" i="6"/>
  <c r="Q22" i="6"/>
  <c r="O22" i="6"/>
  <c r="P22" i="6" s="1"/>
  <c r="S21" i="6"/>
  <c r="T21" i="6" s="1"/>
  <c r="Q21" i="6"/>
  <c r="R21" i="6" s="1"/>
  <c r="O21" i="6"/>
  <c r="P21" i="6" s="1"/>
  <c r="S20" i="6"/>
  <c r="T20" i="6" s="1"/>
  <c r="R20" i="6"/>
  <c r="Q20" i="6"/>
  <c r="O20" i="6"/>
  <c r="S19" i="6"/>
  <c r="T19" i="6" s="1"/>
  <c r="Q19" i="6"/>
  <c r="R19" i="6" s="1"/>
  <c r="O19" i="6"/>
  <c r="T18" i="6"/>
  <c r="S18" i="6"/>
  <c r="Q18" i="6"/>
  <c r="R18" i="6" s="1"/>
  <c r="U18" i="6" s="1"/>
  <c r="P18" i="6"/>
  <c r="O18" i="6"/>
  <c r="S17" i="6"/>
  <c r="T17" i="6" s="1"/>
  <c r="Q17" i="6"/>
  <c r="R17" i="6" s="1"/>
  <c r="O17" i="6"/>
  <c r="P17" i="6" s="1"/>
  <c r="T16" i="6"/>
  <c r="S16" i="6"/>
  <c r="Q16" i="6"/>
  <c r="R16" i="6" s="1"/>
  <c r="P16" i="6"/>
  <c r="O16" i="6"/>
  <c r="S15" i="6"/>
  <c r="T15" i="6" s="1"/>
  <c r="Q15" i="6"/>
  <c r="R15" i="6" s="1"/>
  <c r="O15" i="6"/>
  <c r="S14" i="6"/>
  <c r="T14" i="6" s="1"/>
  <c r="R14" i="6"/>
  <c r="Q14" i="6"/>
  <c r="O14" i="6"/>
  <c r="P14" i="6" s="1"/>
  <c r="S13" i="6"/>
  <c r="T13" i="6" s="1"/>
  <c r="Q13" i="6"/>
  <c r="R13" i="6" s="1"/>
  <c r="O13" i="6"/>
  <c r="P13" i="6" s="1"/>
  <c r="S12" i="6"/>
  <c r="T12" i="6" s="1"/>
  <c r="R12" i="6"/>
  <c r="Q12" i="6"/>
  <c r="O12" i="6"/>
  <c r="S11" i="6"/>
  <c r="T11" i="6" s="1"/>
  <c r="Q11" i="6"/>
  <c r="R11" i="6" s="1"/>
  <c r="O11" i="6"/>
  <c r="T10" i="6"/>
  <c r="S10" i="6"/>
  <c r="Q10" i="6"/>
  <c r="R10" i="6" s="1"/>
  <c r="U10" i="6" s="1"/>
  <c r="P10" i="6"/>
  <c r="O10" i="6"/>
  <c r="S9" i="6"/>
  <c r="T9" i="6" s="1"/>
  <c r="Q9" i="6"/>
  <c r="R9" i="6" s="1"/>
  <c r="O9" i="6"/>
  <c r="P9" i="6" s="1"/>
  <c r="T8" i="6"/>
  <c r="S8" i="6"/>
  <c r="Q8" i="6"/>
  <c r="R8" i="6" s="1"/>
  <c r="P8" i="6"/>
  <c r="O8" i="6"/>
  <c r="S7" i="6"/>
  <c r="T7" i="6" s="1"/>
  <c r="Q7" i="6"/>
  <c r="R7" i="6" s="1"/>
  <c r="O7" i="6"/>
  <c r="S6" i="6"/>
  <c r="T6" i="6" s="1"/>
  <c r="R6" i="6"/>
  <c r="Q6" i="6"/>
  <c r="O6" i="6"/>
  <c r="P6" i="6" s="1"/>
  <c r="S5" i="6"/>
  <c r="T5" i="6" s="1"/>
  <c r="Q5" i="6"/>
  <c r="R5" i="6" s="1"/>
  <c r="O5" i="6"/>
  <c r="P5" i="6" s="1"/>
  <c r="S4" i="6"/>
  <c r="T4" i="6" s="1"/>
  <c r="R4" i="6"/>
  <c r="Q4" i="6"/>
  <c r="O4" i="6"/>
  <c r="S3" i="6"/>
  <c r="T3" i="6" s="1"/>
  <c r="Q3" i="6"/>
  <c r="R3" i="6" s="1"/>
  <c r="O3" i="6"/>
  <c r="T2" i="6"/>
  <c r="S2" i="6"/>
  <c r="Q2" i="6"/>
  <c r="R2" i="6" s="1"/>
  <c r="U2" i="6" s="1"/>
  <c r="P2" i="6"/>
  <c r="O2" i="6"/>
  <c r="K8" i="4"/>
  <c r="G8" i="4"/>
  <c r="F8" i="4"/>
  <c r="E8" i="4"/>
  <c r="B8" i="4"/>
  <c r="K7" i="4"/>
  <c r="G7" i="4"/>
  <c r="H7" i="4" s="1"/>
  <c r="F7" i="4"/>
  <c r="E7" i="4"/>
  <c r="B7" i="4"/>
  <c r="K6" i="4"/>
  <c r="G6" i="4"/>
  <c r="F6" i="4"/>
  <c r="E6" i="4"/>
  <c r="B6" i="4"/>
  <c r="K5" i="4"/>
  <c r="G5" i="4"/>
  <c r="F5" i="4"/>
  <c r="H5" i="4" s="1"/>
  <c r="E5" i="4"/>
  <c r="E9" i="4" s="1"/>
  <c r="B5" i="4"/>
  <c r="K4" i="4"/>
  <c r="G4" i="4"/>
  <c r="G9" i="4" s="1"/>
  <c r="F4" i="4"/>
  <c r="H4" i="4" s="1"/>
  <c r="E4" i="4"/>
  <c r="B4" i="4"/>
  <c r="D32" i="3"/>
  <c r="Z21" i="3"/>
  <c r="H20" i="3"/>
  <c r="I20" i="3" s="1"/>
  <c r="G20" i="3"/>
  <c r="F20" i="3"/>
  <c r="Z19" i="3"/>
  <c r="Y19" i="3"/>
  <c r="Q19" i="3"/>
  <c r="P19" i="3"/>
  <c r="O19" i="3"/>
  <c r="N19" i="3"/>
  <c r="L19" i="3"/>
  <c r="K19" i="8" s="1"/>
  <c r="K19" i="3"/>
  <c r="J19" i="3"/>
  <c r="I19" i="8" s="1"/>
  <c r="I19" i="3"/>
  <c r="J19" i="8" s="1"/>
  <c r="Z18" i="3"/>
  <c r="Y18" i="3"/>
  <c r="Q18" i="3"/>
  <c r="P18" i="3"/>
  <c r="O18" i="3"/>
  <c r="N18" i="3"/>
  <c r="L18" i="3"/>
  <c r="K18" i="8" s="1"/>
  <c r="K18" i="3"/>
  <c r="J18" i="3"/>
  <c r="I18" i="8" s="1"/>
  <c r="I18" i="3"/>
  <c r="J18" i="8" s="1"/>
  <c r="Z17" i="3"/>
  <c r="Y17" i="3"/>
  <c r="Q17" i="3"/>
  <c r="P17" i="3"/>
  <c r="S17" i="3" s="1"/>
  <c r="O17" i="3"/>
  <c r="N17" i="3"/>
  <c r="L17" i="3"/>
  <c r="K17" i="8" s="1"/>
  <c r="K17" i="3"/>
  <c r="J17" i="3"/>
  <c r="I17" i="8" s="1"/>
  <c r="I17" i="3"/>
  <c r="J17" i="8" s="1"/>
  <c r="Z16" i="3"/>
  <c r="Y16" i="3"/>
  <c r="Q16" i="3"/>
  <c r="P16" i="3"/>
  <c r="O16" i="3"/>
  <c r="N16" i="3"/>
  <c r="L16" i="3"/>
  <c r="K16" i="8" s="1"/>
  <c r="K16" i="3"/>
  <c r="J16" i="3"/>
  <c r="I16" i="8" s="1"/>
  <c r="I16" i="3"/>
  <c r="J16" i="8" s="1"/>
  <c r="Z15" i="3"/>
  <c r="Y15" i="3"/>
  <c r="Q15" i="3"/>
  <c r="P15" i="3"/>
  <c r="O15" i="3"/>
  <c r="R15" i="3" s="1"/>
  <c r="N15" i="3"/>
  <c r="L15" i="3"/>
  <c r="K15" i="8" s="1"/>
  <c r="K15" i="3"/>
  <c r="J15" i="3"/>
  <c r="I15" i="8" s="1"/>
  <c r="I15" i="3"/>
  <c r="J15" i="8" s="1"/>
  <c r="Z14" i="3"/>
  <c r="Y14" i="3"/>
  <c r="Q14" i="3"/>
  <c r="P14" i="3"/>
  <c r="O14" i="3"/>
  <c r="N14" i="3"/>
  <c r="L14" i="3"/>
  <c r="K14" i="8" s="1"/>
  <c r="K14" i="3"/>
  <c r="J14" i="3"/>
  <c r="I14" i="8" s="1"/>
  <c r="I14" i="3"/>
  <c r="J14" i="8" s="1"/>
  <c r="Z13" i="3"/>
  <c r="Y13" i="3"/>
  <c r="Q13" i="3"/>
  <c r="P13" i="3"/>
  <c r="S13" i="3" s="1"/>
  <c r="O13" i="3"/>
  <c r="N13" i="3"/>
  <c r="R13" i="3" s="1"/>
  <c r="L13" i="3"/>
  <c r="K13" i="8" s="1"/>
  <c r="K13" i="3"/>
  <c r="J13" i="3"/>
  <c r="I13" i="8" s="1"/>
  <c r="I13" i="3"/>
  <c r="J13" i="8" s="1"/>
  <c r="Z12" i="3"/>
  <c r="Y12" i="3"/>
  <c r="Q12" i="3"/>
  <c r="P12" i="3"/>
  <c r="O12" i="3"/>
  <c r="N12" i="3"/>
  <c r="L12" i="3"/>
  <c r="K12" i="8" s="1"/>
  <c r="K12" i="3"/>
  <c r="J12" i="3"/>
  <c r="I12" i="8" s="1"/>
  <c r="I12" i="3"/>
  <c r="J12" i="8" s="1"/>
  <c r="Z11" i="3"/>
  <c r="Y11" i="3"/>
  <c r="Q11" i="3"/>
  <c r="P11" i="3"/>
  <c r="S11" i="3" s="1"/>
  <c r="O11" i="3"/>
  <c r="N11" i="3"/>
  <c r="L11" i="3"/>
  <c r="K11" i="8" s="1"/>
  <c r="K11" i="3"/>
  <c r="J11" i="3"/>
  <c r="I11" i="8" s="1"/>
  <c r="I11" i="3"/>
  <c r="J11" i="8" s="1"/>
  <c r="AA10" i="3"/>
  <c r="Z10" i="3"/>
  <c r="Y10" i="3"/>
  <c r="Q10" i="3"/>
  <c r="G10" i="8" s="1"/>
  <c r="P10" i="3"/>
  <c r="O10" i="3"/>
  <c r="R10" i="3" s="1"/>
  <c r="N10" i="3"/>
  <c r="L10" i="3"/>
  <c r="K10" i="8" s="1"/>
  <c r="K10" i="3"/>
  <c r="J10" i="3"/>
  <c r="I10" i="8" s="1"/>
  <c r="I10" i="3"/>
  <c r="J10" i="8" s="1"/>
  <c r="Z9" i="3"/>
  <c r="Y9" i="3"/>
  <c r="Q9" i="3"/>
  <c r="T9" i="3" s="1"/>
  <c r="P9" i="3"/>
  <c r="O9" i="3"/>
  <c r="N9" i="3"/>
  <c r="R9" i="3" s="1"/>
  <c r="L9" i="3"/>
  <c r="K9" i="8" s="1"/>
  <c r="K9" i="3"/>
  <c r="J9" i="3"/>
  <c r="I9" i="8" s="1"/>
  <c r="I9" i="3"/>
  <c r="J9" i="8" s="1"/>
  <c r="Z8" i="3"/>
  <c r="Y8" i="3"/>
  <c r="Q8" i="3"/>
  <c r="G8" i="8" s="1"/>
  <c r="P8" i="3"/>
  <c r="O8" i="3"/>
  <c r="R8" i="3" s="1"/>
  <c r="N8" i="3"/>
  <c r="L8" i="3"/>
  <c r="K8" i="8" s="1"/>
  <c r="K8" i="3"/>
  <c r="J8" i="3"/>
  <c r="I8" i="8" s="1"/>
  <c r="I8" i="3"/>
  <c r="J8" i="8" s="1"/>
  <c r="Z7" i="3"/>
  <c r="Y7" i="3"/>
  <c r="Q7" i="3"/>
  <c r="P7" i="3"/>
  <c r="O7" i="3"/>
  <c r="N7" i="3"/>
  <c r="L7" i="3"/>
  <c r="K7" i="8" s="1"/>
  <c r="K7" i="3"/>
  <c r="J7" i="3"/>
  <c r="I7" i="8" s="1"/>
  <c r="I7" i="3"/>
  <c r="J7" i="8" s="1"/>
  <c r="AA6" i="3"/>
  <c r="Z6" i="3"/>
  <c r="Y6" i="3"/>
  <c r="Q6" i="3"/>
  <c r="G6" i="8" s="1"/>
  <c r="P6" i="3"/>
  <c r="O6" i="3"/>
  <c r="N6" i="3"/>
  <c r="L6" i="3"/>
  <c r="K6" i="8" s="1"/>
  <c r="K6" i="3"/>
  <c r="J6" i="3"/>
  <c r="I6" i="8" s="1"/>
  <c r="I6" i="3"/>
  <c r="J6" i="8" s="1"/>
  <c r="Z5" i="3"/>
  <c r="Y5" i="3"/>
  <c r="Q5" i="3"/>
  <c r="P5" i="3"/>
  <c r="O5" i="3"/>
  <c r="N5" i="3"/>
  <c r="N20" i="3" s="1"/>
  <c r="L5" i="3"/>
  <c r="K5" i="8" s="1"/>
  <c r="K5" i="3"/>
  <c r="J5" i="3"/>
  <c r="I5" i="8" s="1"/>
  <c r="I5" i="3"/>
  <c r="J5" i="8" s="1"/>
  <c r="O20" i="3" l="1"/>
  <c r="S8" i="3"/>
  <c r="U4" i="6"/>
  <c r="U12" i="6"/>
  <c r="U14" i="6"/>
  <c r="U20" i="6"/>
  <c r="U22" i="6"/>
  <c r="U34" i="6"/>
  <c r="U39" i="6"/>
  <c r="U58" i="6"/>
  <c r="R12" i="3"/>
  <c r="T13" i="3"/>
  <c r="P20" i="3"/>
  <c r="R7" i="3"/>
  <c r="S12" i="3"/>
  <c r="AA14" i="3"/>
  <c r="R16" i="3"/>
  <c r="T17" i="3"/>
  <c r="R18" i="3"/>
  <c r="S19" i="3"/>
  <c r="U3" i="6"/>
  <c r="P4" i="6"/>
  <c r="U9" i="6"/>
  <c r="U11" i="6"/>
  <c r="P12" i="6"/>
  <c r="U17" i="6"/>
  <c r="U19" i="6"/>
  <c r="P20" i="6"/>
  <c r="U25" i="6"/>
  <c r="U27" i="6"/>
  <c r="U30" i="6"/>
  <c r="U35" i="6"/>
  <c r="U46" i="6"/>
  <c r="U51" i="6"/>
  <c r="R14" i="3"/>
  <c r="S15" i="3"/>
  <c r="Q20" i="3"/>
  <c r="R6" i="3"/>
  <c r="S7" i="3"/>
  <c r="S9" i="3"/>
  <c r="R11" i="3"/>
  <c r="G12" i="8"/>
  <c r="G14" i="8"/>
  <c r="S16" i="3"/>
  <c r="R17" i="3"/>
  <c r="AA18" i="3"/>
  <c r="K20" i="3"/>
  <c r="B9" i="4"/>
  <c r="H8" i="4"/>
  <c r="U24" i="6"/>
  <c r="U42" i="6"/>
  <c r="U55" i="6"/>
  <c r="G16" i="8"/>
  <c r="G18" i="8"/>
  <c r="R19" i="3"/>
  <c r="H6" i="4"/>
  <c r="U5" i="6"/>
  <c r="U7" i="6"/>
  <c r="U13" i="6"/>
  <c r="U21" i="6"/>
  <c r="U23" i="6"/>
  <c r="U43" i="6"/>
  <c r="U28" i="6"/>
  <c r="U54" i="6"/>
  <c r="U59" i="6"/>
  <c r="U15" i="6"/>
  <c r="R21" i="3"/>
  <c r="B5" i="5" s="1"/>
  <c r="U6" i="6"/>
  <c r="S21" i="3"/>
  <c r="B6" i="5" s="1"/>
  <c r="D6" i="5" s="1"/>
  <c r="U18" i="3"/>
  <c r="U38" i="6"/>
  <c r="U50" i="6"/>
  <c r="U118" i="6"/>
  <c r="T21" i="3"/>
  <c r="B7" i="5" s="1"/>
  <c r="D7" i="5" s="1"/>
  <c r="V7" i="3"/>
  <c r="V9" i="3"/>
  <c r="U17" i="3"/>
  <c r="U8" i="6"/>
  <c r="U16" i="6"/>
  <c r="U26" i="6"/>
  <c r="U31" i="6"/>
  <c r="U47" i="6"/>
  <c r="U114" i="6"/>
  <c r="T11" i="3"/>
  <c r="W11" i="3" s="1"/>
  <c r="S14" i="3"/>
  <c r="V14" i="3" s="1"/>
  <c r="T15" i="3"/>
  <c r="W15" i="3" s="1"/>
  <c r="S18" i="3"/>
  <c r="V18" i="3" s="1"/>
  <c r="T19" i="3"/>
  <c r="W19" i="3" s="1"/>
  <c r="J20" i="3"/>
  <c r="D24" i="3" s="1"/>
  <c r="D25" i="3"/>
  <c r="U113" i="6"/>
  <c r="P116" i="6"/>
  <c r="U116" i="6"/>
  <c r="U119" i="6"/>
  <c r="U126" i="6"/>
  <c r="P126" i="6"/>
  <c r="U127" i="6"/>
  <c r="U130" i="6"/>
  <c r="P130" i="6"/>
  <c r="U131" i="6"/>
  <c r="U135" i="6"/>
  <c r="U139" i="6"/>
  <c r="U143" i="6"/>
  <c r="U147" i="6"/>
  <c r="U151" i="6"/>
  <c r="U155" i="6"/>
  <c r="U159" i="6"/>
  <c r="U163" i="6"/>
  <c r="U167" i="6"/>
  <c r="U171" i="6"/>
  <c r="U175" i="6"/>
  <c r="U179" i="6"/>
  <c r="U183" i="6"/>
  <c r="U187" i="6"/>
  <c r="U191" i="6"/>
  <c r="U195" i="6"/>
  <c r="U199" i="6"/>
  <c r="U203" i="6"/>
  <c r="U207" i="6"/>
  <c r="U216" i="6"/>
  <c r="U227" i="6"/>
  <c r="U237" i="6"/>
  <c r="U245" i="6"/>
  <c r="S6" i="3"/>
  <c r="V6" i="3" s="1"/>
  <c r="T7" i="3"/>
  <c r="W7" i="3" s="1"/>
  <c r="S10" i="3"/>
  <c r="V10" i="3" s="1"/>
  <c r="S5" i="3"/>
  <c r="V5" i="3" s="1"/>
  <c r="AA5" i="3"/>
  <c r="T6" i="3"/>
  <c r="W6" i="3" s="1"/>
  <c r="G7" i="8"/>
  <c r="AA9" i="3"/>
  <c r="T10" i="3"/>
  <c r="W10" i="3" s="1"/>
  <c r="G11" i="8"/>
  <c r="AA13" i="3"/>
  <c r="T14" i="3"/>
  <c r="W14" i="3" s="1"/>
  <c r="G15" i="8"/>
  <c r="AA17" i="3"/>
  <c r="T18" i="3"/>
  <c r="W18" i="3" s="1"/>
  <c r="G19" i="8"/>
  <c r="D26" i="3"/>
  <c r="C4" i="4"/>
  <c r="I5" i="4"/>
  <c r="C6" i="4"/>
  <c r="D6" i="4" s="1"/>
  <c r="I7" i="4"/>
  <c r="C8" i="4"/>
  <c r="D8" i="4" s="1"/>
  <c r="F9" i="4"/>
  <c r="H9" i="4" s="1"/>
  <c r="D26" i="8"/>
  <c r="K15" i="7"/>
  <c r="G15" i="7"/>
  <c r="G29" i="7"/>
  <c r="G27" i="7"/>
  <c r="G25" i="7"/>
  <c r="G23" i="7"/>
  <c r="E29" i="7"/>
  <c r="E27" i="7"/>
  <c r="E25" i="7"/>
  <c r="E23" i="7"/>
  <c r="E21" i="7"/>
  <c r="E19" i="7"/>
  <c r="E17" i="7"/>
  <c r="F15" i="7"/>
  <c r="J25" i="7"/>
  <c r="J19" i="7"/>
  <c r="J15" i="7"/>
  <c r="J23" i="7"/>
  <c r="G19" i="7"/>
  <c r="J29" i="7"/>
  <c r="F22" i="7"/>
  <c r="J21" i="7"/>
  <c r="F18" i="7"/>
  <c r="J17" i="7"/>
  <c r="F28" i="7"/>
  <c r="J27" i="7"/>
  <c r="G21" i="7"/>
  <c r="G17" i="7"/>
  <c r="U304" i="6"/>
  <c r="U300" i="6"/>
  <c r="U296" i="6"/>
  <c r="U292" i="6"/>
  <c r="U288" i="6"/>
  <c r="U284" i="6"/>
  <c r="U279" i="6"/>
  <c r="U275" i="6"/>
  <c r="U271" i="6"/>
  <c r="U267" i="6"/>
  <c r="U263" i="6"/>
  <c r="U259" i="6"/>
  <c r="U255" i="6"/>
  <c r="U249" i="6"/>
  <c r="U223" i="6"/>
  <c r="U251" i="6"/>
  <c r="U247" i="6"/>
  <c r="U243" i="6"/>
  <c r="U239" i="6"/>
  <c r="U235" i="6"/>
  <c r="U231" i="6"/>
  <c r="U215" i="6"/>
  <c r="F9" i="7"/>
  <c r="F7" i="7"/>
  <c r="F5" i="7"/>
  <c r="F8" i="7"/>
  <c r="F6" i="7"/>
  <c r="G7" i="7"/>
  <c r="G8" i="7"/>
  <c r="G6" i="7"/>
  <c r="G5" i="7"/>
  <c r="G9" i="7"/>
  <c r="P3" i="6"/>
  <c r="P7" i="6"/>
  <c r="P11" i="6"/>
  <c r="P15" i="6"/>
  <c r="P19" i="6"/>
  <c r="P23" i="6"/>
  <c r="P27" i="6"/>
  <c r="P30" i="6"/>
  <c r="U32" i="6"/>
  <c r="P34" i="6"/>
  <c r="U36" i="6"/>
  <c r="P38" i="6"/>
  <c r="U40" i="6"/>
  <c r="P42" i="6"/>
  <c r="U44" i="6"/>
  <c r="P46" i="6"/>
  <c r="U48" i="6"/>
  <c r="P50" i="6"/>
  <c r="U52" i="6"/>
  <c r="P54" i="6"/>
  <c r="U56" i="6"/>
  <c r="P58" i="6"/>
  <c r="U60" i="6"/>
  <c r="U64" i="6"/>
  <c r="U68" i="6"/>
  <c r="U72" i="6"/>
  <c r="U76" i="6"/>
  <c r="U80" i="6"/>
  <c r="U84" i="6"/>
  <c r="U88" i="6"/>
  <c r="U92" i="6"/>
  <c r="U96" i="6"/>
  <c r="U100" i="6"/>
  <c r="U104" i="6"/>
  <c r="U109" i="6"/>
  <c r="P112" i="6"/>
  <c r="U112" i="6"/>
  <c r="U115" i="6"/>
  <c r="U219" i="6"/>
  <c r="U228" i="6"/>
  <c r="R5" i="3"/>
  <c r="U5" i="3" s="1"/>
  <c r="T5" i="3"/>
  <c r="W5" i="3" s="1"/>
  <c r="AA8" i="3"/>
  <c r="AA12" i="3"/>
  <c r="AA16" i="3"/>
  <c r="L20" i="3"/>
  <c r="D27" i="3"/>
  <c r="D31" i="3"/>
  <c r="U29" i="6"/>
  <c r="U33" i="6"/>
  <c r="U37" i="6"/>
  <c r="U41" i="6"/>
  <c r="U45" i="6"/>
  <c r="U49" i="6"/>
  <c r="U53" i="6"/>
  <c r="U57" i="6"/>
  <c r="U61" i="6"/>
  <c r="U65" i="6"/>
  <c r="U69" i="6"/>
  <c r="U73" i="6"/>
  <c r="U77" i="6"/>
  <c r="U81" i="6"/>
  <c r="U85" i="6"/>
  <c r="U89" i="6"/>
  <c r="U93" i="6"/>
  <c r="U97" i="6"/>
  <c r="U101" i="6"/>
  <c r="U105" i="6"/>
  <c r="P108" i="6"/>
  <c r="U108" i="6"/>
  <c r="U110" i="6"/>
  <c r="U111" i="6"/>
  <c r="U121" i="6"/>
  <c r="P124" i="6"/>
  <c r="U124" i="6"/>
  <c r="U128" i="6"/>
  <c r="U132" i="6"/>
  <c r="U136" i="6"/>
  <c r="U140" i="6"/>
  <c r="U144" i="6"/>
  <c r="U148" i="6"/>
  <c r="U152" i="6"/>
  <c r="U156" i="6"/>
  <c r="U160" i="6"/>
  <c r="U164" i="6"/>
  <c r="U168" i="6"/>
  <c r="U172" i="6"/>
  <c r="U176" i="6"/>
  <c r="U180" i="6"/>
  <c r="U184" i="6"/>
  <c r="U188" i="6"/>
  <c r="U192" i="6"/>
  <c r="U196" i="6"/>
  <c r="U200" i="6"/>
  <c r="U204" i="6"/>
  <c r="U208" i="6"/>
  <c r="U211" i="6"/>
  <c r="U220" i="6"/>
  <c r="U233" i="6"/>
  <c r="U241" i="6"/>
  <c r="G5" i="8"/>
  <c r="AA7" i="3"/>
  <c r="T8" i="3"/>
  <c r="W8" i="3" s="1"/>
  <c r="G9" i="8"/>
  <c r="AA11" i="3"/>
  <c r="T12" i="3"/>
  <c r="W12" i="3" s="1"/>
  <c r="G13" i="8"/>
  <c r="AA15" i="3"/>
  <c r="T16" i="3"/>
  <c r="W16" i="3" s="1"/>
  <c r="M17" i="3"/>
  <c r="G17" i="8"/>
  <c r="AA19" i="3"/>
  <c r="I4" i="4"/>
  <c r="C5" i="4"/>
  <c r="D5" i="4" s="1"/>
  <c r="I6" i="4"/>
  <c r="C7" i="4"/>
  <c r="D7" i="4" s="1"/>
  <c r="I8" i="4"/>
  <c r="P29" i="6"/>
  <c r="P33" i="6"/>
  <c r="P37" i="6"/>
  <c r="P41" i="6"/>
  <c r="P45" i="6"/>
  <c r="P49" i="6"/>
  <c r="P53" i="6"/>
  <c r="P57" i="6"/>
  <c r="U62" i="6"/>
  <c r="U63" i="6"/>
  <c r="U66" i="6"/>
  <c r="U67" i="6"/>
  <c r="U70" i="6"/>
  <c r="U71" i="6"/>
  <c r="U74" i="6"/>
  <c r="U75" i="6"/>
  <c r="U78" i="6"/>
  <c r="U79" i="6"/>
  <c r="U82" i="6"/>
  <c r="U83" i="6"/>
  <c r="U86" i="6"/>
  <c r="U87" i="6"/>
  <c r="U90" i="6"/>
  <c r="U91" i="6"/>
  <c r="U94" i="6"/>
  <c r="U95" i="6"/>
  <c r="U98" i="6"/>
  <c r="U99" i="6"/>
  <c r="U102" i="6"/>
  <c r="U103" i="6"/>
  <c r="U106" i="6"/>
  <c r="U107" i="6"/>
  <c r="U117" i="6"/>
  <c r="P120" i="6"/>
  <c r="U120" i="6"/>
  <c r="U122" i="6"/>
  <c r="U123" i="6"/>
  <c r="U212" i="6"/>
  <c r="U224" i="6"/>
  <c r="U217" i="6"/>
  <c r="P217" i="6"/>
  <c r="U218" i="6"/>
  <c r="U232" i="6"/>
  <c r="U236" i="6"/>
  <c r="U240" i="6"/>
  <c r="U244" i="6"/>
  <c r="U248" i="6"/>
  <c r="U252" i="6"/>
  <c r="U260" i="6"/>
  <c r="U268" i="6"/>
  <c r="U125" i="6"/>
  <c r="P127" i="6"/>
  <c r="U129" i="6"/>
  <c r="P131" i="6"/>
  <c r="U133" i="6"/>
  <c r="P135" i="6"/>
  <c r="U137" i="6"/>
  <c r="P139" i="6"/>
  <c r="U141" i="6"/>
  <c r="P143" i="6"/>
  <c r="U145" i="6"/>
  <c r="P147" i="6"/>
  <c r="U149" i="6"/>
  <c r="P151" i="6"/>
  <c r="U153" i="6"/>
  <c r="P155" i="6"/>
  <c r="U157" i="6"/>
  <c r="P159" i="6"/>
  <c r="U161" i="6"/>
  <c r="P163" i="6"/>
  <c r="U165" i="6"/>
  <c r="P167" i="6"/>
  <c r="U169" i="6"/>
  <c r="P171" i="6"/>
  <c r="U173" i="6"/>
  <c r="P175" i="6"/>
  <c r="U177" i="6"/>
  <c r="P179" i="6"/>
  <c r="U181" i="6"/>
  <c r="P183" i="6"/>
  <c r="U185" i="6"/>
  <c r="P187" i="6"/>
  <c r="U189" i="6"/>
  <c r="P191" i="6"/>
  <c r="U193" i="6"/>
  <c r="P195" i="6"/>
  <c r="U197" i="6"/>
  <c r="P199" i="6"/>
  <c r="U201" i="6"/>
  <c r="P203" i="6"/>
  <c r="U205" i="6"/>
  <c r="P207" i="6"/>
  <c r="U209" i="6"/>
  <c r="U213" i="6"/>
  <c r="P213" i="6"/>
  <c r="U214" i="6"/>
  <c r="P218" i="6"/>
  <c r="U229" i="6"/>
  <c r="P229" i="6"/>
  <c r="U230" i="6"/>
  <c r="E5" i="8"/>
  <c r="F5" i="8" s="1"/>
  <c r="U134" i="6"/>
  <c r="U138" i="6"/>
  <c r="U142" i="6"/>
  <c r="U146" i="6"/>
  <c r="U150" i="6"/>
  <c r="U154" i="6"/>
  <c r="U158" i="6"/>
  <c r="U162" i="6"/>
  <c r="U166" i="6"/>
  <c r="U170" i="6"/>
  <c r="U174" i="6"/>
  <c r="U178" i="6"/>
  <c r="U182" i="6"/>
  <c r="U186" i="6"/>
  <c r="U190" i="6"/>
  <c r="U194" i="6"/>
  <c r="U198" i="6"/>
  <c r="U202" i="6"/>
  <c r="U206" i="6"/>
  <c r="U210" i="6"/>
  <c r="U225" i="6"/>
  <c r="P225" i="6"/>
  <c r="U226" i="6"/>
  <c r="U256" i="6"/>
  <c r="U264" i="6"/>
  <c r="U272" i="6"/>
  <c r="P134" i="6"/>
  <c r="P138" i="6"/>
  <c r="P142" i="6"/>
  <c r="P146" i="6"/>
  <c r="P150" i="6"/>
  <c r="P154" i="6"/>
  <c r="P158" i="6"/>
  <c r="P162" i="6"/>
  <c r="P166" i="6"/>
  <c r="P170" i="6"/>
  <c r="P174" i="6"/>
  <c r="P178" i="6"/>
  <c r="P182" i="6"/>
  <c r="P186" i="6"/>
  <c r="P190" i="6"/>
  <c r="P194" i="6"/>
  <c r="P198" i="6"/>
  <c r="P202" i="6"/>
  <c r="P206" i="6"/>
  <c r="P210" i="6"/>
  <c r="U221" i="6"/>
  <c r="P221" i="6"/>
  <c r="U222" i="6"/>
  <c r="P226" i="6"/>
  <c r="U234" i="6"/>
  <c r="P234" i="6"/>
  <c r="U238" i="6"/>
  <c r="P238" i="6"/>
  <c r="F24" i="7"/>
  <c r="U253" i="6"/>
  <c r="U257" i="6"/>
  <c r="U261" i="6"/>
  <c r="U265" i="6"/>
  <c r="U269" i="6"/>
  <c r="U273" i="6"/>
  <c r="U301" i="6"/>
  <c r="L16" i="7"/>
  <c r="G16" i="7"/>
  <c r="J16" i="7"/>
  <c r="E16" i="7"/>
  <c r="K16" i="7"/>
  <c r="L20" i="7"/>
  <c r="G20" i="7"/>
  <c r="J20" i="7"/>
  <c r="E20" i="7"/>
  <c r="K20" i="7"/>
  <c r="L26" i="7"/>
  <c r="J26" i="7"/>
  <c r="E26" i="7"/>
  <c r="G26" i="7"/>
  <c r="K26" i="7"/>
  <c r="U242" i="6"/>
  <c r="U246" i="6"/>
  <c r="U250" i="6"/>
  <c r="U254" i="6"/>
  <c r="U258" i="6"/>
  <c r="U262" i="6"/>
  <c r="U266" i="6"/>
  <c r="U270" i="6"/>
  <c r="U274" i="6"/>
  <c r="U277" i="6"/>
  <c r="U281" i="6"/>
  <c r="U285" i="6"/>
  <c r="U289" i="6"/>
  <c r="U293" i="6"/>
  <c r="U297" i="6"/>
  <c r="L28" i="7"/>
  <c r="G28" i="7"/>
  <c r="J28" i="7"/>
  <c r="E28" i="7"/>
  <c r="K28" i="7"/>
  <c r="P242" i="6"/>
  <c r="P246" i="6"/>
  <c r="P250" i="6"/>
  <c r="P254" i="6"/>
  <c r="P258" i="6"/>
  <c r="P262" i="6"/>
  <c r="P266" i="6"/>
  <c r="P270" i="6"/>
  <c r="P274" i="6"/>
  <c r="P277" i="6"/>
  <c r="P281" i="6"/>
  <c r="U282" i="6"/>
  <c r="U283" i="6"/>
  <c r="U286" i="6"/>
  <c r="U287" i="6"/>
  <c r="U290" i="6"/>
  <c r="U291" i="6"/>
  <c r="U294" i="6"/>
  <c r="U295" i="6"/>
  <c r="U298" i="6"/>
  <c r="U299" i="6"/>
  <c r="U302" i="6"/>
  <c r="L18" i="7"/>
  <c r="J18" i="7"/>
  <c r="E18" i="7"/>
  <c r="H18" i="7" s="1"/>
  <c r="I18" i="7" s="1"/>
  <c r="G18" i="7"/>
  <c r="K18" i="7"/>
  <c r="L22" i="7"/>
  <c r="J22" i="7"/>
  <c r="E22" i="7"/>
  <c r="G22" i="7"/>
  <c r="K22" i="7"/>
  <c r="E15" i="8"/>
  <c r="F15" i="8" s="1"/>
  <c r="E18" i="8"/>
  <c r="F18" i="8" s="1"/>
  <c r="U278" i="6"/>
  <c r="P278" i="6"/>
  <c r="F16" i="7"/>
  <c r="F20" i="7"/>
  <c r="L24" i="7"/>
  <c r="G24" i="7"/>
  <c r="J24" i="7"/>
  <c r="E24" i="7"/>
  <c r="K24" i="7"/>
  <c r="F26" i="7"/>
  <c r="E19" i="8"/>
  <c r="F19" i="8" s="1"/>
  <c r="U276" i="6"/>
  <c r="U280" i="6"/>
  <c r="U303" i="6"/>
  <c r="E7" i="8"/>
  <c r="F7" i="8" s="1"/>
  <c r="E10" i="8"/>
  <c r="F10" i="8" s="1"/>
  <c r="E11" i="8"/>
  <c r="F11" i="8" s="1"/>
  <c r="E12" i="8"/>
  <c r="F12" i="8" s="1"/>
  <c r="E13" i="8"/>
  <c r="F13" i="8" s="1"/>
  <c r="L19" i="7"/>
  <c r="F19" i="7"/>
  <c r="K19" i="7"/>
  <c r="L23" i="7"/>
  <c r="F23" i="7"/>
  <c r="K23" i="7"/>
  <c r="L27" i="7"/>
  <c r="F27" i="7"/>
  <c r="K27" i="7"/>
  <c r="E6" i="8"/>
  <c r="F6" i="8" s="1"/>
  <c r="E8" i="8"/>
  <c r="F8" i="8" s="1"/>
  <c r="E9" i="8"/>
  <c r="F9" i="8" s="1"/>
  <c r="L15" i="7"/>
  <c r="E15" i="7"/>
  <c r="H15" i="7" s="1"/>
  <c r="I15" i="7" s="1"/>
  <c r="L17" i="7"/>
  <c r="F17" i="7"/>
  <c r="K17" i="7"/>
  <c r="L21" i="7"/>
  <c r="F21" i="7"/>
  <c r="K21" i="7"/>
  <c r="L25" i="7"/>
  <c r="F25" i="7"/>
  <c r="K25" i="7"/>
  <c r="L29" i="7"/>
  <c r="F29" i="7"/>
  <c r="K29" i="7"/>
  <c r="E14" i="8"/>
  <c r="F14" i="8" s="1"/>
  <c r="E16" i="8"/>
  <c r="F16" i="8" s="1"/>
  <c r="E17" i="8"/>
  <c r="F17" i="8" s="1"/>
  <c r="N9" i="8" l="1"/>
  <c r="U11" i="3"/>
  <c r="V19" i="3"/>
  <c r="V12" i="3"/>
  <c r="U14" i="3"/>
  <c r="H28" i="7"/>
  <c r="I28" i="7" s="1"/>
  <c r="U16" i="3"/>
  <c r="H24" i="7"/>
  <c r="I24" i="7" s="1"/>
  <c r="J8" i="4"/>
  <c r="N16" i="8"/>
  <c r="V16" i="3"/>
  <c r="U6" i="3"/>
  <c r="U13" i="3"/>
  <c r="V15" i="3"/>
  <c r="M11" i="8"/>
  <c r="H11" i="8"/>
  <c r="H5" i="8"/>
  <c r="M5" i="8"/>
  <c r="M13" i="3"/>
  <c r="M9" i="3"/>
  <c r="M5" i="3"/>
  <c r="M18" i="3"/>
  <c r="M14" i="3"/>
  <c r="M10" i="3"/>
  <c r="M6" i="3"/>
  <c r="M8" i="3"/>
  <c r="M16" i="3"/>
  <c r="M12" i="3"/>
  <c r="H23" i="7"/>
  <c r="I23" i="7" s="1"/>
  <c r="C9" i="4"/>
  <c r="D4" i="4"/>
  <c r="N8" i="8"/>
  <c r="X18" i="3"/>
  <c r="W13" i="3"/>
  <c r="X14" i="3"/>
  <c r="V11" i="3"/>
  <c r="X11" i="3" s="1"/>
  <c r="M6" i="8"/>
  <c r="H6" i="8"/>
  <c r="H17" i="8"/>
  <c r="M17" i="8"/>
  <c r="M10" i="8"/>
  <c r="H10" i="8"/>
  <c r="M18" i="8"/>
  <c r="H18" i="8"/>
  <c r="H22" i="7"/>
  <c r="I22" i="7" s="1"/>
  <c r="H26" i="7"/>
  <c r="I26" i="7" s="1"/>
  <c r="H20" i="7"/>
  <c r="I20" i="7" s="1"/>
  <c r="I9" i="4"/>
  <c r="J4" i="4"/>
  <c r="N5" i="8"/>
  <c r="N18" i="8"/>
  <c r="N10" i="8"/>
  <c r="X5" i="3"/>
  <c r="F10" i="7"/>
  <c r="H17" i="7"/>
  <c r="I17" i="7" s="1"/>
  <c r="H25" i="7"/>
  <c r="I25" i="7" s="1"/>
  <c r="J7" i="4"/>
  <c r="X6" i="3"/>
  <c r="W17" i="3"/>
  <c r="U7" i="3"/>
  <c r="X7" i="3" s="1"/>
  <c r="V8" i="3"/>
  <c r="U12" i="3"/>
  <c r="X12" i="3" s="1"/>
  <c r="U19" i="3"/>
  <c r="X19" i="3" s="1"/>
  <c r="U10" i="3"/>
  <c r="X10" i="3" s="1"/>
  <c r="H16" i="7"/>
  <c r="I16" i="7" s="1"/>
  <c r="H19" i="7"/>
  <c r="I19" i="7" s="1"/>
  <c r="H27" i="7"/>
  <c r="I27" i="7" s="1"/>
  <c r="N19" i="8"/>
  <c r="N15" i="8"/>
  <c r="N11" i="8"/>
  <c r="N7" i="8"/>
  <c r="X16" i="3"/>
  <c r="V17" i="3"/>
  <c r="U9" i="3"/>
  <c r="U15" i="3"/>
  <c r="W9" i="3"/>
  <c r="D30" i="3" s="1"/>
  <c r="M16" i="8"/>
  <c r="H16" i="8"/>
  <c r="H9" i="8"/>
  <c r="M9" i="8"/>
  <c r="H13" i="8"/>
  <c r="M13" i="8"/>
  <c r="M7" i="8"/>
  <c r="H7" i="8"/>
  <c r="H19" i="8"/>
  <c r="M19" i="8"/>
  <c r="M15" i="8"/>
  <c r="H15" i="8"/>
  <c r="M14" i="8"/>
  <c r="H14" i="8"/>
  <c r="M8" i="8"/>
  <c r="H8" i="8"/>
  <c r="M12" i="8"/>
  <c r="H12" i="8"/>
  <c r="J6" i="4"/>
  <c r="N17" i="8"/>
  <c r="N13" i="8"/>
  <c r="N14" i="8"/>
  <c r="N6" i="8"/>
  <c r="G10" i="7"/>
  <c r="H21" i="7"/>
  <c r="I21" i="7" s="1"/>
  <c r="H29" i="7"/>
  <c r="I29" i="7" s="1"/>
  <c r="J5" i="4"/>
  <c r="M19" i="3"/>
  <c r="M15" i="3"/>
  <c r="M11" i="3"/>
  <c r="M7" i="3"/>
  <c r="N12" i="8"/>
  <c r="B9" i="5"/>
  <c r="D5" i="5"/>
  <c r="B10" i="5" s="1"/>
  <c r="V13" i="3"/>
  <c r="X13" i="3" s="1"/>
  <c r="U8" i="3"/>
  <c r="X8" i="3" s="1"/>
  <c r="X15" i="3" l="1"/>
  <c r="X17" i="3"/>
  <c r="L12" i="8"/>
  <c r="X9" i="3"/>
  <c r="L16" i="8"/>
  <c r="L18" i="8"/>
  <c r="L17" i="8"/>
  <c r="D29" i="3"/>
  <c r="L8" i="8"/>
  <c r="L7" i="8"/>
  <c r="L10" i="8"/>
  <c r="L6" i="8"/>
  <c r="L5" i="8"/>
  <c r="L14" i="8"/>
  <c r="L19" i="8"/>
  <c r="L13" i="8"/>
  <c r="L15" i="8"/>
  <c r="B11" i="5"/>
  <c r="L9" i="8"/>
  <c r="D28" i="3"/>
  <c r="L11" i="8"/>
  <c r="B13" i="5" l="1"/>
  <c r="B14" i="5" s="1"/>
  <c r="B12" i="5"/>
  <c r="D22" i="8"/>
  <c r="D25" i="8"/>
  <c r="D23" i="8"/>
  <c r="D24" i="8"/>
</calcChain>
</file>

<file path=xl/sharedStrings.xml><?xml version="1.0" encoding="utf-8"?>
<sst xmlns="http://schemas.openxmlformats.org/spreadsheetml/2006/main" count="5800" uniqueCount="677">
  <si>
    <t>Desafio 3 — Priorização Comercial: Capacity &amp; Foco dos ECs</t>
  </si>
  <si>
    <t>Tudo calculado por fórmulas a partir da base do case. Células verdes = resultados principais.</t>
  </si>
  <si>
    <t>Abas</t>
  </si>
  <si>
    <t>1. Premissas — só parâmetros tirados da base: capacidade por EC, churn, corte de lead parado, território e ticket.</t>
  </si>
  <si>
    <t>2. Gap_Meta (3a) — meta vs realizado por franquia e por EC equivalente, funil vs rede e tendência.</t>
  </si>
  <si>
    <t>3. Regioes (3a) — onde se concentra o gap e o risco.</t>
  </si>
  <si>
    <t>4. Simulador_Funil — quanto vale cada ponto percentual de conversão em cada etapa do funil.</t>
  </si>
  <si>
    <t>5. Priorizacao (3b) — 303 contadores endereçáveis (regra do 1a: não é 'Cliente Ativo' e converteu_omie = 0) com tier de prioridade (Desafio 1c), intenção (pipeline), MRR esperado, onda e ordem de ataque.</t>
  </si>
  <si>
    <t>6. Ondas_Capacidade (3b) — o framework: quem entra em cada onda, o que o EC faz e por quê.</t>
  </si>
  <si>
    <t>7. EC_Adicional (3c) — onde alocar 1 EC adicional: demanda por EC × conversão do funil.</t>
  </si>
  <si>
    <t>8. Execucao — base execucao_comercial (apoio).</t>
  </si>
  <si>
    <t>Escolhas e premissas</t>
  </si>
  <si>
    <t>• Meta e realizado: aba franquias (fonte oficial de meta). O funil (taxas, tendência) vem de execucao_comercial: usamos apenas proporções, pois o nMRR da execução é 10 a 27x menor que o oficial (franquias.realizado_nmrr_mes ÷ média mensal de execucao_comercial.nmrr_gerado, por franquia).</t>
  </si>
  <si>
    <t>• Nível de EC: o id_executivo se repete dentro da franquia (1 ID para todos os ECs), então não há como seguir um EC individual. Usamos o EC equivalente (franquia ÷ nº de ECs) e a dispersão (% de EC-mês sem fechamento).</t>
  </si>
  <si>
    <t>• Prioridade = Intenção (lead ativo no pipeline) &gt; Tier do Desafio 1c &gt; MRR esperado. A intenção vem primeiro porque é sinal real de compra; o perfil ainda precisa ser validado em piloto (Desafio 2, aba Como_Avaliar).</t>
  </si>
  <si>
    <t>• Tier do 1c = matriz Fit x Engajamento: Fit = carteira (nº de clientes, driver do Desafio 2), Engajamento = estágio do lead aberto nos últimos 90 dias. Sem pesos arbitrários.</t>
  </si>
  <si>
    <t>• MRR esperado = ticket médio do porte × (1 − churn): o valor de cada contador, sem nota inventada.</t>
  </si>
  <si>
    <t>• Território: cada contador fica com a franquia do seu estado. SP: cidade de São Paulo = SP Capital, demais cidades = SP Interior (pelo nome das franquias). MT, MA, RO e MS não têm franquia: ficam como 'Sem franquia', sem dono atribuído.</t>
  </si>
  <si>
    <t>• Sem premissas externas: nenhum custo, ramp-up, SLA ou corte que não venha da base.</t>
  </si>
  <si>
    <t>Parâmetros (todos tirados da base do case)</t>
  </si>
  <si>
    <t>Parâmetro</t>
  </si>
  <si>
    <t>Valor</t>
  </si>
  <si>
    <t>Fonte na base</t>
  </si>
  <si>
    <t>Leads trabalhados por EC/mês (capacidade)</t>
  </si>
  <si>
    <t>Média de leads_trabalhados (execucao_comercial)</t>
  </si>
  <si>
    <t>Churn dos contratos</t>
  </si>
  <si>
    <t>Contratos Churned ÷ total (clientes_ativos)</t>
  </si>
  <si>
    <t>Lead parado a partir de (dias)</t>
  </si>
  <si>
    <t>Nenhum lead Ganho da base fechou com mais de 89 dias (leads_pipeline)</t>
  </si>
  <si>
    <t>Território (estado → franquia)</t>
  </si>
  <si>
    <t>Estado</t>
  </si>
  <si>
    <t>Franquia</t>
  </si>
  <si>
    <t>Cobertura</t>
  </si>
  <si>
    <t>AM</t>
  </si>
  <si>
    <t>FRQ013</t>
  </si>
  <si>
    <t>Própria</t>
  </si>
  <si>
    <t>BA</t>
  </si>
  <si>
    <t>FRQ010</t>
  </si>
  <si>
    <t>CE</t>
  </si>
  <si>
    <t>FRQ012</t>
  </si>
  <si>
    <t>DF</t>
  </si>
  <si>
    <t>FRQ008</t>
  </si>
  <si>
    <t>ES</t>
  </si>
  <si>
    <t>FRQ015</t>
  </si>
  <si>
    <t>GO</t>
  </si>
  <si>
    <t>FRQ009</t>
  </si>
  <si>
    <t>MA</t>
  </si>
  <si>
    <t>Sem franquia</t>
  </si>
  <si>
    <t>Sem franquia no estado (sem cobertura)</t>
  </si>
  <si>
    <t>MG</t>
  </si>
  <si>
    <t>FRQ004</t>
  </si>
  <si>
    <t>MS</t>
  </si>
  <si>
    <t>MT</t>
  </si>
  <si>
    <t>PA</t>
  </si>
  <si>
    <t>FRQ014</t>
  </si>
  <si>
    <t>PE</t>
  </si>
  <si>
    <t>FRQ011</t>
  </si>
  <si>
    <t>PR</t>
  </si>
  <si>
    <t>FRQ005</t>
  </si>
  <si>
    <t>RJ</t>
  </si>
  <si>
    <t>FRQ003</t>
  </si>
  <si>
    <t>RO</t>
  </si>
  <si>
    <t>RS</t>
  </si>
  <si>
    <t>FRQ007</t>
  </si>
  <si>
    <t>SC</t>
  </si>
  <si>
    <t>FRQ006</t>
  </si>
  <si>
    <t>SP</t>
  </si>
  <si>
    <t>FRQ001 / FRQ002</t>
  </si>
  <si>
    <t>Própria (cidade de São Paulo = SP Capital; demais = SP Interior)</t>
  </si>
  <si>
    <t>Ticket MRR por porte (média de mrr_inicial em clientes_ativos)</t>
  </si>
  <si>
    <t>Porte</t>
  </si>
  <si>
    <t>Ticket (R$)</t>
  </si>
  <si>
    <t>Pequeno Escritório</t>
  </si>
  <si>
    <t>Grande Escritório</t>
  </si>
  <si>
    <t>Médio Escritório</t>
  </si>
  <si>
    <t>Autônomo</t>
  </si>
  <si>
    <t>3a — Franquias vs meta de nMRR: onde está o gap e por quê</t>
  </si>
  <si>
    <t>Meta/realizado: aba franquias (oficial). Funil e tendência: execucao_comercial 2024 (proporções). Índice vs benchmark = taxa da franquia ÷ taxa da rede (1,00 = igual à rede).</t>
  </si>
  <si>
    <t>id</t>
  </si>
  <si>
    <t>UF</t>
  </si>
  <si>
    <t>Região</t>
  </si>
  <si>
    <t>Meses operando</t>
  </si>
  <si>
    <t>Nº ECs</t>
  </si>
  <si>
    <t>Meta nMRR/mês</t>
  </si>
  <si>
    <t>Realizado nMRR/mês</t>
  </si>
  <si>
    <t>Atingimento</t>
  </si>
  <si>
    <t>Gap (R$)</t>
  </si>
  <si>
    <t>Meta por EC</t>
  </si>
  <si>
    <t>Realizado por EC</t>
  </si>
  <si>
    <t>Realizado por EC ÷ média da rede</t>
  </si>
  <si>
    <t>Leads</t>
  </si>
  <si>
    <t>Reuniões</t>
  </si>
  <si>
    <t>Propostas</t>
  </si>
  <si>
    <t>Fechamentos</t>
  </si>
  <si>
    <t>Lead→Reunião</t>
  </si>
  <si>
    <t>Reunião→Proposta</t>
  </si>
  <si>
    <t>Proposta→Fechamento</t>
  </si>
  <si>
    <t>Índice L→R</t>
  </si>
  <si>
    <t>Índice R→P</t>
  </si>
  <si>
    <t>Índice P→F</t>
  </si>
  <si>
    <t>Etapa mais fraca vs rede</t>
  </si>
  <si>
    <t>Tendência H2 vs H1</t>
  </si>
  <si>
    <t>% EC-mês sem fechamento</t>
  </si>
  <si>
    <t>Situação</t>
  </si>
  <si>
    <t>Início (data_inicio)</t>
  </si>
  <si>
    <t>FRQ001</t>
  </si>
  <si>
    <t>Franquia SP Capital</t>
  </si>
  <si>
    <t>Sudeste</t>
  </si>
  <si>
    <t>FRQ002</t>
  </si>
  <si>
    <t>Franquia SP Interior</t>
  </si>
  <si>
    <t>Franquia RJ</t>
  </si>
  <si>
    <t>Franquia MG</t>
  </si>
  <si>
    <t>Franquia PR</t>
  </si>
  <si>
    <t>Sul</t>
  </si>
  <si>
    <t>Franquia SC</t>
  </si>
  <si>
    <t>Franquia RS</t>
  </si>
  <si>
    <t>Franquia DF</t>
  </si>
  <si>
    <t>Centro-Oeste</t>
  </si>
  <si>
    <t>Franquia GO</t>
  </si>
  <si>
    <t>Franquia BA</t>
  </si>
  <si>
    <t>Nordeste</t>
  </si>
  <si>
    <t>Franquia PE</t>
  </si>
  <si>
    <t>Franquia CE</t>
  </si>
  <si>
    <t>Franquia AM</t>
  </si>
  <si>
    <t>Norte</t>
  </si>
  <si>
    <t>Franquia PA</t>
  </si>
  <si>
    <t>Franquia ES</t>
  </si>
  <si>
    <t>Total da rede</t>
  </si>
  <si>
    <t>Benchmark da rede (funil)</t>
  </si>
  <si>
    <t>Leitura</t>
  </si>
  <si>
    <t>Gap total das franquias abaixo da meta (R$/mês)</t>
  </si>
  <si>
    <t>Franquias abaixo da meta</t>
  </si>
  <si>
    <t>Correlação meses_operando × atingimento</t>
  </si>
  <si>
    <t>Correlação nº de ECs × atingimento</t>
  </si>
  <si>
    <t>Faixa dos índices L→R e R→P entre franquias</t>
  </si>
  <si>
    <t>Faixa do índice P→F entre franquias</t>
  </si>
  <si>
    <t>Correlação índice P→F × atingimento</t>
  </si>
  <si>
    <t>Correlação antiguidade pela data_inicio × atingimento (início mais cedo = mais antiga)</t>
  </si>
  <si>
    <t>Correlação meses_operando × nº de ECs</t>
  </si>
  <si>
    <t>1. O funil não explica o gap: L→R e R→P são quase iguais entre franquias; P→F varia mais, mas quase não se relaciona com o atingimento (correlação ~0,15, contra ~0,64 do nº de ECs). Leads trabalhados por EC variam pouco (15 a 19 por mês).</t>
  </si>
  <si>
    <t>2. O gap está nas franquias pequenas: das 7 franquias com 1 a 2 ECs, 6 estão abaixo da meta (só o ES bate). O CE tem a maior meta por EC da rede (R$ 10 mil) e realiza acima da média por EC: parte do gap é meta, não execução.</t>
  </si>
  <si>
    <t>3. Governança: meses_operando conta a mesma história (correlação ~0,99 com o nº de ECs), mas contradiz a data_inicio (coluna AB): pela data de início, as franquias mais antigas atingem MENOS (correlação ~-0,37). Por isso a leitura usa o nº de ECs, que não tem contradição na base.</t>
  </si>
  <si>
    <t>4. RJ: 5 ECs, maior gap absoluto (R$ 4 mil) e realizado por EC de R$ 5,6 mil, abaixo da média da rede.</t>
  </si>
  <si>
    <t>5. Maiores quedas de nMRR na execução do 2º semestre: DF, MG, SP Interior e SC (coluna Y) — inclusive em franquias na meta.</t>
  </si>
  <si>
    <t>Nível de EC: id_executivo não identifica o EC; usamos o EC equivalente (franquia ÷ nº de ECs) e a dispersão (% de EC-mês sem fechamento). Recomendação: ID único de EC no CRM.</t>
  </si>
  <si>
    <t>3a — Concentração do gap e do risco por região</t>
  </si>
  <si>
    <t>Franquias</t>
  </si>
  <si>
    <t>Abaixo da meta</t>
  </si>
  <si>
    <t>% abaixo</t>
  </si>
  <si>
    <t>ECs</t>
  </si>
  <si>
    <t>Atingimento da região</t>
  </si>
  <si>
    <t>Gap das franquias abaixo da meta (R$)</t>
  </si>
  <si>
    <t>% do gap total</t>
  </si>
  <si>
    <t>Meses operando (média)</t>
  </si>
  <si>
    <t>Total</t>
  </si>
  <si>
    <t>• Norte, Nordeste e Centro-Oeste: 100% das franquias abaixo da meta e a região inteira abaixo da meta (atingimento de 74%, 82% e 89%). São as regiões das menores franquias: 1 a 3 ECs (Norte e Nordeste, 1 a 2).</t>
  </si>
  <si>
    <t>• Sudeste e Sul batem a meta como região (107% e 108%): o gap é pontual, só do RJ (maior gap da rede) e do RS.</t>
  </si>
  <si>
    <t>• A rede como um todo bate a meta (R$ 299 mil realizados contra R$ 297,5 mil): os R$ 19,5 mil são o gap das 9 franquias abaixo da meta.</t>
  </si>
  <si>
    <t>Quanto vale +1 p.p. em cada etapa do funil?</t>
  </si>
  <si>
    <t>Fechamentos por lead = (L→R) × (R→P) × (P→F). Um ganho de conversão aumenta o nMRR na mesma proporção (mesmo volume de leads e ticket). Resultado em % é independente da escala de receita.</t>
  </si>
  <si>
    <t>Etapa</t>
  </si>
  <si>
    <t>Taxa atual (rede)</t>
  </si>
  <si>
    <t>Ganho (p.p.)</t>
  </si>
  <si>
    <t>Taxa simulada</t>
  </si>
  <si>
    <t>Lead → Reunião</t>
  </si>
  <si>
    <t>Reunião → Proposta</t>
  </si>
  <si>
    <t>Proposta → Fechamento</t>
  </si>
  <si>
    <t>Fechamentos por lead — atual</t>
  </si>
  <si>
    <t>Fechamentos por lead — simulado</t>
  </si>
  <si>
    <t>Uplift no nMRR</t>
  </si>
  <si>
    <t>nMRR adicional/mês — rede (escala oficial)</t>
  </si>
  <si>
    <t>nMRR adicional/mês — 9 franquias abaixo da meta (escala oficial)</t>
  </si>
  <si>
    <t>Cobertura do gap de meta</t>
  </si>
  <si>
    <t>Leitura: a etapa Proposta → Fechamento é a de menor taxa (~19%) — cada p.p. ali vale mais que nas outras etapas. Alavancas: qualificação antes da proposta, proposta padronizada e follow-up.</t>
  </si>
  <si>
    <t>id_contador</t>
  </si>
  <si>
    <t>Cidade</t>
  </si>
  <si>
    <t>Nº clientes</t>
  </si>
  <si>
    <t>ERP</t>
  </si>
  <si>
    <t>Status pelos contratos (clientes_ativos)</t>
  </si>
  <si>
    <t>Estágio do lead ativo</t>
  </si>
  <si>
    <t>Ordem do estágio</t>
  </si>
  <si>
    <t>Lead parado (&gt;90d)</t>
  </si>
  <si>
    <t>ICP</t>
  </si>
  <si>
    <t>Score Fit + Engajamento (1c, 1 a 5)</t>
  </si>
  <si>
    <t>Tier (1c)</t>
  </si>
  <si>
    <t>Franquia responsável</t>
  </si>
  <si>
    <t>Ticket esperado (R$)</t>
  </si>
  <si>
    <t>MRR esperado (R$)</t>
  </si>
  <si>
    <t>Onda</t>
  </si>
  <si>
    <t>Ação da onda</t>
  </si>
  <si>
    <t>Ordem na franquia</t>
  </si>
  <si>
    <t>Fit da carteira (1c)</t>
  </si>
  <si>
    <t>Engajamento (1c)</t>
  </si>
  <si>
    <t>Propensão (Desafio 2)</t>
  </si>
  <si>
    <t>CTD00004</t>
  </si>
  <si>
    <t>Campos dos Goytacazes</t>
  </si>
  <si>
    <t>Questor</t>
  </si>
  <si>
    <t>Prospect em pipeline</t>
  </si>
  <si>
    <t>Em Contato</t>
  </si>
  <si>
    <t>Alta</t>
  </si>
  <si>
    <t>Alto</t>
  </si>
  <si>
    <t>Morno</t>
  </si>
  <si>
    <t>CTD00005</t>
  </si>
  <si>
    <t>Cuiabá</t>
  </si>
  <si>
    <t>Domínio</t>
  </si>
  <si>
    <t>Sem lead ativo</t>
  </si>
  <si>
    <t>Média</t>
  </si>
  <si>
    <t>Frio</t>
  </si>
  <si>
    <t>CTD00006</t>
  </si>
  <si>
    <t>Aparecida de Goiânia</t>
  </si>
  <si>
    <t>ContaAzul</t>
  </si>
  <si>
    <t>Prospect sem contato</t>
  </si>
  <si>
    <t>Baixa</t>
  </si>
  <si>
    <t>Médio</t>
  </si>
  <si>
    <t>CTD00008</t>
  </si>
  <si>
    <t>Osasco</t>
  </si>
  <si>
    <t>Planilha</t>
  </si>
  <si>
    <t>CTD00009</t>
  </si>
  <si>
    <t>Contagem</t>
  </si>
  <si>
    <t>Nenhum</t>
  </si>
  <si>
    <t>Novo</t>
  </si>
  <si>
    <t>Baixo</t>
  </si>
  <si>
    <t>CTD00011</t>
  </si>
  <si>
    <t>São Paulo</t>
  </si>
  <si>
    <t>CTD00014</t>
  </si>
  <si>
    <t>Campinas</t>
  </si>
  <si>
    <t>Cliente Ativo</t>
  </si>
  <si>
    <t>CTD00017</t>
  </si>
  <si>
    <t>Petrópolis</t>
  </si>
  <si>
    <t>CTD00018</t>
  </si>
  <si>
    <t>Blumenau</t>
  </si>
  <si>
    <t>Proposta Enviada</t>
  </si>
  <si>
    <t>Quente</t>
  </si>
  <si>
    <t>CTD00020</t>
  </si>
  <si>
    <t>Ribeirão Preto</t>
  </si>
  <si>
    <t>CTD00022</t>
  </si>
  <si>
    <t>Anápolis</t>
  </si>
  <si>
    <t>Totvs</t>
  </si>
  <si>
    <t>CTD00023</t>
  </si>
  <si>
    <t>Juiz de Fora</t>
  </si>
  <si>
    <t>CTD00026</t>
  </si>
  <si>
    <t>CTD00027</t>
  </si>
  <si>
    <t>Santos</t>
  </si>
  <si>
    <t>Alterdata</t>
  </si>
  <si>
    <t>CTD00028</t>
  </si>
  <si>
    <t>CTD00032</t>
  </si>
  <si>
    <t>Várzea Grande</t>
  </si>
  <si>
    <t>Churned (win-back)</t>
  </si>
  <si>
    <t>CTD00033</t>
  </si>
  <si>
    <t>Curitiba</t>
  </si>
  <si>
    <t>CTD00034</t>
  </si>
  <si>
    <t>Manaus</t>
  </si>
  <si>
    <t>CTD00035</t>
  </si>
  <si>
    <t>Uberlândia</t>
  </si>
  <si>
    <t>CTD00036</t>
  </si>
  <si>
    <t>Florianópolis</t>
  </si>
  <si>
    <t>CTD00039</t>
  </si>
  <si>
    <t>Feira de Santana</t>
  </si>
  <si>
    <t>CTD00040</t>
  </si>
  <si>
    <t>CTD00041</t>
  </si>
  <si>
    <t>CTD00044</t>
  </si>
  <si>
    <t>Rio de Janeiro</t>
  </si>
  <si>
    <t>CTD00045</t>
  </si>
  <si>
    <t>CTD00049</t>
  </si>
  <si>
    <t>Porto Alegre</t>
  </si>
  <si>
    <t>CTD00051</t>
  </si>
  <si>
    <t>Belo Horizonte</t>
  </si>
  <si>
    <t>CTD00052</t>
  </si>
  <si>
    <t>CTD00053</t>
  </si>
  <si>
    <t>Niterói</t>
  </si>
  <si>
    <t>CTD00057</t>
  </si>
  <si>
    <t>Sorocaba</t>
  </si>
  <si>
    <t>CTD00059</t>
  </si>
  <si>
    <t>CTD00060</t>
  </si>
  <si>
    <t>CTD00064</t>
  </si>
  <si>
    <t>CTD00065</t>
  </si>
  <si>
    <t>CTD00067</t>
  </si>
  <si>
    <t>CTD00068</t>
  </si>
  <si>
    <t>CTD00072</t>
  </si>
  <si>
    <t>Imperatriz</t>
  </si>
  <si>
    <t>CTD00073</t>
  </si>
  <si>
    <t>Olinda</t>
  </si>
  <si>
    <t>CTD00074</t>
  </si>
  <si>
    <t>Reunião Agendada</t>
  </si>
  <si>
    <t>CTD00076</t>
  </si>
  <si>
    <t>CTD00077</t>
  </si>
  <si>
    <t>Caucaia</t>
  </si>
  <si>
    <t>CTD00078</t>
  </si>
  <si>
    <t>Vitória</t>
  </si>
  <si>
    <t>CTD00082</t>
  </si>
  <si>
    <t>CTD00084</t>
  </si>
  <si>
    <t>Recife</t>
  </si>
  <si>
    <t>CTD00085</t>
  </si>
  <si>
    <t>CTD00086</t>
  </si>
  <si>
    <t>CTD00087</t>
  </si>
  <si>
    <t>Ji-Paraná</t>
  </si>
  <si>
    <t>CTD00089</t>
  </si>
  <si>
    <t>CTD00094</t>
  </si>
  <si>
    <t>CTD00096</t>
  </si>
  <si>
    <t>CTD00097</t>
  </si>
  <si>
    <t>Porto Velho</t>
  </si>
  <si>
    <t>CTD00098</t>
  </si>
  <si>
    <t>Londrina</t>
  </si>
  <si>
    <t>CTD00099</t>
  </si>
  <si>
    <t>CTD00100</t>
  </si>
  <si>
    <t>CTD00101</t>
  </si>
  <si>
    <t>CTD00102</t>
  </si>
  <si>
    <t>CTD00103</t>
  </si>
  <si>
    <t>Goiânia</t>
  </si>
  <si>
    <t>CTD00105</t>
  </si>
  <si>
    <t>CTD00106</t>
  </si>
  <si>
    <t>Pelotas</t>
  </si>
  <si>
    <t>CTD00109</t>
  </si>
  <si>
    <t>CTD00111</t>
  </si>
  <si>
    <t>CTD00113</t>
  </si>
  <si>
    <t>Maringá</t>
  </si>
  <si>
    <t>CTD00122</t>
  </si>
  <si>
    <t>CTD00124</t>
  </si>
  <si>
    <t>Foz do Iguaçu</t>
  </si>
  <si>
    <t>CTD00126</t>
  </si>
  <si>
    <t>CTD00127</t>
  </si>
  <si>
    <t>CTD00130</t>
  </si>
  <si>
    <t>Salvador</t>
  </si>
  <si>
    <t>CTD00134</t>
  </si>
  <si>
    <t>CTD00137</t>
  </si>
  <si>
    <t>CTD00139</t>
  </si>
  <si>
    <t>Dourados</t>
  </si>
  <si>
    <t>CTD00140</t>
  </si>
  <si>
    <t>CTD00141</t>
  </si>
  <si>
    <t>Vila Velha</t>
  </si>
  <si>
    <t>CTD00142</t>
  </si>
  <si>
    <t>CTD00143</t>
  </si>
  <si>
    <t>CTD00144</t>
  </si>
  <si>
    <t>Caruaru</t>
  </si>
  <si>
    <t>CTD00145</t>
  </si>
  <si>
    <t>CTD00148</t>
  </si>
  <si>
    <t>CTD00149</t>
  </si>
  <si>
    <t>CTD00150</t>
  </si>
  <si>
    <t>CTD00151</t>
  </si>
  <si>
    <t>CTD00153</t>
  </si>
  <si>
    <t>CTD00156</t>
  </si>
  <si>
    <t>CTD00157</t>
  </si>
  <si>
    <t>CTD00158</t>
  </si>
  <si>
    <t>CTD00165</t>
  </si>
  <si>
    <t>CTD00166</t>
  </si>
  <si>
    <t>CTD00167</t>
  </si>
  <si>
    <t>CTD00170</t>
  </si>
  <si>
    <t>CTD00171</t>
  </si>
  <si>
    <t>CTD00172</t>
  </si>
  <si>
    <t>Joinville</t>
  </si>
  <si>
    <t>CTD00174</t>
  </si>
  <si>
    <t>Brasília</t>
  </si>
  <si>
    <t>CTD00175</t>
  </si>
  <si>
    <t>CTD00177</t>
  </si>
  <si>
    <t>CTD00179</t>
  </si>
  <si>
    <t>CTD00180</t>
  </si>
  <si>
    <t>CTD00181</t>
  </si>
  <si>
    <t>CTD00183</t>
  </si>
  <si>
    <t>Ananindeua</t>
  </si>
  <si>
    <t>CTD00186</t>
  </si>
  <si>
    <t>CTD00187</t>
  </si>
  <si>
    <t>CTD00188</t>
  </si>
  <si>
    <t>CTD00189</t>
  </si>
  <si>
    <t>CTD00192</t>
  </si>
  <si>
    <t>CTD00194</t>
  </si>
  <si>
    <t>CTD00195</t>
  </si>
  <si>
    <t>CTD00196</t>
  </si>
  <si>
    <t>CTD00197</t>
  </si>
  <si>
    <t>CTD00198</t>
  </si>
  <si>
    <t>CTD00199</t>
  </si>
  <si>
    <t>CTD00200</t>
  </si>
  <si>
    <t>Vitória da Conquista</t>
  </si>
  <si>
    <t>CTD00205</t>
  </si>
  <si>
    <t>CTD00206</t>
  </si>
  <si>
    <t>CTD00207</t>
  </si>
  <si>
    <t>CTD00208</t>
  </si>
  <si>
    <t>CTD00209</t>
  </si>
  <si>
    <t>CTD00213</t>
  </si>
  <si>
    <t>Serra</t>
  </si>
  <si>
    <t>CTD00215</t>
  </si>
  <si>
    <t>São Luís</t>
  </si>
  <si>
    <t>CTD00216</t>
  </si>
  <si>
    <t>CTD00220</t>
  </si>
  <si>
    <t>CTD00221</t>
  </si>
  <si>
    <t>CTD00227</t>
  </si>
  <si>
    <t>CTD00228</t>
  </si>
  <si>
    <t>CTD00229</t>
  </si>
  <si>
    <t>CTD00231</t>
  </si>
  <si>
    <t>CTD00232</t>
  </si>
  <si>
    <t>CTD00233</t>
  </si>
  <si>
    <t>CTD00234</t>
  </si>
  <si>
    <t>CTD00236</t>
  </si>
  <si>
    <t>CTD00239</t>
  </si>
  <si>
    <t>CTD00240</t>
  </si>
  <si>
    <t>CTD00244</t>
  </si>
  <si>
    <t>Fortaleza</t>
  </si>
  <si>
    <t>CTD00247</t>
  </si>
  <si>
    <t>CTD00250</t>
  </si>
  <si>
    <t>CTD00251</t>
  </si>
  <si>
    <t>CTD00252</t>
  </si>
  <si>
    <t>CTD00253</t>
  </si>
  <si>
    <t>CTD00254</t>
  </si>
  <si>
    <t>CTD00256</t>
  </si>
  <si>
    <t>CTD00261</t>
  </si>
  <si>
    <t>CTD00262</t>
  </si>
  <si>
    <t>CTD00263</t>
  </si>
  <si>
    <t>CTD00266</t>
  </si>
  <si>
    <t>CTD00268</t>
  </si>
  <si>
    <t>Belém</t>
  </si>
  <si>
    <t>CTD00274</t>
  </si>
  <si>
    <t>CTD00276</t>
  </si>
  <si>
    <t>CTD00277</t>
  </si>
  <si>
    <t>CTD00279</t>
  </si>
  <si>
    <t>CTD00282</t>
  </si>
  <si>
    <t>CTD00283</t>
  </si>
  <si>
    <t>CTD00284</t>
  </si>
  <si>
    <t>CTD00289</t>
  </si>
  <si>
    <t>CTD00290</t>
  </si>
  <si>
    <t>CTD00292</t>
  </si>
  <si>
    <t>CTD00294</t>
  </si>
  <si>
    <t>CTD00297</t>
  </si>
  <si>
    <t>CTD00301</t>
  </si>
  <si>
    <t>CTD00303</t>
  </si>
  <si>
    <t>CTD00304</t>
  </si>
  <si>
    <t>CTD00307</t>
  </si>
  <si>
    <t>CTD00308</t>
  </si>
  <si>
    <t>CTD00310</t>
  </si>
  <si>
    <t>CTD00311</t>
  </si>
  <si>
    <t>CTD00312</t>
  </si>
  <si>
    <t>CTD00313</t>
  </si>
  <si>
    <t>CTD00315</t>
  </si>
  <si>
    <t>CTD00316</t>
  </si>
  <si>
    <t>CTD00317</t>
  </si>
  <si>
    <t>CTD00318</t>
  </si>
  <si>
    <t>CTD00323</t>
  </si>
  <si>
    <t>CTD00325</t>
  </si>
  <si>
    <t>CTD00327</t>
  </si>
  <si>
    <t>CTD00329</t>
  </si>
  <si>
    <t>CTD00330</t>
  </si>
  <si>
    <t>CTD00331</t>
  </si>
  <si>
    <t>CTD00333</t>
  </si>
  <si>
    <t>CTD00336</t>
  </si>
  <si>
    <t>CTD00337</t>
  </si>
  <si>
    <t>CTD00338</t>
  </si>
  <si>
    <t>CTD00340</t>
  </si>
  <si>
    <t>CTD00341</t>
  </si>
  <si>
    <t>CTD00345</t>
  </si>
  <si>
    <t>CTD00346</t>
  </si>
  <si>
    <t>CTD00348</t>
  </si>
  <si>
    <t>CTD00352</t>
  </si>
  <si>
    <t>CTD00353</t>
  </si>
  <si>
    <t>CTD00354</t>
  </si>
  <si>
    <t>CTD00357</t>
  </si>
  <si>
    <t>Parintins</t>
  </si>
  <si>
    <t>CTD00358</t>
  </si>
  <si>
    <t>CTD00361</t>
  </si>
  <si>
    <t>CTD00362</t>
  </si>
  <si>
    <t>CTD00363</t>
  </si>
  <si>
    <t>Caxias do Sul</t>
  </si>
  <si>
    <t>CTD00369</t>
  </si>
  <si>
    <t>CTD00374</t>
  </si>
  <si>
    <t>CTD00375</t>
  </si>
  <si>
    <t>CTD00379</t>
  </si>
  <si>
    <t>CTD00380</t>
  </si>
  <si>
    <t>CTD00381</t>
  </si>
  <si>
    <t>CTD00382</t>
  </si>
  <si>
    <t>CTD00383</t>
  </si>
  <si>
    <t>CTD00384</t>
  </si>
  <si>
    <t>CTD00385</t>
  </si>
  <si>
    <t>CTD00386</t>
  </si>
  <si>
    <t>CTD00389</t>
  </si>
  <si>
    <t>CTD00391</t>
  </si>
  <si>
    <t>CTD00393</t>
  </si>
  <si>
    <t>CTD00395</t>
  </si>
  <si>
    <t>CTD00400</t>
  </si>
  <si>
    <t>CTD00401</t>
  </si>
  <si>
    <t>CTD00403</t>
  </si>
  <si>
    <t>CTD00404</t>
  </si>
  <si>
    <t>CTD00405</t>
  </si>
  <si>
    <t>CTD00406</t>
  </si>
  <si>
    <t>CTD00407</t>
  </si>
  <si>
    <t>CTD00408</t>
  </si>
  <si>
    <t>CTD00410</t>
  </si>
  <si>
    <t>CTD00411</t>
  </si>
  <si>
    <t>CTD00412</t>
  </si>
  <si>
    <t>CTD00413</t>
  </si>
  <si>
    <t>CTD00414</t>
  </si>
  <si>
    <t>CTD00415</t>
  </si>
  <si>
    <t>CTD00416</t>
  </si>
  <si>
    <t>CTD00417</t>
  </si>
  <si>
    <t>CTD00418</t>
  </si>
  <si>
    <t>CTD00421</t>
  </si>
  <si>
    <t>CTD00422</t>
  </si>
  <si>
    <t>CTD00425</t>
  </si>
  <si>
    <t>CTD00430</t>
  </si>
  <si>
    <t>CTD00432</t>
  </si>
  <si>
    <t>CTD00433</t>
  </si>
  <si>
    <t>CTD00435</t>
  </si>
  <si>
    <t>CTD00442</t>
  </si>
  <si>
    <t>CTD00444</t>
  </si>
  <si>
    <t>CTD00446</t>
  </si>
  <si>
    <t>CTD00447</t>
  </si>
  <si>
    <t>CTD00448</t>
  </si>
  <si>
    <t>CTD00449</t>
  </si>
  <si>
    <t>CTD00451</t>
  </si>
  <si>
    <t>CTD00454</t>
  </si>
  <si>
    <t>CTD00455</t>
  </si>
  <si>
    <t>CTD00456</t>
  </si>
  <si>
    <t>CTD00460</t>
  </si>
  <si>
    <t>CTD00463</t>
  </si>
  <si>
    <t>CTD00465</t>
  </si>
  <si>
    <t>CTD00468</t>
  </si>
  <si>
    <t>CTD00470</t>
  </si>
  <si>
    <t>CTD00474</t>
  </si>
  <si>
    <t>CTD00476</t>
  </si>
  <si>
    <t>CTD00479</t>
  </si>
  <si>
    <t>CTD00480</t>
  </si>
  <si>
    <t>CTD00483</t>
  </si>
  <si>
    <t>CTD00485</t>
  </si>
  <si>
    <t>CTD00487</t>
  </si>
  <si>
    <t>CTD00491</t>
  </si>
  <si>
    <t>CTD00492</t>
  </si>
  <si>
    <t>CTD00494</t>
  </si>
  <si>
    <t>CTD00497</t>
  </si>
  <si>
    <t>CTD00501</t>
  </si>
  <si>
    <t>CTD00502</t>
  </si>
  <si>
    <t>CTD00504</t>
  </si>
  <si>
    <t>CTD00508</t>
  </si>
  <si>
    <t>CTD00511</t>
  </si>
  <si>
    <t>CTD00512</t>
  </si>
  <si>
    <t>CTD00515</t>
  </si>
  <si>
    <t>CTD00517</t>
  </si>
  <si>
    <t>CTD00519</t>
  </si>
  <si>
    <t>CTD00520</t>
  </si>
  <si>
    <t>CTD00526</t>
  </si>
  <si>
    <t>Campo Grande</t>
  </si>
  <si>
    <t>CTD00527</t>
  </si>
  <si>
    <t>CTD00528</t>
  </si>
  <si>
    <t>CTD00529</t>
  </si>
  <si>
    <t>CTD00533</t>
  </si>
  <si>
    <t>CTD00537</t>
  </si>
  <si>
    <t>CTD00538</t>
  </si>
  <si>
    <t>CTD00540</t>
  </si>
  <si>
    <t>CTD00541</t>
  </si>
  <si>
    <t>CTD00542</t>
  </si>
  <si>
    <t>CTD00545</t>
  </si>
  <si>
    <t>CTD00551</t>
  </si>
  <si>
    <t>CTD00552</t>
  </si>
  <si>
    <t>CTD00556</t>
  </si>
  <si>
    <t>CTD00557</t>
  </si>
  <si>
    <t>CTD00558</t>
  </si>
  <si>
    <t>CTD00559</t>
  </si>
  <si>
    <t>CTD00560</t>
  </si>
  <si>
    <t>CTD00562</t>
  </si>
  <si>
    <t>CTD00564</t>
  </si>
  <si>
    <t>CTD00568</t>
  </si>
  <si>
    <t>CTD00570</t>
  </si>
  <si>
    <t>CTD00572</t>
  </si>
  <si>
    <t>CTD00574</t>
  </si>
  <si>
    <t>CTD00575</t>
  </si>
  <si>
    <t>CTD00577</t>
  </si>
  <si>
    <t>CTD00579</t>
  </si>
  <si>
    <t>CTD00580</t>
  </si>
  <si>
    <t>CTD00584</t>
  </si>
  <si>
    <t>CTD00585</t>
  </si>
  <si>
    <t>CTD00586</t>
  </si>
  <si>
    <t>CTD00587</t>
  </si>
  <si>
    <t>CTD00590</t>
  </si>
  <si>
    <t>CTD00591</t>
  </si>
  <si>
    <t>CTD00593</t>
  </si>
  <si>
    <t>CTD00594</t>
  </si>
  <si>
    <t>CTD00595</t>
  </si>
  <si>
    <t>CTD00596</t>
  </si>
  <si>
    <t>3b — Framework de priorização: Intenção → Fit x Engajamento (1c) → Valor</t>
  </si>
  <si>
    <t>Ordem de ataque dentro de cada franquia: primeiro a onda (abaixo), depois o maior MRR esperado (ticket do porte × (1 − churn)). O Fit é a carteira, driver nº 3 do Desafio 2; entre os 303 prospects ela acompanha o score de propensão do D2 (correlação ~0,8, coluna X da Priorizacao). Lista completa e ordem na aba Priorizacao.</t>
  </si>
  <si>
    <t>Quem entra</t>
  </si>
  <si>
    <t>O que o EC faz</t>
  </si>
  <si>
    <t>Por quê</t>
  </si>
  <si>
    <t>Critério de saída</t>
  </si>
  <si>
    <t>Contadores</t>
  </si>
  <si>
    <t>1. Fechar</t>
  </si>
  <si>
    <t>Lead aberto há até 90 dias em Reunião Agendada ou Proposta Enviada — qualquer tier</t>
  </si>
  <si>
    <t>Follow-up da proposta e negociação</t>
  </si>
  <si>
    <t>É o único sinal real de compra; nenhum Ganho da base fechou depois de 89 dias</t>
  </si>
  <si>
    <t>Ganho ou Perdido com motivo</t>
  </si>
  <si>
    <t>2. Prospectar tier Alta</t>
  </si>
  <si>
    <t>Tier Alta do Desafio 1c (Fit Alto + Morno) que não está na Onda 1</t>
  </si>
  <si>
    <t>Outbound do EC: diagnóstico e reunião</t>
  </si>
  <si>
    <t>Carteira acima de 24 clientes (driver do D2, acompanha a propensão) e lead em andamento</t>
  </si>
  <si>
    <t>Reunião ou descarte</t>
  </si>
  <si>
    <t>3. Requalificar parado</t>
  </si>
  <si>
    <t>Lead aberto há mais de 90 dias (fora das ondas 1 e 2)</t>
  </si>
  <si>
    <t>Uma tentativa de requalificação; sem avanço, encerrar como Perdido</t>
  </si>
  <si>
    <t>Lead com mais de 89 dias nunca virou Ganho na base: limpar libera tempo de EC</t>
  </si>
  <si>
    <t>Lead volta a ativo ou é encerrado</t>
  </si>
  <si>
    <t>4. Nutrir</t>
  </si>
  <si>
    <t>Tier Média fora das ondas 1 a 3</t>
  </si>
  <si>
    <t>Marketing (conteúdo, eventos, inbound); EC só se o contador levantar a mão</t>
  </si>
  <si>
    <t>Fit ou engajamento parcial: ainda não justifica tempo de EC</t>
  </si>
  <si>
    <t>Pedido de contato → Onda 2</t>
  </si>
  <si>
    <t>5. Régua automatizada</t>
  </si>
  <si>
    <t>Tier Baixa fora das ondas 1 a 3</t>
  </si>
  <si>
    <t>Comunicação automatizada, sem tempo de EC</t>
  </si>
  <si>
    <t>Sem fit e sem engajamento</t>
  </si>
  <si>
    <t>Resposta → requalificar</t>
  </si>
  <si>
    <t>Carga das ondas 1-3 (as que consomem tempo de EC) vs capacidade mensal por franquia</t>
  </si>
  <si>
    <t>Capacidade (leads/mês)</t>
  </si>
  <si>
    <t>Onda 1</t>
  </si>
  <si>
    <t>Onda 2</t>
  </si>
  <si>
    <t>Onda 3</t>
  </si>
  <si>
    <t>Ondas 1-3</t>
  </si>
  <si>
    <t>% da capacidade de 1 mês</t>
  </si>
  <si>
    <t>MRR esperado ondas 1-2 (R$)</t>
  </si>
  <si>
    <t>Onda 4</t>
  </si>
  <si>
    <t>Onda 5</t>
  </si>
  <si>
    <t>• Intenção primeiro: a Onda 1 é o único grupo com sinal real de compra (lead ativo em estágio avançado).</t>
  </si>
  <si>
    <t>• O tier Alta vem em seguida, mas o perfil precisa ser validado: rodar as Ondas 1-2 como piloto com grupo de controle (Desafio 2).</t>
  </si>
  <si>
    <t>• A Onda 3 libera capacidade: limpar leads parados devolve horas de EC e torna a cobertura de pipeline confiável.</t>
  </si>
  <si>
    <t>• Contadores em estados sem franquia (MT, MA, RO, MS) ficam fora da tabela por franquia: não há EC responsável.</t>
  </si>
  <si>
    <t>• A capacidade nominal (44 ECs × 16,5 leads/mês ≈ 726 leads) supera os 303 endereçáveis da base. O que importa é a ORDEM de ataque, não a falta de capacidade.</t>
  </si>
  <si>
    <t>3c — Onde alocar 1 EC adicional?</t>
  </si>
  <si>
    <t>Critério (só dados da base): o EC vai para onde há mais fechamentos potenciais por EC = endereçáveis do território por EC × conversão lead → fechamento da própria franquia (execucao_comercial). Sensibilidade: ranking refeito só pela demanda e só pela conversão.</t>
  </si>
  <si>
    <t>Meses de operação</t>
  </si>
  <si>
    <t>Endereçáveis no território</t>
  </si>
  <si>
    <t>Endereçáveis por EC</t>
  </si>
  <si>
    <t>Conversão lead → fechamento</t>
  </si>
  <si>
    <t>Fechamentos potenciais por EC</t>
  </si>
  <si>
    <t>Ranking (fechamentos potenciais)</t>
  </si>
  <si>
    <t>Ranking (demanda por EC)</t>
  </si>
  <si>
    <t>Ranking (conversão)</t>
  </si>
  <si>
    <t>Leads trabalhados por EC-mês (carga)</t>
  </si>
  <si>
    <t>Recomendação</t>
  </si>
  <si>
    <t>Franquia recomendada (ranking 1)</t>
  </si>
  <si>
    <t>2ª opção</t>
  </si>
  <si>
    <t>Por quê (franquia recomendada)</t>
  </si>
  <si>
    <t>Sensibilidade</t>
  </si>
  <si>
    <t>Estados sem franquia</t>
  </si>
  <si>
    <t>• O gap está nas franquias pequenas (aba Gap_Meta). O EC adicional vai para onde há mais demanda por EC, um funil que já converte e ECs já carregados.</t>
  </si>
  <si>
    <t>• BA e MG são as únicas entre as 3 primeiras em demanda por EC e em conversão do funil. A BA tem mais demanda por EC, os ECs mais carregados da rede (18,7 leads trabalhados por mês, contra 16,5) e está abaixo da meta (gap de R$ 3 mil); a MG já entrega 114% da meta. A margem é pequena (0,56 contra 0,50 fechamentos potenciais por EC): a diferença vem da demanda por EC, não da conversão (4,5% × 4,7%). A SP Interior tem a maior demanda por EC, mas divide com o PA a menor conversão da rede (2,9%).</t>
  </si>
  <si>
    <t>id_executivo</t>
  </si>
  <si>
    <t>id_franquia</t>
  </si>
  <si>
    <t>estado</t>
  </si>
  <si>
    <t>mes_ref</t>
  </si>
  <si>
    <t>leads_trabalhados</t>
  </si>
  <si>
    <t>reunioes_realizadas</t>
  </si>
  <si>
    <t>propostas_enviadas</t>
  </si>
  <si>
    <t>fechamentos</t>
  </si>
  <si>
    <t>nmrr_gerado</t>
  </si>
  <si>
    <t>semestre</t>
  </si>
  <si>
    <t>ec_mes_sem_fechamento</t>
  </si>
  <si>
    <t>EXE001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</si>
  <si>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</si>
  <si>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</si>
  <si>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</si>
  <si>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</si>
  <si>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</si>
  <si>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</si>
  <si>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</si>
  <si>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</si>
  <si>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</si>
  <si>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</si>
  <si>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</si>
  <si>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</si>
  <si>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EXE002</t>
  </si>
  <si>
    <t>EXE003</t>
  </si>
  <si>
    <t>EXE004</t>
  </si>
  <si>
    <t>EXE005</t>
  </si>
  <si>
    <t>EXE006</t>
  </si>
  <si>
    <t>EXE007</t>
  </si>
  <si>
    <t>EXE008</t>
  </si>
  <si>
    <t>EXE009</t>
  </si>
  <si>
    <t>EXE010</t>
  </si>
  <si>
    <t>EXE011</t>
  </si>
  <si>
    <t>EXE012</t>
  </si>
  <si>
    <t>EXE013</t>
  </si>
  <si>
    <t>EXE014</t>
  </si>
  <si>
    <t>EXE015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</si>
</sst>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\R\$\ #,##0"/>
    <numFmt numFmtId="168" formatCode="\+0%;\-0%;0%"/>
    <numFmt numFmtId="169" formatCode="\+0.0%;\-0.0%;0.0%"/>
    <numFmt numFmtId="170" formatCode="\+0%"/>
  </numFmts>
  <fonts count="4" x14ac:knownFonts="1">
    <font>
      <sz val="11"/>
      <color theme="1"/>
      <name val="Calibri"/>
      <family val="2"/>
      <scheme val="minor"/>
    </font>
    <font>
      <b/>
      <sz val="14"/>
      <color rgb="FF1F3A5F"/>
      <name val="Calibri"/>
    </font>
    <font>
      <b/>
      <sz val="11"/>
      <color rgb="FF1F3A5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166" fontId="0" fillId="0" borderId="0" xfId="0" applyNumberFormat="1"/>
    <xf numFmtId="2" fontId="0" fillId="0" borderId="0" xfId="0" applyNumberFormat="1"/>
    <xf numFmtId="168" fontId="0" fillId="0" borderId="0" xfId="0" applyNumberFormat="1"/>
    <xf numFmtId="9" fontId="0" fillId="0" borderId="0" xfId="0" applyNumberFormat="1"/>
    <xf numFmtId="14" fontId="0" fillId="0" borderId="0" xfId="0" applyNumberFormat="1"/>
    <xf numFmtId="166" fontId="0" fillId="3" borderId="0" xfId="0" applyNumberFormat="1" applyFill="1"/>
    <xf numFmtId="1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69" fontId="0" fillId="4" borderId="0" xfId="0" applyNumberFormat="1" applyFill="1"/>
    <xf numFmtId="170" fontId="0" fillId="3" borderId="0" xfId="0" applyNumberFormat="1" applyFill="1"/>
    <xf numFmtId="9" fontId="0" fillId="3" borderId="0" xfId="0" applyNumberForma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Gap de nMRR por região (R$/mês)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Regioes!$I$3</c:f>
              <c:strCache>
                <c:ptCount val="1"/>
                <c:pt idx="0">
                  <c:v>Gap das franquias abaixo da meta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Regioes!$A$4:$A$8</c:f>
              <c:strCache>
                <c:ptCount val="5"/>
                <c:pt idx="0">
                  <c:v>Sudeste</c:v>
                </c:pt>
                <c:pt idx="1">
                  <c:v>Sul</c:v>
                </c:pt>
                <c:pt idx="2">
                  <c:v>Centro-Oeste</c:v>
                </c:pt>
                <c:pt idx="3">
                  <c:v>Nordeste</c:v>
                </c:pt>
                <c:pt idx="4">
                  <c:v>Norte</c:v>
                </c:pt>
              </c:strCache>
            </c:strRef>
          </c:cat>
          <c:val>
            <c:numRef>
              <c:f>Regioes!$I$4:$I$8</c:f>
              <c:numCache>
                <c:formatCode>\R\$\ #,##0</c:formatCode>
                <c:ptCount val="5"/>
                <c:pt idx="0">
                  <c:v>4000</c:v>
                </c:pt>
                <c:pt idx="1">
                  <c:v>1000</c:v>
                </c:pt>
                <c:pt idx="2">
                  <c:v>4000</c:v>
                </c:pt>
                <c:pt idx="3">
                  <c:v>6500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16C-8173-17F185491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" x14ac:dyDescent="0.25"/>
  <cols>
    <col min="1" max="1" width="150" customWidth="1"/>
  </cols>
  <sheetData>
    <row r="1" spans="1:1" ht="18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ht="30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3" t="s">
        <v>11</v>
      </c>
    </row>
    <row r="15" spans="1:1" ht="30" x14ac:dyDescent="0.25">
      <c r="A15" s="2" t="s">
        <v>12</v>
      </c>
    </row>
    <row r="16" spans="1:1" ht="30" x14ac:dyDescent="0.25">
      <c r="A16" s="2" t="s">
        <v>13</v>
      </c>
    </row>
    <row r="17" spans="1:1" ht="30" x14ac:dyDescent="0.25">
      <c r="A17" s="2" t="s">
        <v>14</v>
      </c>
    </row>
    <row r="18" spans="1:1" ht="30" x14ac:dyDescent="0.25">
      <c r="A18" s="2" t="s">
        <v>15</v>
      </c>
    </row>
    <row r="19" spans="1:1" x14ac:dyDescent="0.25">
      <c r="A19" s="2" t="s">
        <v>16</v>
      </c>
    </row>
    <row r="20" spans="1:1" ht="30" x14ac:dyDescent="0.25">
      <c r="A20" s="2" t="s">
        <v>17</v>
      </c>
    </row>
    <row r="21" spans="1:1" x14ac:dyDescent="0.25">
      <c r="A21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5" x14ac:dyDescent="0.25"/>
  <cols>
    <col min="1" max="1" width="52" customWidth="1"/>
    <col min="2" max="2" width="20" customWidth="1"/>
    <col min="3" max="3" width="70" customWidth="1"/>
  </cols>
  <sheetData>
    <row r="1" spans="1:3" ht="18.75" x14ac:dyDescent="0.3">
      <c r="A1" s="4" t="s">
        <v>19</v>
      </c>
    </row>
    <row r="3" spans="1:3" x14ac:dyDescent="0.25">
      <c r="A3" s="5" t="s">
        <v>20</v>
      </c>
      <c r="B3" s="5" t="s">
        <v>21</v>
      </c>
      <c r="C3" s="5" t="s">
        <v>22</v>
      </c>
    </row>
    <row r="4" spans="1:3" x14ac:dyDescent="0.25">
      <c r="A4" t="s">
        <v>23</v>
      </c>
      <c r="B4" s="6">
        <v>16.5</v>
      </c>
      <c r="C4" t="s">
        <v>24</v>
      </c>
    </row>
    <row r="5" spans="1:3" x14ac:dyDescent="0.25">
      <c r="A5" t="s">
        <v>25</v>
      </c>
      <c r="B5" s="7">
        <v>0.20549999999999999</v>
      </c>
      <c r="C5" t="s">
        <v>26</v>
      </c>
    </row>
    <row r="6" spans="1:3" x14ac:dyDescent="0.25">
      <c r="A6" t="s">
        <v>27</v>
      </c>
      <c r="B6" s="8">
        <v>90</v>
      </c>
      <c r="C6" t="s">
        <v>28</v>
      </c>
    </row>
    <row r="9" spans="1:3" x14ac:dyDescent="0.25">
      <c r="A9" s="9" t="s">
        <v>29</v>
      </c>
    </row>
    <row r="10" spans="1:3" x14ac:dyDescent="0.25">
      <c r="A10" s="5" t="s">
        <v>30</v>
      </c>
      <c r="B10" s="5" t="s">
        <v>31</v>
      </c>
      <c r="C10" s="5" t="s">
        <v>32</v>
      </c>
    </row>
    <row r="11" spans="1:3" x14ac:dyDescent="0.25">
      <c r="A11" t="s">
        <v>33</v>
      </c>
      <c r="B11" t="s">
        <v>34</v>
      </c>
      <c r="C11" t="s">
        <v>35</v>
      </c>
    </row>
    <row r="12" spans="1:3" x14ac:dyDescent="0.25">
      <c r="A12" t="s">
        <v>36</v>
      </c>
      <c r="B12" t="s">
        <v>37</v>
      </c>
      <c r="C12" t="s">
        <v>35</v>
      </c>
    </row>
    <row r="13" spans="1:3" x14ac:dyDescent="0.25">
      <c r="A13" t="s">
        <v>38</v>
      </c>
      <c r="B13" t="s">
        <v>39</v>
      </c>
      <c r="C13" t="s">
        <v>35</v>
      </c>
    </row>
    <row r="14" spans="1:3" x14ac:dyDescent="0.25">
      <c r="A14" t="s">
        <v>40</v>
      </c>
      <c r="B14" t="s">
        <v>41</v>
      </c>
      <c r="C14" t="s">
        <v>35</v>
      </c>
    </row>
    <row r="15" spans="1:3" x14ac:dyDescent="0.25">
      <c r="A15" t="s">
        <v>42</v>
      </c>
      <c r="B15" t="s">
        <v>43</v>
      </c>
      <c r="C15" t="s">
        <v>35</v>
      </c>
    </row>
    <row r="16" spans="1:3" x14ac:dyDescent="0.25">
      <c r="A16" t="s">
        <v>44</v>
      </c>
      <c r="B16" t="s">
        <v>45</v>
      </c>
      <c r="C16" t="s">
        <v>35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35</v>
      </c>
    </row>
    <row r="19" spans="1:3" x14ac:dyDescent="0.25">
      <c r="A19" t="s">
        <v>51</v>
      </c>
      <c r="B19" t="s">
        <v>47</v>
      </c>
      <c r="C19" t="s">
        <v>48</v>
      </c>
    </row>
    <row r="20" spans="1:3" x14ac:dyDescent="0.25">
      <c r="A20" t="s">
        <v>52</v>
      </c>
      <c r="B20" t="s">
        <v>47</v>
      </c>
      <c r="C20" t="s">
        <v>48</v>
      </c>
    </row>
    <row r="21" spans="1:3" x14ac:dyDescent="0.25">
      <c r="A21" t="s">
        <v>53</v>
      </c>
      <c r="B21" t="s">
        <v>54</v>
      </c>
      <c r="C21" t="s">
        <v>35</v>
      </c>
    </row>
    <row r="22" spans="1:3" x14ac:dyDescent="0.25">
      <c r="A22" t="s">
        <v>55</v>
      </c>
      <c r="B22" t="s">
        <v>56</v>
      </c>
      <c r="C22" t="s">
        <v>35</v>
      </c>
    </row>
    <row r="23" spans="1:3" x14ac:dyDescent="0.25">
      <c r="A23" t="s">
        <v>57</v>
      </c>
      <c r="B23" t="s">
        <v>58</v>
      </c>
      <c r="C23" t="s">
        <v>35</v>
      </c>
    </row>
    <row r="24" spans="1:3" x14ac:dyDescent="0.25">
      <c r="A24" t="s">
        <v>59</v>
      </c>
      <c r="B24" t="s">
        <v>60</v>
      </c>
      <c r="C24" t="s">
        <v>35</v>
      </c>
    </row>
    <row r="25" spans="1:3" x14ac:dyDescent="0.25">
      <c r="A25" t="s">
        <v>61</v>
      </c>
      <c r="B25" t="s">
        <v>47</v>
      </c>
      <c r="C25" t="s">
        <v>48</v>
      </c>
    </row>
    <row r="26" spans="1:3" x14ac:dyDescent="0.25">
      <c r="A26" t="s">
        <v>62</v>
      </c>
      <c r="B26" t="s">
        <v>63</v>
      </c>
      <c r="C26" t="s">
        <v>35</v>
      </c>
    </row>
    <row r="27" spans="1:3" x14ac:dyDescent="0.25">
      <c r="A27" t="s">
        <v>64</v>
      </c>
      <c r="B27" t="s">
        <v>65</v>
      </c>
      <c r="C27" t="s">
        <v>35</v>
      </c>
    </row>
    <row r="28" spans="1:3" x14ac:dyDescent="0.25">
      <c r="A28" t="s">
        <v>66</v>
      </c>
      <c r="B28" t="s">
        <v>67</v>
      </c>
      <c r="C28" t="s">
        <v>68</v>
      </c>
    </row>
    <row r="30" spans="1:3" x14ac:dyDescent="0.25">
      <c r="A30" s="9" t="s">
        <v>69</v>
      </c>
    </row>
    <row r="31" spans="1:3" x14ac:dyDescent="0.25">
      <c r="A31" s="5" t="s">
        <v>70</v>
      </c>
      <c r="B31" s="5" t="s">
        <v>71</v>
      </c>
    </row>
    <row r="32" spans="1:3" x14ac:dyDescent="0.25">
      <c r="A32" t="s">
        <v>72</v>
      </c>
      <c r="B32" s="10">
        <v>1121</v>
      </c>
    </row>
    <row r="33" spans="1:2" x14ac:dyDescent="0.25">
      <c r="A33" t="s">
        <v>73</v>
      </c>
      <c r="B33" s="10">
        <v>1097</v>
      </c>
    </row>
    <row r="34" spans="1:2" x14ac:dyDescent="0.25">
      <c r="A34" t="s">
        <v>74</v>
      </c>
      <c r="B34" s="10">
        <v>1052</v>
      </c>
    </row>
    <row r="35" spans="1:2" x14ac:dyDescent="0.25">
      <c r="A35" t="s">
        <v>75</v>
      </c>
      <c r="B35" s="10">
        <v>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21" customWidth="1"/>
    <col min="3" max="3" width="5" customWidth="1"/>
    <col min="4" max="4" width="12" customWidth="1"/>
    <col min="5" max="5" width="9" customWidth="1"/>
    <col min="6" max="6" width="7" customWidth="1"/>
    <col min="7" max="8" width="12" customWidth="1"/>
    <col min="9" max="9" width="11" customWidth="1"/>
    <col min="10" max="10" width="10" customWidth="1"/>
    <col min="11" max="12" width="11" customWidth="1"/>
    <col min="13" max="13" width="12" customWidth="1"/>
    <col min="14" max="14" width="7" customWidth="1"/>
    <col min="15" max="15" width="8" customWidth="1"/>
    <col min="16" max="16" width="9" customWidth="1"/>
    <col min="17" max="17" width="11" customWidth="1"/>
    <col min="18" max="19" width="10" customWidth="1"/>
    <col min="20" max="20" width="11" customWidth="1"/>
    <col min="21" max="23" width="8" customWidth="1"/>
    <col min="24" max="24" width="22" customWidth="1"/>
    <col min="25" max="26" width="11" customWidth="1"/>
    <col min="27" max="27" width="16" customWidth="1"/>
    <col min="28" max="28" width="12" customWidth="1"/>
  </cols>
  <sheetData>
    <row r="1" spans="1:28" ht="18.75" x14ac:dyDescent="0.3">
      <c r="A1" s="4" t="s">
        <v>76</v>
      </c>
    </row>
    <row r="2" spans="1:28" x14ac:dyDescent="0.25">
      <c r="A2" t="s">
        <v>77</v>
      </c>
    </row>
    <row r="4" spans="1:28" ht="48" customHeight="1" x14ac:dyDescent="0.25">
      <c r="A4" s="5" t="s">
        <v>78</v>
      </c>
      <c r="B4" s="5" t="s">
        <v>31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I4" s="5" t="s">
        <v>85</v>
      </c>
      <c r="J4" s="5" t="s">
        <v>86</v>
      </c>
      <c r="K4" s="5" t="s">
        <v>87</v>
      </c>
      <c r="L4" s="5" t="s">
        <v>88</v>
      </c>
      <c r="M4" s="5" t="s">
        <v>89</v>
      </c>
      <c r="N4" s="5" t="s">
        <v>90</v>
      </c>
      <c r="O4" s="5" t="s">
        <v>91</v>
      </c>
      <c r="P4" s="5" t="s">
        <v>92</v>
      </c>
      <c r="Q4" s="5" t="s">
        <v>93</v>
      </c>
      <c r="R4" s="5" t="s">
        <v>94</v>
      </c>
      <c r="S4" s="5" t="s">
        <v>95</v>
      </c>
      <c r="T4" s="5" t="s">
        <v>96</v>
      </c>
      <c r="U4" s="5" t="s">
        <v>97</v>
      </c>
      <c r="V4" s="5" t="s">
        <v>98</v>
      </c>
      <c r="W4" s="5" t="s">
        <v>99</v>
      </c>
      <c r="X4" s="5" t="s">
        <v>100</v>
      </c>
      <c r="Y4" s="5" t="s">
        <v>101</v>
      </c>
      <c r="Z4" s="5" t="s">
        <v>102</v>
      </c>
      <c r="AA4" s="5" t="s">
        <v>103</v>
      </c>
      <c r="AB4" s="5" t="s">
        <v>104</v>
      </c>
    </row>
    <row r="5" spans="1:28" x14ac:dyDescent="0.25">
      <c r="A5" t="s">
        <v>105</v>
      </c>
      <c r="B5" t="s">
        <v>106</v>
      </c>
      <c r="C5" t="s">
        <v>66</v>
      </c>
      <c r="D5" t="s">
        <v>107</v>
      </c>
      <c r="E5">
        <v>18</v>
      </c>
      <c r="F5">
        <v>6</v>
      </c>
      <c r="G5" s="10">
        <v>45000</v>
      </c>
      <c r="H5" s="10">
        <v>52000</v>
      </c>
      <c r="I5" s="7">
        <f t="shared" ref="I5:I20" si="0">H5/G5</f>
        <v>1.1555555555555554</v>
      </c>
      <c r="J5" s="10">
        <f t="shared" ref="J5:J19" si="1">MAX(0,G5-H5)</f>
        <v>0</v>
      </c>
      <c r="K5" s="10">
        <f t="shared" ref="K5:K20" si="2">G5/F5</f>
        <v>7500</v>
      </c>
      <c r="L5" s="10">
        <f t="shared" ref="L5:L20" si="3">H5/F5</f>
        <v>8666.6666666666661</v>
      </c>
      <c r="M5" s="11">
        <f t="shared" ref="M5:M19" si="4">L5/L$20</f>
        <v>1.2753623188405796</v>
      </c>
      <c r="N5">
        <f>SUMIFS(Execucao!$E$2:$E$529,Execucao!$B$2:$B$529,A5)</f>
        <v>1142</v>
      </c>
      <c r="O5">
        <f>SUMIFS(Execucao!$F$2:$F$529,Execucao!$B$2:$B$529,A5)</f>
        <v>488</v>
      </c>
      <c r="P5">
        <f>SUMIFS(Execucao!$G$2:$G$529,Execucao!$B$2:$B$529,A5)</f>
        <v>243</v>
      </c>
      <c r="Q5">
        <f>SUMIFS(Execucao!$H$2:$H$529,Execucao!$B$2:$B$529,A5)</f>
        <v>44</v>
      </c>
      <c r="R5" s="7">
        <f t="shared" ref="R5:R19" si="5">O5/N5</f>
        <v>0.42732049036777581</v>
      </c>
      <c r="S5" s="7">
        <f t="shared" ref="S5:S19" si="6">P5/O5</f>
        <v>0.49795081967213117</v>
      </c>
      <c r="T5" s="7">
        <f t="shared" ref="T5:T19" si="7">Q5/P5</f>
        <v>0.18106995884773663</v>
      </c>
      <c r="U5" s="11">
        <f t="shared" ref="U5:U19" si="8">R5/R$21</f>
        <v>1.0277193656923644</v>
      </c>
      <c r="V5" s="11">
        <f t="shared" ref="V5:V19" si="9">S5/S$21</f>
        <v>1.0022749664741784</v>
      </c>
      <c r="W5" s="11">
        <f t="shared" ref="W5:W19" si="10">T5/T$21</f>
        <v>0.94041247413116402</v>
      </c>
      <c r="X5" t="str">
        <f t="shared" ref="X5:X19" si="11">IF(U5=MIN(U5:W5),"Lead→Reunião",IF(V5=MIN(U5:W5),"Reunião→Proposta","Proposta→Fechamento"))</f>
        <v>Proposta→Fechamento</v>
      </c>
      <c r="Y5" s="12">
        <f>SUMIFS(Execucao!$I$2:$I$529,Execucao!$B$2:$B$529,A5,Execucao!$J$2:$J$529,"H2")/SUMIFS(Execucao!$I$2:$I$529,Execucao!$B$2:$B$529,A5,Execucao!$J$2:$J$529,"H1")-1</f>
        <v>1.8257434112663784E-2</v>
      </c>
      <c r="Z5" s="13">
        <f>AVERAGEIFS(Execucao!$K$2:$K$529,Execucao!$B$2:$B$529,A5)</f>
        <v>0.4861111111111111</v>
      </c>
      <c r="AA5" t="str">
        <f t="shared" ref="AA5:AA19" si="12">IF(I5&gt;=1,"Na meta","Abaixo da meta")</f>
        <v>Na meta</v>
      </c>
      <c r="AB5" s="14">
        <v>44772</v>
      </c>
    </row>
    <row r="6" spans="1:28" x14ac:dyDescent="0.25">
      <c r="A6" t="s">
        <v>108</v>
      </c>
      <c r="B6" t="s">
        <v>109</v>
      </c>
      <c r="C6" t="s">
        <v>66</v>
      </c>
      <c r="D6" t="s">
        <v>107</v>
      </c>
      <c r="E6">
        <v>12</v>
      </c>
      <c r="F6">
        <v>4</v>
      </c>
      <c r="G6" s="10">
        <v>28000</v>
      </c>
      <c r="H6" s="10">
        <v>31000</v>
      </c>
      <c r="I6" s="7">
        <f t="shared" si="0"/>
        <v>1.1071428571428572</v>
      </c>
      <c r="J6" s="10">
        <f t="shared" si="1"/>
        <v>0</v>
      </c>
      <c r="K6" s="10">
        <f t="shared" si="2"/>
        <v>7000</v>
      </c>
      <c r="L6" s="10">
        <f t="shared" si="3"/>
        <v>7750</v>
      </c>
      <c r="M6" s="11">
        <f t="shared" si="4"/>
        <v>1.1404682274247493</v>
      </c>
      <c r="N6">
        <f>SUMIFS(Execucao!$E$2:$E$529,Execucao!$B$2:$B$529,A6)</f>
        <v>789</v>
      </c>
      <c r="O6">
        <f>SUMIFS(Execucao!$F$2:$F$529,Execucao!$B$2:$B$529,A6)</f>
        <v>312</v>
      </c>
      <c r="P6">
        <f>SUMIFS(Execucao!$G$2:$G$529,Execucao!$B$2:$B$529,A6)</f>
        <v>149</v>
      </c>
      <c r="Q6">
        <f>SUMIFS(Execucao!$H$2:$H$529,Execucao!$B$2:$B$529,A6)</f>
        <v>23</v>
      </c>
      <c r="R6" s="7">
        <f t="shared" si="5"/>
        <v>0.39543726235741444</v>
      </c>
      <c r="S6" s="7">
        <f t="shared" si="6"/>
        <v>0.47756410256410259</v>
      </c>
      <c r="T6" s="7">
        <f t="shared" si="7"/>
        <v>0.15436241610738255</v>
      </c>
      <c r="U6" s="11">
        <f t="shared" si="8"/>
        <v>0.95103918862237991</v>
      </c>
      <c r="V6" s="11">
        <f t="shared" si="9"/>
        <v>0.96124060043091775</v>
      </c>
      <c r="W6" s="11">
        <f t="shared" si="10"/>
        <v>0.80170306862707064</v>
      </c>
      <c r="X6" t="str">
        <f t="shared" si="11"/>
        <v>Proposta→Fechamento</v>
      </c>
      <c r="Y6" s="12">
        <f>SUMIFS(Execucao!$I$2:$I$529,Execucao!$B$2:$B$529,A6,Execucao!$J$2:$J$529,"H2")/SUMIFS(Execucao!$I$2:$I$529,Execucao!$B$2:$B$529,A6,Execucao!$J$2:$J$529,"H1")-1</f>
        <v>-0.23654879925832395</v>
      </c>
      <c r="Z6" s="13">
        <f>AVERAGEIFS(Execucao!$K$2:$K$529,Execucao!$B$2:$B$529,A6)</f>
        <v>0.625</v>
      </c>
      <c r="AA6" t="str">
        <f t="shared" si="12"/>
        <v>Na meta</v>
      </c>
      <c r="AB6" s="14">
        <v>44906</v>
      </c>
    </row>
    <row r="7" spans="1:28" x14ac:dyDescent="0.25">
      <c r="A7" t="s">
        <v>60</v>
      </c>
      <c r="B7" t="s">
        <v>110</v>
      </c>
      <c r="C7" t="s">
        <v>59</v>
      </c>
      <c r="D7" t="s">
        <v>107</v>
      </c>
      <c r="E7">
        <v>14</v>
      </c>
      <c r="F7">
        <v>5</v>
      </c>
      <c r="G7" s="10">
        <v>32000</v>
      </c>
      <c r="H7" s="10">
        <v>28000</v>
      </c>
      <c r="I7" s="7">
        <f t="shared" si="0"/>
        <v>0.875</v>
      </c>
      <c r="J7" s="10">
        <f t="shared" si="1"/>
        <v>4000</v>
      </c>
      <c r="K7" s="10">
        <f t="shared" si="2"/>
        <v>6400</v>
      </c>
      <c r="L7" s="10">
        <f t="shared" si="3"/>
        <v>5600</v>
      </c>
      <c r="M7" s="11">
        <f t="shared" si="4"/>
        <v>0.82408026755852848</v>
      </c>
      <c r="N7">
        <f>SUMIFS(Execucao!$E$2:$E$529,Execucao!$B$2:$B$529,A7)</f>
        <v>992</v>
      </c>
      <c r="O7">
        <f>SUMIFS(Execucao!$F$2:$F$529,Execucao!$B$2:$B$529,A7)</f>
        <v>417</v>
      </c>
      <c r="P7">
        <f>SUMIFS(Execucao!$G$2:$G$529,Execucao!$B$2:$B$529,A7)</f>
        <v>205</v>
      </c>
      <c r="Q7">
        <f>SUMIFS(Execucao!$H$2:$H$529,Execucao!$B$2:$B$529,A7)</f>
        <v>40</v>
      </c>
      <c r="R7" s="7">
        <f t="shared" si="5"/>
        <v>0.42036290322580644</v>
      </c>
      <c r="S7" s="7">
        <f t="shared" si="6"/>
        <v>0.49160671462829736</v>
      </c>
      <c r="T7" s="7">
        <f t="shared" si="7"/>
        <v>0.1951219512195122</v>
      </c>
      <c r="U7" s="11">
        <f t="shared" si="8"/>
        <v>1.0109861474042827</v>
      </c>
      <c r="V7" s="11">
        <f t="shared" si="9"/>
        <v>0.98950555749056857</v>
      </c>
      <c r="W7" s="11">
        <f t="shared" si="10"/>
        <v>1.0133934865360215</v>
      </c>
      <c r="X7" t="str">
        <f t="shared" si="11"/>
        <v>Reunião→Proposta</v>
      </c>
      <c r="Y7" s="12">
        <f>SUMIFS(Execucao!$I$2:$I$529,Execucao!$B$2:$B$529,A7,Execucao!$J$2:$J$529,"H2")/SUMIFS(Execucao!$I$2:$I$529,Execucao!$B$2:$B$529,A7,Execucao!$J$2:$J$529,"H1")-1</f>
        <v>0.5616507962426629</v>
      </c>
      <c r="Z7" s="13">
        <f>AVERAGEIFS(Execucao!$K$2:$K$529,Execucao!$B$2:$B$529,A7)</f>
        <v>0.45</v>
      </c>
      <c r="AA7" t="str">
        <f t="shared" si="12"/>
        <v>Abaixo da meta</v>
      </c>
      <c r="AB7" s="14">
        <v>45070</v>
      </c>
    </row>
    <row r="8" spans="1:28" x14ac:dyDescent="0.25">
      <c r="A8" t="s">
        <v>50</v>
      </c>
      <c r="B8" t="s">
        <v>111</v>
      </c>
      <c r="C8" t="s">
        <v>49</v>
      </c>
      <c r="D8" t="s">
        <v>107</v>
      </c>
      <c r="E8">
        <v>10</v>
      </c>
      <c r="F8">
        <v>3</v>
      </c>
      <c r="G8" s="10">
        <v>22000</v>
      </c>
      <c r="H8" s="10">
        <v>25000</v>
      </c>
      <c r="I8" s="7">
        <f t="shared" si="0"/>
        <v>1.1363636363636365</v>
      </c>
      <c r="J8" s="10">
        <f t="shared" si="1"/>
        <v>0</v>
      </c>
      <c r="K8" s="10">
        <f t="shared" si="2"/>
        <v>7333.333333333333</v>
      </c>
      <c r="L8" s="10">
        <f t="shared" si="3"/>
        <v>8333.3333333333339</v>
      </c>
      <c r="M8" s="11">
        <f t="shared" si="4"/>
        <v>1.2263099219620961</v>
      </c>
      <c r="N8">
        <f>SUMIFS(Execucao!$E$2:$E$529,Execucao!$B$2:$B$529,A8)</f>
        <v>593</v>
      </c>
      <c r="O8">
        <f>SUMIFS(Execucao!$F$2:$F$529,Execucao!$B$2:$B$529,A8)</f>
        <v>245</v>
      </c>
      <c r="P8">
        <f>SUMIFS(Execucao!$G$2:$G$529,Execucao!$B$2:$B$529,A8)</f>
        <v>127</v>
      </c>
      <c r="Q8">
        <f>SUMIFS(Execucao!$H$2:$H$529,Execucao!$B$2:$B$529,A8)</f>
        <v>28</v>
      </c>
      <c r="R8" s="7">
        <f t="shared" si="5"/>
        <v>0.41315345699831368</v>
      </c>
      <c r="S8" s="7">
        <f t="shared" si="6"/>
        <v>0.51836734693877551</v>
      </c>
      <c r="T8" s="7">
        <f t="shared" si="7"/>
        <v>0.22047244094488189</v>
      </c>
      <c r="U8" s="11">
        <f t="shared" si="8"/>
        <v>0.99364720000783269</v>
      </c>
      <c r="V8" s="11">
        <f t="shared" si="9"/>
        <v>1.0433693343781587</v>
      </c>
      <c r="W8" s="11">
        <f t="shared" si="10"/>
        <v>1.1450548450229849</v>
      </c>
      <c r="X8" t="str">
        <f t="shared" si="11"/>
        <v>Lead→Reunião</v>
      </c>
      <c r="Y8" s="12">
        <f>SUMIFS(Execucao!$I$2:$I$529,Execucao!$B$2:$B$529,A8,Execucao!$J$2:$J$529,"H2")/SUMIFS(Execucao!$I$2:$I$529,Execucao!$B$2:$B$529,A8,Execucao!$J$2:$J$529,"H1")-1</f>
        <v>-0.33668796354213204</v>
      </c>
      <c r="Z8" s="13">
        <f>AVERAGEIFS(Execucao!$K$2:$K$529,Execucao!$B$2:$B$529,A8)</f>
        <v>0.41666666666666669</v>
      </c>
      <c r="AA8" t="str">
        <f t="shared" si="12"/>
        <v>Na meta</v>
      </c>
      <c r="AB8" s="14">
        <v>45076</v>
      </c>
    </row>
    <row r="9" spans="1:28" x14ac:dyDescent="0.25">
      <c r="A9" t="s">
        <v>58</v>
      </c>
      <c r="B9" t="s">
        <v>112</v>
      </c>
      <c r="C9" t="s">
        <v>57</v>
      </c>
      <c r="D9" t="s">
        <v>113</v>
      </c>
      <c r="E9">
        <v>16</v>
      </c>
      <c r="F9">
        <v>5</v>
      </c>
      <c r="G9" s="10">
        <v>30000</v>
      </c>
      <c r="H9" s="10">
        <v>34000</v>
      </c>
      <c r="I9" s="7">
        <f t="shared" si="0"/>
        <v>1.1333333333333333</v>
      </c>
      <c r="J9" s="10">
        <f t="shared" si="1"/>
        <v>0</v>
      </c>
      <c r="K9" s="10">
        <f t="shared" si="2"/>
        <v>6000</v>
      </c>
      <c r="L9" s="10">
        <f t="shared" si="3"/>
        <v>6800</v>
      </c>
      <c r="M9" s="11">
        <f t="shared" si="4"/>
        <v>1.0006688963210704</v>
      </c>
      <c r="N9">
        <f>SUMIFS(Execucao!$E$2:$E$529,Execucao!$B$2:$B$529,A9)</f>
        <v>981</v>
      </c>
      <c r="O9">
        <f>SUMIFS(Execucao!$F$2:$F$529,Execucao!$B$2:$B$529,A9)</f>
        <v>397</v>
      </c>
      <c r="P9">
        <f>SUMIFS(Execucao!$G$2:$G$529,Execucao!$B$2:$B$529,A9)</f>
        <v>196</v>
      </c>
      <c r="Q9">
        <f>SUMIFS(Execucao!$H$2:$H$529,Execucao!$B$2:$B$529,A9)</f>
        <v>35</v>
      </c>
      <c r="R9" s="7">
        <f t="shared" si="5"/>
        <v>0.40468909276248727</v>
      </c>
      <c r="S9" s="7">
        <f t="shared" si="6"/>
        <v>0.49370277078085645</v>
      </c>
      <c r="T9" s="7">
        <f t="shared" si="7"/>
        <v>0.17857142857142858</v>
      </c>
      <c r="U9" s="11">
        <f t="shared" si="8"/>
        <v>0.97329013490209482</v>
      </c>
      <c r="V9" s="11">
        <f t="shared" si="9"/>
        <v>0.99372449744816793</v>
      </c>
      <c r="W9" s="11">
        <f t="shared" si="10"/>
        <v>0.92743600330305531</v>
      </c>
      <c r="X9" t="str">
        <f t="shared" si="11"/>
        <v>Proposta→Fechamento</v>
      </c>
      <c r="Y9" s="12">
        <f>SUMIFS(Execucao!$I$2:$I$529,Execucao!$B$2:$B$529,A9,Execucao!$J$2:$J$529,"H2")/SUMIFS(Execucao!$I$2:$I$529,Execucao!$B$2:$B$529,A9,Execucao!$J$2:$J$529,"H1")-1</f>
        <v>-2.6755944622052219E-3</v>
      </c>
      <c r="Z9" s="13">
        <f>AVERAGEIFS(Execucao!$K$2:$K$529,Execucao!$B$2:$B$529,A9)</f>
        <v>0.56666666666666665</v>
      </c>
      <c r="AA9" t="str">
        <f t="shared" si="12"/>
        <v>Na meta</v>
      </c>
      <c r="AB9" s="14">
        <v>45392</v>
      </c>
    </row>
    <row r="10" spans="1:28" x14ac:dyDescent="0.25">
      <c r="A10" t="s">
        <v>65</v>
      </c>
      <c r="B10" t="s">
        <v>114</v>
      </c>
      <c r="C10" t="s">
        <v>64</v>
      </c>
      <c r="D10" t="s">
        <v>113</v>
      </c>
      <c r="E10">
        <v>8</v>
      </c>
      <c r="F10">
        <v>3</v>
      </c>
      <c r="G10" s="10">
        <v>18000</v>
      </c>
      <c r="H10" s="10">
        <v>21000</v>
      </c>
      <c r="I10" s="7">
        <f t="shared" si="0"/>
        <v>1.1666666666666667</v>
      </c>
      <c r="J10" s="10">
        <f t="shared" si="1"/>
        <v>0</v>
      </c>
      <c r="K10" s="10">
        <f t="shared" si="2"/>
        <v>6000</v>
      </c>
      <c r="L10" s="10">
        <f t="shared" si="3"/>
        <v>7000</v>
      </c>
      <c r="M10" s="11">
        <f t="shared" si="4"/>
        <v>1.0301003344481605</v>
      </c>
      <c r="N10">
        <f>SUMIFS(Execucao!$E$2:$E$529,Execucao!$B$2:$B$529,A10)</f>
        <v>576</v>
      </c>
      <c r="O10">
        <f>SUMIFS(Execucao!$F$2:$F$529,Execucao!$B$2:$B$529,A10)</f>
        <v>247</v>
      </c>
      <c r="P10">
        <f>SUMIFS(Execucao!$G$2:$G$529,Execucao!$B$2:$B$529,A10)</f>
        <v>119</v>
      </c>
      <c r="Q10">
        <f>SUMIFS(Execucao!$H$2:$H$529,Execucao!$B$2:$B$529,A10)</f>
        <v>24</v>
      </c>
      <c r="R10" s="7">
        <f t="shared" si="5"/>
        <v>0.42881944444444442</v>
      </c>
      <c r="S10" s="7">
        <f t="shared" si="6"/>
        <v>0.48178137651821862</v>
      </c>
      <c r="T10" s="7">
        <f t="shared" si="7"/>
        <v>0.20168067226890757</v>
      </c>
      <c r="U10" s="11">
        <f t="shared" si="8"/>
        <v>1.0313243979049549</v>
      </c>
      <c r="V10" s="11">
        <f t="shared" si="9"/>
        <v>0.96972912569081626</v>
      </c>
      <c r="W10" s="11">
        <f t="shared" si="10"/>
        <v>1.0474571331422742</v>
      </c>
      <c r="X10" t="str">
        <f t="shared" si="11"/>
        <v>Reunião→Proposta</v>
      </c>
      <c r="Y10" s="12">
        <f>SUMIFS(Execucao!$I$2:$I$529,Execucao!$B$2:$B$529,A10,Execucao!$J$2:$J$529,"H2")/SUMIFS(Execucao!$I$2:$I$529,Execucao!$B$2:$B$529,A10,Execucao!$J$2:$J$529,"H1")-1</f>
        <v>-0.23386118046317617</v>
      </c>
      <c r="Z10" s="13">
        <f>AVERAGEIFS(Execucao!$K$2:$K$529,Execucao!$B$2:$B$529,A10)</f>
        <v>0.47222222222222221</v>
      </c>
      <c r="AA10" t="str">
        <f t="shared" si="12"/>
        <v>Na meta</v>
      </c>
      <c r="AB10" s="14">
        <v>45345</v>
      </c>
    </row>
    <row r="11" spans="1:28" x14ac:dyDescent="0.25">
      <c r="A11" t="s">
        <v>63</v>
      </c>
      <c r="B11" t="s">
        <v>115</v>
      </c>
      <c r="C11" t="s">
        <v>62</v>
      </c>
      <c r="D11" t="s">
        <v>113</v>
      </c>
      <c r="E11">
        <v>11</v>
      </c>
      <c r="F11">
        <v>4</v>
      </c>
      <c r="G11" s="10">
        <v>24000</v>
      </c>
      <c r="H11" s="10">
        <v>23000</v>
      </c>
      <c r="I11" s="7">
        <f t="shared" si="0"/>
        <v>0.95833333333333337</v>
      </c>
      <c r="J11" s="10">
        <f t="shared" si="1"/>
        <v>1000</v>
      </c>
      <c r="K11" s="10">
        <f t="shared" si="2"/>
        <v>6000</v>
      </c>
      <c r="L11" s="10">
        <f t="shared" si="3"/>
        <v>5750</v>
      </c>
      <c r="M11" s="11">
        <f t="shared" si="4"/>
        <v>0.84615384615384626</v>
      </c>
      <c r="N11">
        <f>SUMIFS(Execucao!$E$2:$E$529,Execucao!$B$2:$B$529,A11)</f>
        <v>850</v>
      </c>
      <c r="O11">
        <f>SUMIFS(Execucao!$F$2:$F$529,Execucao!$B$2:$B$529,A11)</f>
        <v>344</v>
      </c>
      <c r="P11">
        <f>SUMIFS(Execucao!$G$2:$G$529,Execucao!$B$2:$B$529,A11)</f>
        <v>168</v>
      </c>
      <c r="Q11">
        <f>SUMIFS(Execucao!$H$2:$H$529,Execucao!$B$2:$B$529,A11)</f>
        <v>32</v>
      </c>
      <c r="R11" s="7">
        <f t="shared" si="5"/>
        <v>0.40470588235294119</v>
      </c>
      <c r="S11" s="7">
        <f t="shared" si="6"/>
        <v>0.48837209302325579</v>
      </c>
      <c r="T11" s="7">
        <f t="shared" si="7"/>
        <v>0.19047619047619047</v>
      </c>
      <c r="U11" s="11">
        <f t="shared" si="8"/>
        <v>0.97333051440094986</v>
      </c>
      <c r="V11" s="11">
        <f t="shared" si="9"/>
        <v>0.98299491400396011</v>
      </c>
      <c r="W11" s="11">
        <f t="shared" si="10"/>
        <v>0.9892650701899256</v>
      </c>
      <c r="X11" t="str">
        <f t="shared" si="11"/>
        <v>Lead→Reunião</v>
      </c>
      <c r="Y11" s="12">
        <f>SUMIFS(Execucao!$I$2:$I$529,Execucao!$B$2:$B$529,A11,Execucao!$J$2:$J$529,"H2")/SUMIFS(Execucao!$I$2:$I$529,Execucao!$B$2:$B$529,A11,Execucao!$J$2:$J$529,"H1")-1</f>
        <v>0.25445338272621965</v>
      </c>
      <c r="Z11" s="13">
        <f>AVERAGEIFS(Execucao!$K$2:$K$529,Execucao!$B$2:$B$529,A11)</f>
        <v>0.52083333333333337</v>
      </c>
      <c r="AA11" t="str">
        <f t="shared" si="12"/>
        <v>Abaixo da meta</v>
      </c>
      <c r="AB11" s="14">
        <v>45245</v>
      </c>
    </row>
    <row r="12" spans="1:28" x14ac:dyDescent="0.25">
      <c r="A12" t="s">
        <v>41</v>
      </c>
      <c r="B12" t="s">
        <v>116</v>
      </c>
      <c r="C12" t="s">
        <v>40</v>
      </c>
      <c r="D12" t="s">
        <v>117</v>
      </c>
      <c r="E12">
        <v>9</v>
      </c>
      <c r="F12">
        <v>3</v>
      </c>
      <c r="G12" s="10">
        <v>20000</v>
      </c>
      <c r="H12" s="10">
        <v>18000</v>
      </c>
      <c r="I12" s="7">
        <f t="shared" si="0"/>
        <v>0.9</v>
      </c>
      <c r="J12" s="10">
        <f t="shared" si="1"/>
        <v>2000</v>
      </c>
      <c r="K12" s="10">
        <f t="shared" si="2"/>
        <v>6666.666666666667</v>
      </c>
      <c r="L12" s="10">
        <f t="shared" si="3"/>
        <v>6000</v>
      </c>
      <c r="M12" s="11">
        <f t="shared" si="4"/>
        <v>0.88294314381270911</v>
      </c>
      <c r="N12">
        <f>SUMIFS(Execucao!$E$2:$E$529,Execucao!$B$2:$B$529,A12)</f>
        <v>559</v>
      </c>
      <c r="O12">
        <f>SUMIFS(Execucao!$F$2:$F$529,Execucao!$B$2:$B$529,A12)</f>
        <v>233</v>
      </c>
      <c r="P12">
        <f>SUMIFS(Execucao!$G$2:$G$529,Execucao!$B$2:$B$529,A12)</f>
        <v>116</v>
      </c>
      <c r="Q12">
        <f>SUMIFS(Execucao!$H$2:$H$529,Execucao!$B$2:$B$529,A12)</f>
        <v>23</v>
      </c>
      <c r="R12" s="7">
        <f t="shared" si="5"/>
        <v>0.41681574239713776</v>
      </c>
      <c r="S12" s="7">
        <f t="shared" si="6"/>
        <v>0.4978540772532189</v>
      </c>
      <c r="T12" s="7">
        <f t="shared" si="7"/>
        <v>0.19827586206896552</v>
      </c>
      <c r="U12" s="11">
        <f t="shared" si="8"/>
        <v>1.0024551128318224</v>
      </c>
      <c r="V12" s="11">
        <f t="shared" si="9"/>
        <v>1.0020802434195286</v>
      </c>
      <c r="W12" s="11">
        <f t="shared" si="10"/>
        <v>1.0297737691847719</v>
      </c>
      <c r="X12" t="str">
        <f t="shared" si="11"/>
        <v>Reunião→Proposta</v>
      </c>
      <c r="Y12" s="12">
        <f>SUMIFS(Execucao!$I$2:$I$529,Execucao!$B$2:$B$529,A12,Execucao!$J$2:$J$529,"H2")/SUMIFS(Execucao!$I$2:$I$529,Execucao!$B$2:$B$529,A12,Execucao!$J$2:$J$529,"H1")-1</f>
        <v>-0.38478870854315095</v>
      </c>
      <c r="Z12" s="13">
        <f>AVERAGEIFS(Execucao!$K$2:$K$529,Execucao!$B$2:$B$529,A12)</f>
        <v>0.5</v>
      </c>
      <c r="AA12" t="str">
        <f t="shared" si="12"/>
        <v>Abaixo da meta</v>
      </c>
      <c r="AB12" s="14">
        <v>44909</v>
      </c>
    </row>
    <row r="13" spans="1:28" x14ac:dyDescent="0.25">
      <c r="A13" t="s">
        <v>45</v>
      </c>
      <c r="B13" t="s">
        <v>118</v>
      </c>
      <c r="C13" t="s">
        <v>44</v>
      </c>
      <c r="D13" t="s">
        <v>117</v>
      </c>
      <c r="E13">
        <v>7</v>
      </c>
      <c r="F13">
        <v>2</v>
      </c>
      <c r="G13" s="10">
        <v>16000</v>
      </c>
      <c r="H13" s="10">
        <v>14000</v>
      </c>
      <c r="I13" s="7">
        <f t="shared" si="0"/>
        <v>0.875</v>
      </c>
      <c r="J13" s="10">
        <f t="shared" si="1"/>
        <v>2000</v>
      </c>
      <c r="K13" s="10">
        <f t="shared" si="2"/>
        <v>8000</v>
      </c>
      <c r="L13" s="10">
        <f t="shared" si="3"/>
        <v>7000</v>
      </c>
      <c r="M13" s="11">
        <f t="shared" si="4"/>
        <v>1.0301003344481605</v>
      </c>
      <c r="N13">
        <f>SUMIFS(Execucao!$E$2:$E$529,Execucao!$B$2:$B$529,A13)</f>
        <v>410</v>
      </c>
      <c r="O13">
        <f>SUMIFS(Execucao!$F$2:$F$529,Execucao!$B$2:$B$529,A13)</f>
        <v>170</v>
      </c>
      <c r="P13">
        <f>SUMIFS(Execucao!$G$2:$G$529,Execucao!$B$2:$B$529,A13)</f>
        <v>81</v>
      </c>
      <c r="Q13">
        <f>SUMIFS(Execucao!$H$2:$H$529,Execucao!$B$2:$B$529,A13)</f>
        <v>17</v>
      </c>
      <c r="R13" s="7">
        <f t="shared" si="5"/>
        <v>0.41463414634146339</v>
      </c>
      <c r="S13" s="7">
        <f t="shared" si="6"/>
        <v>0.47647058823529409</v>
      </c>
      <c r="T13" s="7">
        <f t="shared" si="7"/>
        <v>0.20987654320987653</v>
      </c>
      <c r="U13" s="11">
        <f t="shared" si="8"/>
        <v>0.99720830495559587</v>
      </c>
      <c r="V13" s="11">
        <f t="shared" si="9"/>
        <v>0.95903957576352739</v>
      </c>
      <c r="W13" s="11">
        <f t="shared" si="10"/>
        <v>1.0900235495611217</v>
      </c>
      <c r="X13" t="str">
        <f t="shared" si="11"/>
        <v>Reunião→Proposta</v>
      </c>
      <c r="Y13" s="12">
        <f>SUMIFS(Execucao!$I$2:$I$529,Execucao!$B$2:$B$529,A13,Execucao!$J$2:$J$529,"H2")/SUMIFS(Execucao!$I$2:$I$529,Execucao!$B$2:$B$529,A13,Execucao!$J$2:$J$529,"H1")-1</f>
        <v>0.28343733518778702</v>
      </c>
      <c r="Z13" s="13">
        <f>AVERAGEIFS(Execucao!$K$2:$K$529,Execucao!$B$2:$B$529,A13)</f>
        <v>0.45833333333333331</v>
      </c>
      <c r="AA13" t="str">
        <f t="shared" si="12"/>
        <v>Abaixo da meta</v>
      </c>
      <c r="AB13" s="14">
        <v>44732</v>
      </c>
    </row>
    <row r="14" spans="1:28" x14ac:dyDescent="0.25">
      <c r="A14" t="s">
        <v>37</v>
      </c>
      <c r="B14" t="s">
        <v>119</v>
      </c>
      <c r="C14" t="s">
        <v>36</v>
      </c>
      <c r="D14" t="s">
        <v>120</v>
      </c>
      <c r="E14">
        <v>6</v>
      </c>
      <c r="F14">
        <v>2</v>
      </c>
      <c r="G14" s="10">
        <v>14000</v>
      </c>
      <c r="H14" s="10">
        <v>11000</v>
      </c>
      <c r="I14" s="7">
        <f t="shared" si="0"/>
        <v>0.7857142857142857</v>
      </c>
      <c r="J14" s="10">
        <f t="shared" si="1"/>
        <v>3000</v>
      </c>
      <c r="K14" s="10">
        <f t="shared" si="2"/>
        <v>7000</v>
      </c>
      <c r="L14" s="10">
        <f t="shared" si="3"/>
        <v>5500</v>
      </c>
      <c r="M14" s="11">
        <f t="shared" si="4"/>
        <v>0.80936454849498329</v>
      </c>
      <c r="N14">
        <f>SUMIFS(Execucao!$E$2:$E$529,Execucao!$B$2:$B$529,A14)</f>
        <v>448</v>
      </c>
      <c r="O14">
        <f>SUMIFS(Execucao!$F$2:$F$529,Execucao!$B$2:$B$529,A14)</f>
        <v>192</v>
      </c>
      <c r="P14">
        <f>SUMIFS(Execucao!$G$2:$G$529,Execucao!$B$2:$B$529,A14)</f>
        <v>101</v>
      </c>
      <c r="Q14">
        <f>SUMIFS(Execucao!$H$2:$H$529,Execucao!$B$2:$B$529,A14)</f>
        <v>20</v>
      </c>
      <c r="R14" s="7">
        <f t="shared" si="5"/>
        <v>0.42857142857142855</v>
      </c>
      <c r="S14" s="7">
        <f t="shared" si="6"/>
        <v>0.52604166666666663</v>
      </c>
      <c r="T14" s="7">
        <f t="shared" si="7"/>
        <v>0.19801980198019803</v>
      </c>
      <c r="U14" s="11">
        <f t="shared" si="8"/>
        <v>1.0307279118448596</v>
      </c>
      <c r="V14" s="11">
        <f t="shared" si="9"/>
        <v>1.0588161982934521</v>
      </c>
      <c r="W14" s="11">
        <f t="shared" si="10"/>
        <v>1.028443884850913</v>
      </c>
      <c r="X14" t="str">
        <f t="shared" si="11"/>
        <v>Proposta→Fechamento</v>
      </c>
      <c r="Y14" s="12">
        <f>SUMIFS(Execucao!$I$2:$I$529,Execucao!$B$2:$B$529,A14,Execucao!$J$2:$J$529,"H2")/SUMIFS(Execucao!$I$2:$I$529,Execucao!$B$2:$B$529,A14,Execucao!$J$2:$J$529,"H1")-1</f>
        <v>-8.5893358856401925E-2</v>
      </c>
      <c r="Z14" s="13">
        <f>AVERAGEIFS(Execucao!$K$2:$K$529,Execucao!$B$2:$B$529,A14)</f>
        <v>0.45833333333333331</v>
      </c>
      <c r="AA14" t="str">
        <f t="shared" si="12"/>
        <v>Abaixo da meta</v>
      </c>
      <c r="AB14" s="14">
        <v>45191</v>
      </c>
    </row>
    <row r="15" spans="1:28" x14ac:dyDescent="0.25">
      <c r="A15" t="s">
        <v>56</v>
      </c>
      <c r="B15" t="s">
        <v>121</v>
      </c>
      <c r="C15" t="s">
        <v>55</v>
      </c>
      <c r="D15" t="s">
        <v>120</v>
      </c>
      <c r="E15">
        <v>5</v>
      </c>
      <c r="F15">
        <v>2</v>
      </c>
      <c r="G15" s="10">
        <v>12000</v>
      </c>
      <c r="H15" s="10">
        <v>10000</v>
      </c>
      <c r="I15" s="7">
        <f t="shared" si="0"/>
        <v>0.83333333333333337</v>
      </c>
      <c r="J15" s="10">
        <f t="shared" si="1"/>
        <v>2000</v>
      </c>
      <c r="K15" s="10">
        <f t="shared" si="2"/>
        <v>6000</v>
      </c>
      <c r="L15" s="10">
        <f t="shared" si="3"/>
        <v>5000</v>
      </c>
      <c r="M15" s="11">
        <f t="shared" si="4"/>
        <v>0.73578595317725759</v>
      </c>
      <c r="N15">
        <f>SUMIFS(Execucao!$E$2:$E$529,Execucao!$B$2:$B$529,A15)</f>
        <v>382</v>
      </c>
      <c r="O15">
        <f>SUMIFS(Execucao!$F$2:$F$529,Execucao!$B$2:$B$529,A15)</f>
        <v>163</v>
      </c>
      <c r="P15">
        <f>SUMIFS(Execucao!$G$2:$G$529,Execucao!$B$2:$B$529,A15)</f>
        <v>83</v>
      </c>
      <c r="Q15">
        <f>SUMIFS(Execucao!$H$2:$H$529,Execucao!$B$2:$B$529,A15)</f>
        <v>17</v>
      </c>
      <c r="R15" s="7">
        <f t="shared" si="5"/>
        <v>0.42670157068062825</v>
      </c>
      <c r="S15" s="7">
        <f t="shared" si="6"/>
        <v>0.50920245398773001</v>
      </c>
      <c r="T15" s="7">
        <f t="shared" si="7"/>
        <v>0.20481927710843373</v>
      </c>
      <c r="U15" s="11">
        <f t="shared" si="8"/>
        <v>1.0262308441666534</v>
      </c>
      <c r="V15" s="11">
        <f t="shared" si="9"/>
        <v>1.024922246006466</v>
      </c>
      <c r="W15" s="11">
        <f t="shared" si="10"/>
        <v>1.0637579218608537</v>
      </c>
      <c r="X15" t="str">
        <f t="shared" si="11"/>
        <v>Reunião→Proposta</v>
      </c>
      <c r="Y15" s="12">
        <f>SUMIFS(Execucao!$I$2:$I$529,Execucao!$B$2:$B$529,A15,Execucao!$J$2:$J$529,"H2")/SUMIFS(Execucao!$I$2:$I$529,Execucao!$B$2:$B$529,A15,Execucao!$J$2:$J$529,"H1")-1</f>
        <v>6.8414742704661746E-2</v>
      </c>
      <c r="Z15" s="13">
        <f>AVERAGEIFS(Execucao!$K$2:$K$529,Execucao!$B$2:$B$529,A15)</f>
        <v>0.45833333333333331</v>
      </c>
      <c r="AA15" t="str">
        <f t="shared" si="12"/>
        <v>Abaixo da meta</v>
      </c>
      <c r="AB15" s="14">
        <v>44868</v>
      </c>
    </row>
    <row r="16" spans="1:28" x14ac:dyDescent="0.25">
      <c r="A16" t="s">
        <v>39</v>
      </c>
      <c r="B16" t="s">
        <v>122</v>
      </c>
      <c r="C16" t="s">
        <v>38</v>
      </c>
      <c r="D16" t="s">
        <v>120</v>
      </c>
      <c r="E16">
        <v>4</v>
      </c>
      <c r="F16">
        <v>1</v>
      </c>
      <c r="G16" s="10">
        <v>10000</v>
      </c>
      <c r="H16" s="10">
        <v>8500</v>
      </c>
      <c r="I16" s="7">
        <f t="shared" si="0"/>
        <v>0.85</v>
      </c>
      <c r="J16" s="10">
        <f t="shared" si="1"/>
        <v>1500</v>
      </c>
      <c r="K16" s="10">
        <f t="shared" si="2"/>
        <v>10000</v>
      </c>
      <c r="L16" s="10">
        <f t="shared" si="3"/>
        <v>8500</v>
      </c>
      <c r="M16" s="11">
        <f t="shared" si="4"/>
        <v>1.2508361204013378</v>
      </c>
      <c r="N16">
        <f>SUMIFS(Execucao!$E$2:$E$529,Execucao!$B$2:$B$529,A16)</f>
        <v>194</v>
      </c>
      <c r="O16">
        <f>SUMIFS(Execucao!$F$2:$F$529,Execucao!$B$2:$B$529,A16)</f>
        <v>78</v>
      </c>
      <c r="P16">
        <f>SUMIFS(Execucao!$G$2:$G$529,Execucao!$B$2:$B$529,A16)</f>
        <v>37</v>
      </c>
      <c r="Q16">
        <f>SUMIFS(Execucao!$H$2:$H$529,Execucao!$B$2:$B$529,A16)</f>
        <v>8</v>
      </c>
      <c r="R16" s="7">
        <f t="shared" si="5"/>
        <v>0.40206185567010311</v>
      </c>
      <c r="S16" s="7">
        <f t="shared" si="6"/>
        <v>0.47435897435897434</v>
      </c>
      <c r="T16" s="7">
        <f t="shared" si="7"/>
        <v>0.21621621621621623</v>
      </c>
      <c r="U16" s="11">
        <f t="shared" si="8"/>
        <v>0.96697154616373426</v>
      </c>
      <c r="V16" s="11">
        <f t="shared" si="9"/>
        <v>0.95478932123339466</v>
      </c>
      <c r="W16" s="11">
        <f t="shared" si="10"/>
        <v>1.1229495391345103</v>
      </c>
      <c r="X16" t="str">
        <f t="shared" si="11"/>
        <v>Reunião→Proposta</v>
      </c>
      <c r="Y16" s="12">
        <f>SUMIFS(Execucao!$I$2:$I$529,Execucao!$B$2:$B$529,A16,Execucao!$J$2:$J$529,"H2")/SUMIFS(Execucao!$I$2:$I$529,Execucao!$B$2:$B$529,A16,Execucao!$J$2:$J$529,"H1")-1</f>
        <v>-5.4860281398790955E-2</v>
      </c>
      <c r="Z16" s="13">
        <f>AVERAGEIFS(Execucao!$K$2:$K$529,Execucao!$B$2:$B$529,A16)</f>
        <v>0.5</v>
      </c>
      <c r="AA16" t="str">
        <f t="shared" si="12"/>
        <v>Abaixo da meta</v>
      </c>
      <c r="AB16" s="14">
        <v>44934</v>
      </c>
    </row>
    <row r="17" spans="1:28" x14ac:dyDescent="0.25">
      <c r="A17" t="s">
        <v>34</v>
      </c>
      <c r="B17" t="s">
        <v>123</v>
      </c>
      <c r="C17" t="s">
        <v>33</v>
      </c>
      <c r="D17" t="s">
        <v>124</v>
      </c>
      <c r="E17">
        <v>3</v>
      </c>
      <c r="F17">
        <v>1</v>
      </c>
      <c r="G17" s="10">
        <v>8000</v>
      </c>
      <c r="H17" s="10">
        <v>6000</v>
      </c>
      <c r="I17" s="7">
        <f t="shared" si="0"/>
        <v>0.75</v>
      </c>
      <c r="J17" s="10">
        <f t="shared" si="1"/>
        <v>2000</v>
      </c>
      <c r="K17" s="10">
        <f t="shared" si="2"/>
        <v>8000</v>
      </c>
      <c r="L17" s="10">
        <f t="shared" si="3"/>
        <v>6000</v>
      </c>
      <c r="M17" s="11">
        <f t="shared" si="4"/>
        <v>0.88294314381270911</v>
      </c>
      <c r="N17">
        <f>SUMIFS(Execucao!$E$2:$E$529,Execucao!$B$2:$B$529,A17)</f>
        <v>178</v>
      </c>
      <c r="O17">
        <f>SUMIFS(Execucao!$F$2:$F$529,Execucao!$B$2:$B$529,A17)</f>
        <v>73</v>
      </c>
      <c r="P17">
        <f>SUMIFS(Execucao!$G$2:$G$529,Execucao!$B$2:$B$529,A17)</f>
        <v>40</v>
      </c>
      <c r="Q17">
        <f>SUMIFS(Execucao!$H$2:$H$529,Execucao!$B$2:$B$529,A17)</f>
        <v>7</v>
      </c>
      <c r="R17" s="7">
        <f t="shared" si="5"/>
        <v>0.4101123595505618</v>
      </c>
      <c r="S17" s="7">
        <f t="shared" si="6"/>
        <v>0.54794520547945202</v>
      </c>
      <c r="T17" s="7">
        <f t="shared" si="7"/>
        <v>0.17499999999999999</v>
      </c>
      <c r="U17" s="11">
        <f t="shared" si="8"/>
        <v>0.98633326395641063</v>
      </c>
      <c r="V17" s="11">
        <f t="shared" si="9"/>
        <v>1.1029036217135104</v>
      </c>
      <c r="W17" s="11">
        <f t="shared" si="10"/>
        <v>0.90888728323699419</v>
      </c>
      <c r="X17" t="str">
        <f t="shared" si="11"/>
        <v>Proposta→Fechamento</v>
      </c>
      <c r="Y17" s="12">
        <f>SUMIFS(Execucao!$I$2:$I$529,Execucao!$B$2:$B$529,A17,Execucao!$J$2:$J$529,"H2")/SUMIFS(Execucao!$I$2:$I$529,Execucao!$B$2:$B$529,A17,Execucao!$J$2:$J$529,"H1")-1</f>
        <v>1.7166333766631792</v>
      </c>
      <c r="Z17" s="13">
        <f>AVERAGEIFS(Execucao!$K$2:$K$529,Execucao!$B$2:$B$529,A17)</f>
        <v>0.58333333333333337</v>
      </c>
      <c r="AA17" t="str">
        <f t="shared" si="12"/>
        <v>Abaixo da meta</v>
      </c>
      <c r="AB17" s="14">
        <v>45008</v>
      </c>
    </row>
    <row r="18" spans="1:28" x14ac:dyDescent="0.25">
      <c r="A18" t="s">
        <v>54</v>
      </c>
      <c r="B18" t="s">
        <v>125</v>
      </c>
      <c r="C18" t="s">
        <v>53</v>
      </c>
      <c r="D18" t="s">
        <v>124</v>
      </c>
      <c r="E18">
        <v>3</v>
      </c>
      <c r="F18">
        <v>1</v>
      </c>
      <c r="G18" s="10">
        <v>7500</v>
      </c>
      <c r="H18" s="10">
        <v>5500</v>
      </c>
      <c r="I18" s="7">
        <f t="shared" si="0"/>
        <v>0.73333333333333328</v>
      </c>
      <c r="J18" s="10">
        <f t="shared" si="1"/>
        <v>2000</v>
      </c>
      <c r="K18" s="10">
        <f t="shared" si="2"/>
        <v>7500</v>
      </c>
      <c r="L18" s="10">
        <f t="shared" si="3"/>
        <v>5500</v>
      </c>
      <c r="M18" s="11">
        <f t="shared" si="4"/>
        <v>0.80936454849498329</v>
      </c>
      <c r="N18">
        <f>SUMIFS(Execucao!$E$2:$E$529,Execucao!$B$2:$B$529,A18)</f>
        <v>209</v>
      </c>
      <c r="O18">
        <f>SUMIFS(Execucao!$F$2:$F$529,Execucao!$B$2:$B$529,A18)</f>
        <v>82</v>
      </c>
      <c r="P18">
        <f>SUMIFS(Execucao!$G$2:$G$529,Execucao!$B$2:$B$529,A18)</f>
        <v>39</v>
      </c>
      <c r="Q18">
        <f>SUMIFS(Execucao!$H$2:$H$529,Execucao!$B$2:$B$529,A18)</f>
        <v>6</v>
      </c>
      <c r="R18" s="7">
        <f t="shared" si="5"/>
        <v>0.3923444976076555</v>
      </c>
      <c r="S18" s="7">
        <f t="shared" si="6"/>
        <v>0.47560975609756095</v>
      </c>
      <c r="T18" s="7">
        <f t="shared" si="7"/>
        <v>0.15384615384615385</v>
      </c>
      <c r="U18" s="11">
        <f t="shared" si="8"/>
        <v>0.94360099106690498</v>
      </c>
      <c r="V18" s="11">
        <f t="shared" si="9"/>
        <v>0.95730689360315979</v>
      </c>
      <c r="W18" s="11">
        <f t="shared" si="10"/>
        <v>0.79902178746109387</v>
      </c>
      <c r="X18" t="str">
        <f t="shared" si="11"/>
        <v>Proposta→Fechamento</v>
      </c>
      <c r="Y18" s="12">
        <f>SUMIFS(Execucao!$I$2:$I$529,Execucao!$B$2:$B$529,A18,Execucao!$J$2:$J$529,"H2")/SUMIFS(Execucao!$I$2:$I$529,Execucao!$B$2:$B$529,A18,Execucao!$J$2:$J$529,"H1")-1</f>
        <v>-5.9458989679522012E-2</v>
      </c>
      <c r="Z18" s="13">
        <f>AVERAGEIFS(Execucao!$K$2:$K$529,Execucao!$B$2:$B$529,A18)</f>
        <v>0.5</v>
      </c>
      <c r="AA18" t="str">
        <f t="shared" si="12"/>
        <v>Abaixo da meta</v>
      </c>
      <c r="AB18" s="14">
        <v>44768</v>
      </c>
    </row>
    <row r="19" spans="1:28" x14ac:dyDescent="0.25">
      <c r="A19" t="s">
        <v>43</v>
      </c>
      <c r="B19" t="s">
        <v>126</v>
      </c>
      <c r="C19" t="s">
        <v>42</v>
      </c>
      <c r="D19" t="s">
        <v>107</v>
      </c>
      <c r="E19">
        <v>5</v>
      </c>
      <c r="F19">
        <v>2</v>
      </c>
      <c r="G19" s="10">
        <v>11000</v>
      </c>
      <c r="H19" s="10">
        <v>12000</v>
      </c>
      <c r="I19" s="7">
        <f t="shared" si="0"/>
        <v>1.0909090909090908</v>
      </c>
      <c r="J19" s="10">
        <f t="shared" si="1"/>
        <v>0</v>
      </c>
      <c r="K19" s="10">
        <f t="shared" si="2"/>
        <v>5500</v>
      </c>
      <c r="L19" s="10">
        <f t="shared" si="3"/>
        <v>6000</v>
      </c>
      <c r="M19" s="11">
        <f t="shared" si="4"/>
        <v>0.88294314381270911</v>
      </c>
      <c r="N19">
        <f>SUMIFS(Execucao!$E$2:$E$529,Execucao!$B$2:$B$529,A19)</f>
        <v>396</v>
      </c>
      <c r="O19">
        <f>SUMIFS(Execucao!$F$2:$F$529,Execucao!$B$2:$B$529,A19)</f>
        <v>176</v>
      </c>
      <c r="P19">
        <f>SUMIFS(Execucao!$G$2:$G$529,Execucao!$B$2:$B$529,A19)</f>
        <v>93</v>
      </c>
      <c r="Q19">
        <f>SUMIFS(Execucao!$H$2:$H$529,Execucao!$B$2:$B$529,A19)</f>
        <v>22</v>
      </c>
      <c r="R19" s="7">
        <f t="shared" si="5"/>
        <v>0.44444444444444442</v>
      </c>
      <c r="S19" s="7">
        <f t="shared" si="6"/>
        <v>0.52840909090909094</v>
      </c>
      <c r="T19" s="7">
        <f t="shared" si="7"/>
        <v>0.23655913978494625</v>
      </c>
      <c r="U19" s="11">
        <f t="shared" si="8"/>
        <v>1.0689030196909655</v>
      </c>
      <c r="V19" s="11">
        <f t="shared" si="9"/>
        <v>1.0635813477007134</v>
      </c>
      <c r="W19" s="11">
        <f t="shared" si="10"/>
        <v>1.2286033936229723</v>
      </c>
      <c r="X19" t="str">
        <f t="shared" si="11"/>
        <v>Reunião→Proposta</v>
      </c>
      <c r="Y19" s="12">
        <f>SUMIFS(Execucao!$I$2:$I$529,Execucao!$B$2:$B$529,A19,Execucao!$J$2:$J$529,"H2")/SUMIFS(Execucao!$I$2:$I$529,Execucao!$B$2:$B$529,A19,Execucao!$J$2:$J$529,"H1")-1</f>
        <v>0.45496244403814989</v>
      </c>
      <c r="Z19" s="13">
        <f>AVERAGEIFS(Execucao!$K$2:$K$529,Execucao!$B$2:$B$529,A19)</f>
        <v>0.33333333333333331</v>
      </c>
      <c r="AA19" t="str">
        <f t="shared" si="12"/>
        <v>Na meta</v>
      </c>
      <c r="AB19" s="14">
        <v>45070</v>
      </c>
    </row>
    <row r="20" spans="1:28" x14ac:dyDescent="0.25">
      <c r="B20" s="9" t="s">
        <v>127</v>
      </c>
      <c r="F20">
        <f>SUM(F5:F19)</f>
        <v>44</v>
      </c>
      <c r="G20" s="10">
        <f>SUM(G5:G19)</f>
        <v>297500</v>
      </c>
      <c r="H20" s="10">
        <f>SUM(H5:H19)</f>
        <v>299000</v>
      </c>
      <c r="I20" s="7">
        <f t="shared" si="0"/>
        <v>1.0050420168067227</v>
      </c>
      <c r="J20" s="15">
        <f>SUM(J5:J19)</f>
        <v>19500</v>
      </c>
      <c r="K20" s="10">
        <f t="shared" si="2"/>
        <v>6761.363636363636</v>
      </c>
      <c r="L20" s="10">
        <f t="shared" si="3"/>
        <v>6795.454545454545</v>
      </c>
      <c r="N20">
        <f>SUM(N5:N19)</f>
        <v>8699</v>
      </c>
      <c r="O20">
        <f>SUM(O5:O19)</f>
        <v>3617</v>
      </c>
      <c r="P20">
        <f>SUM(P5:P19)</f>
        <v>1797</v>
      </c>
      <c r="Q20">
        <f>SUM(Q5:Q19)</f>
        <v>346</v>
      </c>
    </row>
    <row r="21" spans="1:28" x14ac:dyDescent="0.25">
      <c r="B21" s="9" t="s">
        <v>128</v>
      </c>
      <c r="R21" s="7">
        <f>O20/N20</f>
        <v>0.41579491895620185</v>
      </c>
      <c r="S21" s="7">
        <f>P20/O20</f>
        <v>0.49682056953276194</v>
      </c>
      <c r="T21" s="7">
        <f>Q20/P20</f>
        <v>0.19254312743461324</v>
      </c>
      <c r="Z21" s="13">
        <f>AVERAGE(Execucao!$K$2:$K$529)</f>
        <v>0.49431818181818182</v>
      </c>
    </row>
    <row r="23" spans="1:28" x14ac:dyDescent="0.25">
      <c r="A23" s="9" t="s">
        <v>129</v>
      </c>
    </row>
    <row r="24" spans="1:28" x14ac:dyDescent="0.25">
      <c r="A24" t="s">
        <v>130</v>
      </c>
      <c r="D24" s="15">
        <f>J20</f>
        <v>19500</v>
      </c>
    </row>
    <row r="25" spans="1:28" x14ac:dyDescent="0.25">
      <c r="A25" t="s">
        <v>131</v>
      </c>
      <c r="D25" s="16">
        <f>COUNTIF(I5:I19,"&lt;1")</f>
        <v>9</v>
      </c>
    </row>
    <row r="26" spans="1:28" x14ac:dyDescent="0.25">
      <c r="A26" t="s">
        <v>132</v>
      </c>
      <c r="D26" s="17">
        <f>CORREL(E5:E19,I5:I19)</f>
        <v>0.64820512891183024</v>
      </c>
    </row>
    <row r="27" spans="1:28" x14ac:dyDescent="0.25">
      <c r="A27" t="s">
        <v>133</v>
      </c>
      <c r="D27" s="17">
        <f>CORREL(F5:F19,I5:I19)</f>
        <v>0.64204199899817971</v>
      </c>
    </row>
    <row r="28" spans="1:28" x14ac:dyDescent="0.25">
      <c r="A28" t="s">
        <v>134</v>
      </c>
      <c r="D28" s="18" t="str">
        <f>FIXED(MIN(U5:V19),2)&amp;" a "&amp;FIXED(MAX(U5:V19),2)</f>
        <v>0,94 a 1,10</v>
      </c>
    </row>
    <row r="29" spans="1:28" x14ac:dyDescent="0.25">
      <c r="A29" t="s">
        <v>135</v>
      </c>
      <c r="D29" s="18" t="str">
        <f>FIXED(MIN(W5:W19),2)&amp;" a "&amp;FIXED(MAX(W5:W19),2)</f>
        <v>0,80 a 1,23</v>
      </c>
    </row>
    <row r="30" spans="1:28" x14ac:dyDescent="0.25">
      <c r="A30" t="s">
        <v>136</v>
      </c>
      <c r="D30" s="17">
        <f>CORREL(W5:W19,I5:I19)</f>
        <v>0.15015811270334503</v>
      </c>
    </row>
    <row r="31" spans="1:28" x14ac:dyDescent="0.25">
      <c r="A31" t="s">
        <v>137</v>
      </c>
      <c r="D31" s="17">
        <f>-CORREL(AB5:AB19,I5:I19)</f>
        <v>-0.36600873442301196</v>
      </c>
    </row>
    <row r="32" spans="1:28" x14ac:dyDescent="0.25">
      <c r="A32" t="s">
        <v>138</v>
      </c>
      <c r="D32" s="17">
        <f>CORREL(E5:E19,F5:F19)</f>
        <v>0.98572943290438864</v>
      </c>
    </row>
    <row r="34" spans="1:1" x14ac:dyDescent="0.25">
      <c r="A34" t="s">
        <v>139</v>
      </c>
    </row>
    <row r="35" spans="1:1" x14ac:dyDescent="0.25">
      <c r="A35" t="s">
        <v>140</v>
      </c>
    </row>
    <row r="36" spans="1:1" x14ac:dyDescent="0.25">
      <c r="A36" t="s">
        <v>141</v>
      </c>
    </row>
    <row r="37" spans="1:1" x14ac:dyDescent="0.25">
      <c r="A37" t="s">
        <v>142</v>
      </c>
    </row>
    <row r="38" spans="1:1" x14ac:dyDescent="0.25">
      <c r="A38" t="s">
        <v>143</v>
      </c>
    </row>
    <row r="39" spans="1:1" x14ac:dyDescent="0.25">
      <c r="A39" t="s">
        <v>144</v>
      </c>
    </row>
  </sheetData>
  <conditionalFormatting sqref="I5:I19">
    <cfRule type="cellIs" dxfId="0" priority="1" operator="lessThan">
      <formula>1</formula>
    </cfRule>
  </conditionalFormatting>
  <conditionalFormatting sqref="U5:W19">
    <cfRule type="colorScale" priority="2">
      <colorScale>
        <cfvo type="num" val="0.8"/>
        <cfvo type="num" val="1"/>
        <cfvo type="num" val="1.2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/>
  </sheetViews>
  <sheetFormatPr defaultRowHeight="15" x14ac:dyDescent="0.25"/>
  <cols>
    <col min="1" max="1" width="14" customWidth="1"/>
    <col min="2" max="3" width="10" customWidth="1"/>
    <col min="4" max="4" width="9" customWidth="1"/>
    <col min="5" max="5" width="6" customWidth="1"/>
    <col min="6" max="7" width="14" customWidth="1"/>
    <col min="8" max="10" width="11" customWidth="1"/>
    <col min="11" max="11" width="12" customWidth="1"/>
  </cols>
  <sheetData>
    <row r="1" spans="1:11" ht="18.75" x14ac:dyDescent="0.3">
      <c r="A1" s="4" t="s">
        <v>145</v>
      </c>
    </row>
    <row r="3" spans="1:11" ht="32.1" customHeight="1" x14ac:dyDescent="0.25">
      <c r="A3" s="5" t="s">
        <v>80</v>
      </c>
      <c r="B3" s="5" t="s">
        <v>146</v>
      </c>
      <c r="C3" s="5" t="s">
        <v>147</v>
      </c>
      <c r="D3" s="5" t="s">
        <v>148</v>
      </c>
      <c r="E3" s="5" t="s">
        <v>149</v>
      </c>
      <c r="F3" s="5" t="s">
        <v>83</v>
      </c>
      <c r="G3" s="5" t="s">
        <v>84</v>
      </c>
      <c r="H3" s="5" t="s">
        <v>150</v>
      </c>
      <c r="I3" s="5" t="s">
        <v>151</v>
      </c>
      <c r="J3" s="5" t="s">
        <v>152</v>
      </c>
      <c r="K3" s="5" t="s">
        <v>153</v>
      </c>
    </row>
    <row r="4" spans="1:11" x14ac:dyDescent="0.25">
      <c r="A4" t="s">
        <v>107</v>
      </c>
      <c r="B4">
        <f>COUNTIF(Gap_Meta!$D$5:$D$19,A4)</f>
        <v>5</v>
      </c>
      <c r="C4">
        <f>COUNTIFS(Gap_Meta!$D$5:$D$19,A4,Gap_Meta!$I$5:$I$19,"&lt;1")</f>
        <v>1</v>
      </c>
      <c r="D4" s="13">
        <f>C4/B4</f>
        <v>0.2</v>
      </c>
      <c r="E4">
        <f>SUMIF(Gap_Meta!$D$5:$D$19,A4,Gap_Meta!$F$5:$F$19)</f>
        <v>20</v>
      </c>
      <c r="F4" s="10">
        <f>SUMIF(Gap_Meta!$D$5:$D$19,A4,Gap_Meta!$G$5:$G$19)</f>
        <v>138000</v>
      </c>
      <c r="G4" s="10">
        <f>SUMIF(Gap_Meta!$D$5:$D$19,A4,Gap_Meta!$H$5:$H$19)</f>
        <v>148000</v>
      </c>
      <c r="H4" s="7">
        <f t="shared" ref="H4:H9" si="0">G4/F4</f>
        <v>1.0724637681159421</v>
      </c>
      <c r="I4" s="10">
        <f>SUMIF(Gap_Meta!$D$5:$D$19,A4,Gap_Meta!$J$5:$J$19)</f>
        <v>4000</v>
      </c>
      <c r="J4" s="13">
        <f>I4/SUM($I$4:$I$8)</f>
        <v>0.20512820512820512</v>
      </c>
      <c r="K4" s="6">
        <f>AVERAGEIF(Gap_Meta!$D$5:$D$19,A4,Gap_Meta!$E$5:$E$19)</f>
        <v>11.8</v>
      </c>
    </row>
    <row r="5" spans="1:11" x14ac:dyDescent="0.25">
      <c r="A5" t="s">
        <v>113</v>
      </c>
      <c r="B5">
        <f>COUNTIF(Gap_Meta!$D$5:$D$19,A5)</f>
        <v>3</v>
      </c>
      <c r="C5">
        <f>COUNTIFS(Gap_Meta!$D$5:$D$19,A5,Gap_Meta!$I$5:$I$19,"&lt;1")</f>
        <v>1</v>
      </c>
      <c r="D5" s="13">
        <f>C5/B5</f>
        <v>0.33333333333333331</v>
      </c>
      <c r="E5">
        <f>SUMIF(Gap_Meta!$D$5:$D$19,A5,Gap_Meta!$F$5:$F$19)</f>
        <v>12</v>
      </c>
      <c r="F5" s="10">
        <f>SUMIF(Gap_Meta!$D$5:$D$19,A5,Gap_Meta!$G$5:$G$19)</f>
        <v>72000</v>
      </c>
      <c r="G5" s="10">
        <f>SUMIF(Gap_Meta!$D$5:$D$19,A5,Gap_Meta!$H$5:$H$19)</f>
        <v>78000</v>
      </c>
      <c r="H5" s="7">
        <f t="shared" si="0"/>
        <v>1.0833333333333333</v>
      </c>
      <c r="I5" s="10">
        <f>SUMIF(Gap_Meta!$D$5:$D$19,A5,Gap_Meta!$J$5:$J$19)</f>
        <v>1000</v>
      </c>
      <c r="J5" s="13">
        <f>I5/SUM($I$4:$I$8)</f>
        <v>5.128205128205128E-2</v>
      </c>
      <c r="K5" s="6">
        <f>AVERAGEIF(Gap_Meta!$D$5:$D$19,A5,Gap_Meta!$E$5:$E$19)</f>
        <v>11.666666666666666</v>
      </c>
    </row>
    <row r="6" spans="1:11" x14ac:dyDescent="0.25">
      <c r="A6" t="s">
        <v>117</v>
      </c>
      <c r="B6">
        <f>COUNTIF(Gap_Meta!$D$5:$D$19,A6)</f>
        <v>2</v>
      </c>
      <c r="C6">
        <f>COUNTIFS(Gap_Meta!$D$5:$D$19,A6,Gap_Meta!$I$5:$I$19,"&lt;1")</f>
        <v>2</v>
      </c>
      <c r="D6" s="13">
        <f>C6/B6</f>
        <v>1</v>
      </c>
      <c r="E6">
        <f>SUMIF(Gap_Meta!$D$5:$D$19,A6,Gap_Meta!$F$5:$F$19)</f>
        <v>5</v>
      </c>
      <c r="F6" s="10">
        <f>SUMIF(Gap_Meta!$D$5:$D$19,A6,Gap_Meta!$G$5:$G$19)</f>
        <v>36000</v>
      </c>
      <c r="G6" s="10">
        <f>SUMIF(Gap_Meta!$D$5:$D$19,A6,Gap_Meta!$H$5:$H$19)</f>
        <v>32000</v>
      </c>
      <c r="H6" s="7">
        <f t="shared" si="0"/>
        <v>0.88888888888888884</v>
      </c>
      <c r="I6" s="10">
        <f>SUMIF(Gap_Meta!$D$5:$D$19,A6,Gap_Meta!$J$5:$J$19)</f>
        <v>4000</v>
      </c>
      <c r="J6" s="13">
        <f>I6/SUM($I$4:$I$8)</f>
        <v>0.20512820512820512</v>
      </c>
      <c r="K6" s="6">
        <f>AVERAGEIF(Gap_Meta!$D$5:$D$19,A6,Gap_Meta!$E$5:$E$19)</f>
        <v>8</v>
      </c>
    </row>
    <row r="7" spans="1:11" x14ac:dyDescent="0.25">
      <c r="A7" t="s">
        <v>120</v>
      </c>
      <c r="B7">
        <f>COUNTIF(Gap_Meta!$D$5:$D$19,A7)</f>
        <v>3</v>
      </c>
      <c r="C7">
        <f>COUNTIFS(Gap_Meta!$D$5:$D$19,A7,Gap_Meta!$I$5:$I$19,"&lt;1")</f>
        <v>3</v>
      </c>
      <c r="D7" s="13">
        <f>C7/B7</f>
        <v>1</v>
      </c>
      <c r="E7">
        <f>SUMIF(Gap_Meta!$D$5:$D$19,A7,Gap_Meta!$F$5:$F$19)</f>
        <v>5</v>
      </c>
      <c r="F7" s="10">
        <f>SUMIF(Gap_Meta!$D$5:$D$19,A7,Gap_Meta!$G$5:$G$19)</f>
        <v>36000</v>
      </c>
      <c r="G7" s="10">
        <f>SUMIF(Gap_Meta!$D$5:$D$19,A7,Gap_Meta!$H$5:$H$19)</f>
        <v>29500</v>
      </c>
      <c r="H7" s="7">
        <f t="shared" si="0"/>
        <v>0.81944444444444442</v>
      </c>
      <c r="I7" s="10">
        <f>SUMIF(Gap_Meta!$D$5:$D$19,A7,Gap_Meta!$J$5:$J$19)</f>
        <v>6500</v>
      </c>
      <c r="J7" s="13">
        <f>I7/SUM($I$4:$I$8)</f>
        <v>0.33333333333333331</v>
      </c>
      <c r="K7" s="6">
        <f>AVERAGEIF(Gap_Meta!$D$5:$D$19,A7,Gap_Meta!$E$5:$E$19)</f>
        <v>5</v>
      </c>
    </row>
    <row r="8" spans="1:11" x14ac:dyDescent="0.25">
      <c r="A8" t="s">
        <v>124</v>
      </c>
      <c r="B8">
        <f>COUNTIF(Gap_Meta!$D$5:$D$19,A8)</f>
        <v>2</v>
      </c>
      <c r="C8">
        <f>COUNTIFS(Gap_Meta!$D$5:$D$19,A8,Gap_Meta!$I$5:$I$19,"&lt;1")</f>
        <v>2</v>
      </c>
      <c r="D8" s="13">
        <f>C8/B8</f>
        <v>1</v>
      </c>
      <c r="E8">
        <f>SUMIF(Gap_Meta!$D$5:$D$19,A8,Gap_Meta!$F$5:$F$19)</f>
        <v>2</v>
      </c>
      <c r="F8" s="10">
        <f>SUMIF(Gap_Meta!$D$5:$D$19,A8,Gap_Meta!$G$5:$G$19)</f>
        <v>15500</v>
      </c>
      <c r="G8" s="10">
        <f>SUMIF(Gap_Meta!$D$5:$D$19,A8,Gap_Meta!$H$5:$H$19)</f>
        <v>11500</v>
      </c>
      <c r="H8" s="7">
        <f t="shared" si="0"/>
        <v>0.74193548387096775</v>
      </c>
      <c r="I8" s="10">
        <f>SUMIF(Gap_Meta!$D$5:$D$19,A8,Gap_Meta!$J$5:$J$19)</f>
        <v>4000</v>
      </c>
      <c r="J8" s="13">
        <f>I8/SUM($I$4:$I$8)</f>
        <v>0.20512820512820512</v>
      </c>
      <c r="K8" s="6">
        <f>AVERAGEIF(Gap_Meta!$D$5:$D$19,A8,Gap_Meta!$E$5:$E$19)</f>
        <v>3</v>
      </c>
    </row>
    <row r="9" spans="1:11" x14ac:dyDescent="0.25">
      <c r="A9" s="9" t="s">
        <v>154</v>
      </c>
      <c r="B9" s="8">
        <f>SUM(B4:B8)</f>
        <v>15</v>
      </c>
      <c r="C9" s="8">
        <f>SUM(C4:C8)</f>
        <v>9</v>
      </c>
      <c r="E9" s="8">
        <f>SUM(E4:E8)</f>
        <v>44</v>
      </c>
      <c r="F9" s="10">
        <f>SUM(F4:F8)</f>
        <v>297500</v>
      </c>
      <c r="G9" s="10">
        <f>SUM(G4:G8)</f>
        <v>299000</v>
      </c>
      <c r="H9" s="7">
        <f t="shared" si="0"/>
        <v>1.0050420168067227</v>
      </c>
      <c r="I9" s="10">
        <f>SUM(I4:I8)</f>
        <v>19500</v>
      </c>
    </row>
    <row r="11" spans="1:11" x14ac:dyDescent="0.25">
      <c r="A11" s="9" t="s">
        <v>129</v>
      </c>
    </row>
    <row r="12" spans="1:11" x14ac:dyDescent="0.25">
      <c r="A12" t="s">
        <v>155</v>
      </c>
    </row>
    <row r="13" spans="1:11" x14ac:dyDescent="0.25">
      <c r="A13" t="s">
        <v>156</v>
      </c>
    </row>
    <row r="14" spans="1:11" x14ac:dyDescent="0.25">
      <c r="A14" t="s">
        <v>157</v>
      </c>
    </row>
  </sheetData>
  <conditionalFormatting sqref="J4:J8">
    <cfRule type="colorScale" priority="1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/>
  </sheetViews>
  <sheetFormatPr defaultRowHeight="15" x14ac:dyDescent="0.25"/>
  <cols>
    <col min="1" max="1" width="60" customWidth="1"/>
    <col min="2" max="2" width="16" customWidth="1"/>
    <col min="3" max="4" width="14" customWidth="1"/>
  </cols>
  <sheetData>
    <row r="1" spans="1:4" ht="18.75" x14ac:dyDescent="0.3">
      <c r="A1" s="4" t="s">
        <v>158</v>
      </c>
    </row>
    <row r="2" spans="1:4" x14ac:dyDescent="0.25">
      <c r="A2" t="s">
        <v>159</v>
      </c>
    </row>
    <row r="4" spans="1:4" x14ac:dyDescent="0.25">
      <c r="A4" s="5" t="s">
        <v>160</v>
      </c>
      <c r="B4" s="5" t="s">
        <v>161</v>
      </c>
      <c r="C4" s="5" t="s">
        <v>162</v>
      </c>
      <c r="D4" s="5" t="s">
        <v>163</v>
      </c>
    </row>
    <row r="5" spans="1:4" x14ac:dyDescent="0.25">
      <c r="A5" t="s">
        <v>164</v>
      </c>
      <c r="B5" s="7">
        <f>Gap_Meta!R21</f>
        <v>0.41579491895620185</v>
      </c>
      <c r="C5" s="19">
        <v>0</v>
      </c>
      <c r="D5" s="7">
        <f>B5+C5</f>
        <v>0.41579491895620185</v>
      </c>
    </row>
    <row r="6" spans="1:4" x14ac:dyDescent="0.25">
      <c r="A6" t="s">
        <v>165</v>
      </c>
      <c r="B6" s="7">
        <f>Gap_Meta!S21</f>
        <v>0.49682056953276194</v>
      </c>
      <c r="C6" s="19">
        <v>0</v>
      </c>
      <c r="D6" s="7">
        <f>B6+C6</f>
        <v>0.49682056953276194</v>
      </c>
    </row>
    <row r="7" spans="1:4" x14ac:dyDescent="0.25">
      <c r="A7" t="s">
        <v>166</v>
      </c>
      <c r="B7" s="7">
        <f>Gap_Meta!T21</f>
        <v>0.19254312743461324</v>
      </c>
      <c r="C7" s="19">
        <v>0.05</v>
      </c>
      <c r="D7" s="7">
        <f>B7+C7</f>
        <v>0.24254312743461326</v>
      </c>
    </row>
    <row r="9" spans="1:4" x14ac:dyDescent="0.25">
      <c r="A9" t="s">
        <v>167</v>
      </c>
      <c r="B9" s="7">
        <f>B5*B6*B7</f>
        <v>3.9774686745602944E-2</v>
      </c>
    </row>
    <row r="10" spans="1:4" x14ac:dyDescent="0.25">
      <c r="A10" t="s">
        <v>168</v>
      </c>
      <c r="B10" s="7">
        <f>D5*D6*D7</f>
        <v>5.0103460167835387E-2</v>
      </c>
    </row>
    <row r="11" spans="1:4" x14ac:dyDescent="0.25">
      <c r="A11" t="s">
        <v>169</v>
      </c>
      <c r="B11" s="20">
        <f>B10/B9-1</f>
        <v>0.25968208092485545</v>
      </c>
    </row>
    <row r="12" spans="1:4" x14ac:dyDescent="0.25">
      <c r="A12" t="s">
        <v>170</v>
      </c>
      <c r="B12" s="15">
        <f>B11*Gap_Meta!H20</f>
        <v>77644.942196531774</v>
      </c>
    </row>
    <row r="13" spans="1:4" x14ac:dyDescent="0.25">
      <c r="A13" t="s">
        <v>171</v>
      </c>
      <c r="B13" s="15">
        <f>B11*SUMIFS(Gap_Meta!$H$5:$H$19,Gap_Meta!$I$5:$I$19,"&lt;1")</f>
        <v>32200.578034682076</v>
      </c>
    </row>
    <row r="14" spans="1:4" x14ac:dyDescent="0.25">
      <c r="A14" t="s">
        <v>172</v>
      </c>
      <c r="B14" s="21">
        <f>B13/Gap_Meta!J20</f>
        <v>1.6513116940862602</v>
      </c>
    </row>
    <row r="16" spans="1:4" x14ac:dyDescent="0.25">
      <c r="A16" s="22" t="s">
        <v>173</v>
      </c>
      <c r="B16" s="23"/>
      <c r="C16" s="23"/>
      <c r="D16" s="23"/>
    </row>
    <row r="17" spans="1:4" x14ac:dyDescent="0.25">
      <c r="A17" s="23"/>
      <c r="B17" s="23"/>
      <c r="C17" s="23"/>
      <c r="D17" s="23"/>
    </row>
    <row r="18" spans="1:4" x14ac:dyDescent="0.25">
      <c r="A18" s="23"/>
      <c r="B18" s="23"/>
      <c r="C18" s="23"/>
      <c r="D18" s="23"/>
    </row>
  </sheetData>
  <mergeCells count="1">
    <mergeCell ref="A16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0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3" width="15" customWidth="1"/>
    <col min="4" max="4" width="11" customWidth="1"/>
    <col min="5" max="5" width="17" customWidth="1"/>
    <col min="6" max="6" width="9" customWidth="1"/>
    <col min="7" max="7" width="10" customWidth="1"/>
    <col min="8" max="8" width="19" customWidth="1"/>
    <col min="9" max="9" width="16" customWidth="1"/>
    <col min="10" max="11" width="8" customWidth="1"/>
    <col min="12" max="12" width="5" customWidth="1"/>
    <col min="13" max="14" width="11" customWidth="1"/>
    <col min="15" max="17" width="10" customWidth="1"/>
    <col min="18" max="18" width="11" customWidth="1"/>
    <col min="19" max="19" width="6" customWidth="1"/>
    <col min="20" max="20" width="38" customWidth="1"/>
    <col min="21" max="21" width="9" customWidth="1"/>
    <col min="22" max="23" width="11" customWidth="1"/>
    <col min="24" max="24" width="12" customWidth="1"/>
  </cols>
  <sheetData>
    <row r="1" spans="1:24" ht="45" customHeight="1" x14ac:dyDescent="0.25">
      <c r="A1" s="5" t="s">
        <v>174</v>
      </c>
      <c r="B1" s="5" t="s">
        <v>79</v>
      </c>
      <c r="C1" s="5" t="s">
        <v>175</v>
      </c>
      <c r="D1" s="5" t="s">
        <v>80</v>
      </c>
      <c r="E1" s="5" t="s">
        <v>70</v>
      </c>
      <c r="F1" s="5" t="s">
        <v>176</v>
      </c>
      <c r="G1" s="5" t="s">
        <v>177</v>
      </c>
      <c r="H1" s="5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P1" s="5" t="s">
        <v>32</v>
      </c>
      <c r="Q1" s="5" t="s">
        <v>186</v>
      </c>
      <c r="R1" s="5" t="s">
        <v>187</v>
      </c>
      <c r="S1" s="5" t="s">
        <v>188</v>
      </c>
      <c r="T1" s="5" t="s">
        <v>189</v>
      </c>
      <c r="U1" s="5" t="s">
        <v>190</v>
      </c>
      <c r="V1" s="5" t="s">
        <v>191</v>
      </c>
      <c r="W1" s="5" t="s">
        <v>192</v>
      </c>
      <c r="X1" s="5" t="s">
        <v>193</v>
      </c>
    </row>
    <row r="2" spans="1:24" x14ac:dyDescent="0.25">
      <c r="A2" t="s">
        <v>194</v>
      </c>
      <c r="B2" t="s">
        <v>59</v>
      </c>
      <c r="C2" t="s">
        <v>195</v>
      </c>
      <c r="D2" t="s">
        <v>107</v>
      </c>
      <c r="E2" t="s">
        <v>72</v>
      </c>
      <c r="F2">
        <v>35</v>
      </c>
      <c r="G2" t="s">
        <v>196</v>
      </c>
      <c r="H2" t="s">
        <v>197</v>
      </c>
      <c r="I2" t="s">
        <v>198</v>
      </c>
      <c r="J2">
        <v>2</v>
      </c>
      <c r="K2">
        <v>0</v>
      </c>
      <c r="L2">
        <v>0</v>
      </c>
      <c r="M2" s="8">
        <v>4</v>
      </c>
      <c r="N2" t="s">
        <v>199</v>
      </c>
      <c r="O2" t="str">
        <f>IF(B2="SP",IF(C2="São Paulo","FRQ001","FRQ002"),VLOOKUP(B2,Premissas!$A$11:$B$28,2,FALSE))</f>
        <v>FRQ003</v>
      </c>
      <c r="P2" t="str">
        <f t="shared" ref="P2:P65" si="0">IF(O2="Sem franquia","Sem franquia","Própria")</f>
        <v>Própria</v>
      </c>
      <c r="Q2" s="10">
        <f>VLOOKUP(E2,Premissas!$A$32:$B$35,2,FALSE)</f>
        <v>1121</v>
      </c>
      <c r="R2" s="10">
        <f>Q2*(1-Premissas!$B$5)</f>
        <v>890.6345</v>
      </c>
      <c r="S2">
        <f t="shared" ref="S2:S65" si="1">IF(J2&gt;=3,1,IF(N2="Alta",2,IF(K2=1,3,IF(N2="Média",4,5))))</f>
        <v>2</v>
      </c>
      <c r="T2" t="str">
        <f t="shared" ref="T2:T65" si="2">CHOOSE(S2,"1. Fechar (lead ativo em Reunião/Proposta)","2. Prospectar tier Alta","3. Requalificar ou encerrar lead parado","4. Nutrir (marketing/inbound)","5. Régua automatizada")</f>
        <v>2. Prospectar tier Alta</v>
      </c>
      <c r="U2">
        <f t="shared" ref="U2:U65" si="3">COUNTIFS($O$2:$O$304,O2,$S$2:$S$304,"&lt;"&amp;S2)+COUNTIFS($O$2:$O$304,O2,$S$2:$S$304,S2,$R$2:$R$304,"&gt;"&amp;R2)+1</f>
        <v>5</v>
      </c>
      <c r="V2" t="s">
        <v>200</v>
      </c>
      <c r="W2" t="s">
        <v>201</v>
      </c>
      <c r="X2" s="13">
        <v>0.33860000000000001</v>
      </c>
    </row>
    <row r="3" spans="1:24" x14ac:dyDescent="0.25">
      <c r="A3" t="s">
        <v>202</v>
      </c>
      <c r="B3" t="s">
        <v>52</v>
      </c>
      <c r="C3" t="s">
        <v>203</v>
      </c>
      <c r="D3" t="s">
        <v>117</v>
      </c>
      <c r="E3" t="s">
        <v>74</v>
      </c>
      <c r="F3">
        <v>160</v>
      </c>
      <c r="G3" t="s">
        <v>204</v>
      </c>
      <c r="H3" t="s">
        <v>197</v>
      </c>
      <c r="I3" t="s">
        <v>205</v>
      </c>
      <c r="J3">
        <v>0</v>
      </c>
      <c r="K3">
        <v>1</v>
      </c>
      <c r="L3">
        <v>1</v>
      </c>
      <c r="M3" s="8">
        <v>3</v>
      </c>
      <c r="N3" t="s">
        <v>206</v>
      </c>
      <c r="O3" t="str">
        <f>IF(B3="SP",IF(C3="São Paulo","FRQ001","FRQ002"),VLOOKUP(B3,Premissas!$A$11:$B$28,2,FALSE))</f>
        <v>Sem franquia</v>
      </c>
      <c r="P3" t="str">
        <f t="shared" si="0"/>
        <v>Sem franquia</v>
      </c>
      <c r="Q3" s="10">
        <f>VLOOKUP(E3,Premissas!$A$32:$B$35,2,FALSE)</f>
        <v>1052</v>
      </c>
      <c r="R3" s="10">
        <f>Q3*(1-Premissas!$B$5)</f>
        <v>835.81399999999996</v>
      </c>
      <c r="S3">
        <f t="shared" si="1"/>
        <v>3</v>
      </c>
      <c r="T3" t="str">
        <f t="shared" si="2"/>
        <v>3. Requalificar ou encerrar lead parado</v>
      </c>
      <c r="U3">
        <f t="shared" si="3"/>
        <v>8</v>
      </c>
      <c r="V3" t="s">
        <v>200</v>
      </c>
      <c r="W3" t="s">
        <v>207</v>
      </c>
      <c r="X3" s="13">
        <v>0.69830000000000003</v>
      </c>
    </row>
    <row r="4" spans="1:24" x14ac:dyDescent="0.25">
      <c r="A4" t="s">
        <v>208</v>
      </c>
      <c r="B4" t="s">
        <v>44</v>
      </c>
      <c r="C4" t="s">
        <v>209</v>
      </c>
      <c r="D4" t="s">
        <v>117</v>
      </c>
      <c r="E4" t="s">
        <v>75</v>
      </c>
      <c r="F4">
        <v>22</v>
      </c>
      <c r="G4" t="s">
        <v>210</v>
      </c>
      <c r="H4" t="s">
        <v>211</v>
      </c>
      <c r="I4" t="s">
        <v>205</v>
      </c>
      <c r="J4">
        <v>0</v>
      </c>
      <c r="K4">
        <v>0</v>
      </c>
      <c r="L4">
        <v>0</v>
      </c>
      <c r="M4" s="8">
        <v>2</v>
      </c>
      <c r="N4" t="s">
        <v>212</v>
      </c>
      <c r="O4" t="str">
        <f>IF(B4="SP",IF(C4="São Paulo","FRQ001","FRQ002"),VLOOKUP(B4,Premissas!$A$11:$B$28,2,FALSE))</f>
        <v>FRQ009</v>
      </c>
      <c r="P4" t="str">
        <f t="shared" si="0"/>
        <v>Própria</v>
      </c>
      <c r="Q4" s="10">
        <f>VLOOKUP(E4,Premissas!$A$32:$B$35,2,FALSE)</f>
        <v>938</v>
      </c>
      <c r="R4" s="10">
        <f>Q4*(1-Premissas!$B$5)</f>
        <v>745.24099999999999</v>
      </c>
      <c r="S4">
        <f t="shared" si="1"/>
        <v>5</v>
      </c>
      <c r="T4" t="str">
        <f t="shared" si="2"/>
        <v>5. Régua automatizada</v>
      </c>
      <c r="U4">
        <f t="shared" si="3"/>
        <v>6</v>
      </c>
      <c r="V4" t="s">
        <v>213</v>
      </c>
      <c r="W4" t="s">
        <v>207</v>
      </c>
      <c r="X4" s="13">
        <v>0.12620000000000001</v>
      </c>
    </row>
    <row r="5" spans="1:24" x14ac:dyDescent="0.25">
      <c r="A5" t="s">
        <v>214</v>
      </c>
      <c r="B5" t="s">
        <v>66</v>
      </c>
      <c r="C5" t="s">
        <v>215</v>
      </c>
      <c r="D5" t="s">
        <v>107</v>
      </c>
      <c r="E5" t="s">
        <v>75</v>
      </c>
      <c r="F5">
        <v>21</v>
      </c>
      <c r="G5" t="s">
        <v>216</v>
      </c>
      <c r="H5" t="s">
        <v>211</v>
      </c>
      <c r="I5" t="s">
        <v>205</v>
      </c>
      <c r="J5">
        <v>0</v>
      </c>
      <c r="K5">
        <v>0</v>
      </c>
      <c r="L5">
        <v>0</v>
      </c>
      <c r="M5" s="8">
        <v>2</v>
      </c>
      <c r="N5" t="s">
        <v>212</v>
      </c>
      <c r="O5" t="str">
        <f>IF(B5="SP",IF(C5="São Paulo","FRQ001","FRQ002"),VLOOKUP(B5,Premissas!$A$11:$B$28,2,FALSE))</f>
        <v>FRQ002</v>
      </c>
      <c r="P5" t="str">
        <f t="shared" si="0"/>
        <v>Própria</v>
      </c>
      <c r="Q5" s="10">
        <f>VLOOKUP(E5,Premissas!$A$32:$B$35,2,FALSE)</f>
        <v>938</v>
      </c>
      <c r="R5" s="10">
        <f>Q5*(1-Premissas!$B$5)</f>
        <v>745.24099999999999</v>
      </c>
      <c r="S5">
        <f t="shared" si="1"/>
        <v>5</v>
      </c>
      <c r="T5" t="str">
        <f t="shared" si="2"/>
        <v>5. Régua automatizada</v>
      </c>
      <c r="U5">
        <f t="shared" si="3"/>
        <v>26</v>
      </c>
      <c r="V5" t="s">
        <v>213</v>
      </c>
      <c r="W5" t="s">
        <v>207</v>
      </c>
      <c r="X5" s="13">
        <v>0.2261</v>
      </c>
    </row>
    <row r="6" spans="1:24" x14ac:dyDescent="0.25">
      <c r="A6" t="s">
        <v>217</v>
      </c>
      <c r="B6" t="s">
        <v>49</v>
      </c>
      <c r="C6" t="s">
        <v>218</v>
      </c>
      <c r="D6" t="s">
        <v>107</v>
      </c>
      <c r="E6" t="s">
        <v>75</v>
      </c>
      <c r="F6">
        <v>13</v>
      </c>
      <c r="G6" t="s">
        <v>219</v>
      </c>
      <c r="H6" t="s">
        <v>197</v>
      </c>
      <c r="I6" t="s">
        <v>220</v>
      </c>
      <c r="J6">
        <v>1</v>
      </c>
      <c r="K6">
        <v>0</v>
      </c>
      <c r="L6">
        <v>0</v>
      </c>
      <c r="M6" s="8">
        <v>2</v>
      </c>
      <c r="N6" t="s">
        <v>212</v>
      </c>
      <c r="O6" t="str">
        <f>IF(B6="SP",IF(C6="São Paulo","FRQ001","FRQ002"),VLOOKUP(B6,Premissas!$A$11:$B$28,2,FALSE))</f>
        <v>FRQ004</v>
      </c>
      <c r="P6" t="str">
        <f t="shared" si="0"/>
        <v>Própria</v>
      </c>
      <c r="Q6" s="10">
        <f>VLOOKUP(E6,Premissas!$A$32:$B$35,2,FALSE)</f>
        <v>938</v>
      </c>
      <c r="R6" s="10">
        <f>Q6*(1-Premissas!$B$5)</f>
        <v>745.24099999999999</v>
      </c>
      <c r="S6">
        <f t="shared" si="1"/>
        <v>5</v>
      </c>
      <c r="T6" t="str">
        <f t="shared" si="2"/>
        <v>5. Régua automatizada</v>
      </c>
      <c r="U6">
        <f t="shared" si="3"/>
        <v>20</v>
      </c>
      <c r="V6" t="s">
        <v>221</v>
      </c>
      <c r="W6" t="s">
        <v>201</v>
      </c>
      <c r="X6" s="13">
        <v>0.1094</v>
      </c>
    </row>
    <row r="7" spans="1:24" x14ac:dyDescent="0.25">
      <c r="A7" t="s">
        <v>222</v>
      </c>
      <c r="B7" t="s">
        <v>66</v>
      </c>
      <c r="C7" t="s">
        <v>223</v>
      </c>
      <c r="D7" t="s">
        <v>107</v>
      </c>
      <c r="E7" t="s">
        <v>75</v>
      </c>
      <c r="F7">
        <v>19</v>
      </c>
      <c r="G7" t="s">
        <v>210</v>
      </c>
      <c r="H7" t="s">
        <v>211</v>
      </c>
      <c r="I7" t="s">
        <v>205</v>
      </c>
      <c r="J7">
        <v>0</v>
      </c>
      <c r="K7">
        <v>0</v>
      </c>
      <c r="L7">
        <v>0</v>
      </c>
      <c r="M7" s="8">
        <v>2</v>
      </c>
      <c r="N7" t="s">
        <v>212</v>
      </c>
      <c r="O7" t="str">
        <f>IF(B7="SP",IF(C7="São Paulo","FRQ001","FRQ002"),VLOOKUP(B7,Premissas!$A$11:$B$28,2,FALSE))</f>
        <v>FRQ001</v>
      </c>
      <c r="P7" t="str">
        <f t="shared" si="0"/>
        <v>Própria</v>
      </c>
      <c r="Q7" s="10">
        <f>VLOOKUP(E7,Premissas!$A$32:$B$35,2,FALSE)</f>
        <v>938</v>
      </c>
      <c r="R7" s="10">
        <f>Q7*(1-Premissas!$B$5)</f>
        <v>745.24099999999999</v>
      </c>
      <c r="S7">
        <f t="shared" si="1"/>
        <v>5</v>
      </c>
      <c r="T7" t="str">
        <f t="shared" si="2"/>
        <v>5. Régua automatizada</v>
      </c>
      <c r="U7">
        <f t="shared" si="3"/>
        <v>3</v>
      </c>
      <c r="V7" t="s">
        <v>213</v>
      </c>
      <c r="W7" t="s">
        <v>207</v>
      </c>
      <c r="X7" s="13">
        <v>0.16489999999999999</v>
      </c>
    </row>
    <row r="8" spans="1:24" x14ac:dyDescent="0.25">
      <c r="A8" t="s">
        <v>224</v>
      </c>
      <c r="B8" t="s">
        <v>66</v>
      </c>
      <c r="C8" t="s">
        <v>225</v>
      </c>
      <c r="D8" t="s">
        <v>107</v>
      </c>
      <c r="E8" t="s">
        <v>75</v>
      </c>
      <c r="F8">
        <v>21</v>
      </c>
      <c r="G8" t="s">
        <v>204</v>
      </c>
      <c r="H8" t="s">
        <v>226</v>
      </c>
      <c r="I8" t="s">
        <v>205</v>
      </c>
      <c r="J8">
        <v>0</v>
      </c>
      <c r="K8">
        <v>0</v>
      </c>
      <c r="L8">
        <v>0</v>
      </c>
      <c r="M8" s="8">
        <v>2</v>
      </c>
      <c r="N8" t="s">
        <v>212</v>
      </c>
      <c r="O8" t="str">
        <f>IF(B8="SP",IF(C8="São Paulo","FRQ001","FRQ002"),VLOOKUP(B8,Premissas!$A$11:$B$28,2,FALSE))</f>
        <v>FRQ002</v>
      </c>
      <c r="P8" t="str">
        <f t="shared" si="0"/>
        <v>Própria</v>
      </c>
      <c r="Q8" s="10">
        <f>VLOOKUP(E8,Premissas!$A$32:$B$35,2,FALSE)</f>
        <v>938</v>
      </c>
      <c r="R8" s="10">
        <f>Q8*(1-Premissas!$B$5)</f>
        <v>745.24099999999999</v>
      </c>
      <c r="S8">
        <f t="shared" si="1"/>
        <v>5</v>
      </c>
      <c r="T8" t="str">
        <f t="shared" si="2"/>
        <v>5. Régua automatizada</v>
      </c>
      <c r="U8">
        <f t="shared" si="3"/>
        <v>26</v>
      </c>
      <c r="V8" t="s">
        <v>213</v>
      </c>
      <c r="W8" t="s">
        <v>207</v>
      </c>
      <c r="X8" s="13">
        <v>0.20150000000000001</v>
      </c>
    </row>
    <row r="9" spans="1:24" x14ac:dyDescent="0.25">
      <c r="A9" t="s">
        <v>227</v>
      </c>
      <c r="B9" t="s">
        <v>59</v>
      </c>
      <c r="C9" t="s">
        <v>228</v>
      </c>
      <c r="D9" t="s">
        <v>107</v>
      </c>
      <c r="E9" t="s">
        <v>75</v>
      </c>
      <c r="F9">
        <v>3</v>
      </c>
      <c r="G9" t="s">
        <v>219</v>
      </c>
      <c r="H9" t="s">
        <v>197</v>
      </c>
      <c r="I9" t="s">
        <v>198</v>
      </c>
      <c r="J9">
        <v>2</v>
      </c>
      <c r="K9">
        <v>0</v>
      </c>
      <c r="L9">
        <v>0</v>
      </c>
      <c r="M9" s="8">
        <v>2</v>
      </c>
      <c r="N9" t="s">
        <v>212</v>
      </c>
      <c r="O9" t="str">
        <f>IF(B9="SP",IF(C9="São Paulo","FRQ001","FRQ002"),VLOOKUP(B9,Premissas!$A$11:$B$28,2,FALSE))</f>
        <v>FRQ003</v>
      </c>
      <c r="P9" t="str">
        <f t="shared" si="0"/>
        <v>Própria</v>
      </c>
      <c r="Q9" s="10">
        <f>VLOOKUP(E9,Premissas!$A$32:$B$35,2,FALSE)</f>
        <v>938</v>
      </c>
      <c r="R9" s="10">
        <f>Q9*(1-Premissas!$B$5)</f>
        <v>745.24099999999999</v>
      </c>
      <c r="S9">
        <f t="shared" si="1"/>
        <v>5</v>
      </c>
      <c r="T9" t="str">
        <f t="shared" si="2"/>
        <v>5. Régua automatizada</v>
      </c>
      <c r="U9">
        <f t="shared" si="3"/>
        <v>31</v>
      </c>
      <c r="V9" t="s">
        <v>221</v>
      </c>
      <c r="W9" t="s">
        <v>201</v>
      </c>
      <c r="X9" s="13">
        <v>0.1094</v>
      </c>
    </row>
    <row r="10" spans="1:24" x14ac:dyDescent="0.25">
      <c r="A10" t="s">
        <v>229</v>
      </c>
      <c r="B10" t="s">
        <v>64</v>
      </c>
      <c r="C10" t="s">
        <v>230</v>
      </c>
      <c r="D10" t="s">
        <v>113</v>
      </c>
      <c r="E10" t="s">
        <v>75</v>
      </c>
      <c r="F10">
        <v>14</v>
      </c>
      <c r="G10" t="s">
        <v>196</v>
      </c>
      <c r="H10" t="s">
        <v>197</v>
      </c>
      <c r="I10" t="s">
        <v>231</v>
      </c>
      <c r="J10">
        <v>4</v>
      </c>
      <c r="K10">
        <v>0</v>
      </c>
      <c r="L10">
        <v>0</v>
      </c>
      <c r="M10" s="8">
        <v>3</v>
      </c>
      <c r="N10" t="s">
        <v>206</v>
      </c>
      <c r="O10" t="str">
        <f>IF(B10="SP",IF(C10="São Paulo","FRQ001","FRQ002"),VLOOKUP(B10,Premissas!$A$11:$B$28,2,FALSE))</f>
        <v>FRQ006</v>
      </c>
      <c r="P10" t="str">
        <f t="shared" si="0"/>
        <v>Própria</v>
      </c>
      <c r="Q10" s="10">
        <f>VLOOKUP(E10,Premissas!$A$32:$B$35,2,FALSE)</f>
        <v>938</v>
      </c>
      <c r="R10" s="10">
        <f>Q10*(1-Premissas!$B$5)</f>
        <v>745.24099999999999</v>
      </c>
      <c r="S10">
        <f t="shared" si="1"/>
        <v>1</v>
      </c>
      <c r="T10" t="str">
        <f t="shared" si="2"/>
        <v>1. Fechar (lead ativo em Reunião/Proposta)</v>
      </c>
      <c r="U10">
        <f t="shared" si="3"/>
        <v>1</v>
      </c>
      <c r="V10" t="s">
        <v>221</v>
      </c>
      <c r="W10" t="s">
        <v>232</v>
      </c>
      <c r="X10" s="13">
        <v>0.1757</v>
      </c>
    </row>
    <row r="11" spans="1:24" x14ac:dyDescent="0.25">
      <c r="A11" t="s">
        <v>233</v>
      </c>
      <c r="B11" t="s">
        <v>66</v>
      </c>
      <c r="C11" t="s">
        <v>234</v>
      </c>
      <c r="D11" t="s">
        <v>107</v>
      </c>
      <c r="E11" t="s">
        <v>72</v>
      </c>
      <c r="F11">
        <v>29</v>
      </c>
      <c r="G11" t="s">
        <v>204</v>
      </c>
      <c r="H11" t="s">
        <v>211</v>
      </c>
      <c r="I11" t="s">
        <v>205</v>
      </c>
      <c r="J11">
        <v>0</v>
      </c>
      <c r="K11">
        <v>0</v>
      </c>
      <c r="L11">
        <v>0</v>
      </c>
      <c r="M11" s="8">
        <v>3</v>
      </c>
      <c r="N11" t="s">
        <v>206</v>
      </c>
      <c r="O11" t="str">
        <f>IF(B11="SP",IF(C11="São Paulo","FRQ001","FRQ002"),VLOOKUP(B11,Premissas!$A$11:$B$28,2,FALSE))</f>
        <v>FRQ002</v>
      </c>
      <c r="P11" t="str">
        <f t="shared" si="0"/>
        <v>Própria</v>
      </c>
      <c r="Q11" s="10">
        <f>VLOOKUP(E11,Premissas!$A$32:$B$35,2,FALSE)</f>
        <v>1121</v>
      </c>
      <c r="R11" s="10">
        <f>Q11*(1-Premissas!$B$5)</f>
        <v>890.6345</v>
      </c>
      <c r="S11">
        <f t="shared" si="1"/>
        <v>4</v>
      </c>
      <c r="T11" t="str">
        <f t="shared" si="2"/>
        <v>4. Nutrir (marketing/inbound)</v>
      </c>
      <c r="U11">
        <f t="shared" si="3"/>
        <v>9</v>
      </c>
      <c r="V11" t="s">
        <v>200</v>
      </c>
      <c r="W11" t="s">
        <v>207</v>
      </c>
      <c r="X11" s="13">
        <v>0.33450000000000002</v>
      </c>
    </row>
    <row r="12" spans="1:24" x14ac:dyDescent="0.25">
      <c r="A12" t="s">
        <v>235</v>
      </c>
      <c r="B12" t="s">
        <v>44</v>
      </c>
      <c r="C12" t="s">
        <v>236</v>
      </c>
      <c r="D12" t="s">
        <v>117</v>
      </c>
      <c r="E12" t="s">
        <v>72</v>
      </c>
      <c r="F12">
        <v>54</v>
      </c>
      <c r="G12" t="s">
        <v>237</v>
      </c>
      <c r="H12" t="s">
        <v>211</v>
      </c>
      <c r="I12" t="s">
        <v>205</v>
      </c>
      <c r="J12">
        <v>0</v>
      </c>
      <c r="K12">
        <v>0</v>
      </c>
      <c r="L12">
        <v>1</v>
      </c>
      <c r="M12" s="8">
        <v>3</v>
      </c>
      <c r="N12" t="s">
        <v>206</v>
      </c>
      <c r="O12" t="str">
        <f>IF(B12="SP",IF(C12="São Paulo","FRQ001","FRQ002"),VLOOKUP(B12,Premissas!$A$11:$B$28,2,FALSE))</f>
        <v>FRQ009</v>
      </c>
      <c r="P12" t="str">
        <f t="shared" si="0"/>
        <v>Própria</v>
      </c>
      <c r="Q12" s="10">
        <f>VLOOKUP(E12,Premissas!$A$32:$B$35,2,FALSE)</f>
        <v>1121</v>
      </c>
      <c r="R12" s="10">
        <f>Q12*(1-Premissas!$B$5)</f>
        <v>890.6345</v>
      </c>
      <c r="S12">
        <f t="shared" si="1"/>
        <v>4</v>
      </c>
      <c r="T12" t="str">
        <f t="shared" si="2"/>
        <v>4. Nutrir (marketing/inbound)</v>
      </c>
      <c r="U12">
        <f t="shared" si="3"/>
        <v>4</v>
      </c>
      <c r="V12" t="s">
        <v>200</v>
      </c>
      <c r="W12" t="s">
        <v>207</v>
      </c>
      <c r="X12" s="13">
        <v>0.54620000000000002</v>
      </c>
    </row>
    <row r="13" spans="1:24" x14ac:dyDescent="0.25">
      <c r="A13" t="s">
        <v>238</v>
      </c>
      <c r="B13" t="s">
        <v>49</v>
      </c>
      <c r="C13" t="s">
        <v>239</v>
      </c>
      <c r="D13" t="s">
        <v>107</v>
      </c>
      <c r="E13" t="s">
        <v>72</v>
      </c>
      <c r="F13">
        <v>18</v>
      </c>
      <c r="G13" t="s">
        <v>237</v>
      </c>
      <c r="H13" t="s">
        <v>211</v>
      </c>
      <c r="I13" t="s">
        <v>205</v>
      </c>
      <c r="J13">
        <v>0</v>
      </c>
      <c r="K13">
        <v>0</v>
      </c>
      <c r="L13">
        <v>0</v>
      </c>
      <c r="M13" s="8">
        <v>2</v>
      </c>
      <c r="N13" t="s">
        <v>212</v>
      </c>
      <c r="O13" t="str">
        <f>IF(B13="SP",IF(C13="São Paulo","FRQ001","FRQ002"),VLOOKUP(B13,Premissas!$A$11:$B$28,2,FALSE))</f>
        <v>FRQ004</v>
      </c>
      <c r="P13" t="str">
        <f t="shared" si="0"/>
        <v>Própria</v>
      </c>
      <c r="Q13" s="10">
        <f>VLOOKUP(E13,Premissas!$A$32:$B$35,2,FALSE)</f>
        <v>1121</v>
      </c>
      <c r="R13" s="10">
        <f>Q13*(1-Premissas!$B$5)</f>
        <v>890.6345</v>
      </c>
      <c r="S13">
        <f t="shared" si="1"/>
        <v>5</v>
      </c>
      <c r="T13" t="str">
        <f t="shared" si="2"/>
        <v>5. Régua automatizada</v>
      </c>
      <c r="U13">
        <f t="shared" si="3"/>
        <v>19</v>
      </c>
      <c r="V13" t="s">
        <v>213</v>
      </c>
      <c r="W13" t="s">
        <v>207</v>
      </c>
      <c r="X13" s="13">
        <v>0.38030000000000003</v>
      </c>
    </row>
    <row r="14" spans="1:24" x14ac:dyDescent="0.25">
      <c r="A14" t="s">
        <v>240</v>
      </c>
      <c r="B14" t="s">
        <v>59</v>
      </c>
      <c r="C14" t="s">
        <v>228</v>
      </c>
      <c r="D14" t="s">
        <v>107</v>
      </c>
      <c r="E14" t="s">
        <v>72</v>
      </c>
      <c r="F14">
        <v>44</v>
      </c>
      <c r="G14" t="s">
        <v>216</v>
      </c>
      <c r="H14" t="s">
        <v>197</v>
      </c>
      <c r="I14" t="s">
        <v>198</v>
      </c>
      <c r="J14">
        <v>2</v>
      </c>
      <c r="K14">
        <v>0</v>
      </c>
      <c r="L14">
        <v>0</v>
      </c>
      <c r="M14" s="8">
        <v>4</v>
      </c>
      <c r="N14" t="s">
        <v>199</v>
      </c>
      <c r="O14" t="str">
        <f>IF(B14="SP",IF(C14="São Paulo","FRQ001","FRQ002"),VLOOKUP(B14,Premissas!$A$11:$B$28,2,FALSE))</f>
        <v>FRQ003</v>
      </c>
      <c r="P14" t="str">
        <f t="shared" si="0"/>
        <v>Própria</v>
      </c>
      <c r="Q14" s="10">
        <f>VLOOKUP(E14,Premissas!$A$32:$B$35,2,FALSE)</f>
        <v>1121</v>
      </c>
      <c r="R14" s="10">
        <f>Q14*(1-Premissas!$B$5)</f>
        <v>890.6345</v>
      </c>
      <c r="S14">
        <f t="shared" si="1"/>
        <v>2</v>
      </c>
      <c r="T14" t="str">
        <f t="shared" si="2"/>
        <v>2. Prospectar tier Alta</v>
      </c>
      <c r="U14">
        <f t="shared" si="3"/>
        <v>5</v>
      </c>
      <c r="V14" t="s">
        <v>200</v>
      </c>
      <c r="W14" t="s">
        <v>201</v>
      </c>
      <c r="X14" s="13">
        <v>0.29039999999999999</v>
      </c>
    </row>
    <row r="15" spans="1:24" x14ac:dyDescent="0.25">
      <c r="A15" t="s">
        <v>241</v>
      </c>
      <c r="B15" t="s">
        <v>66</v>
      </c>
      <c r="C15" t="s">
        <v>242</v>
      </c>
      <c r="D15" t="s">
        <v>107</v>
      </c>
      <c r="E15" t="s">
        <v>72</v>
      </c>
      <c r="F15">
        <v>21</v>
      </c>
      <c r="G15" t="s">
        <v>243</v>
      </c>
      <c r="H15" t="s">
        <v>211</v>
      </c>
      <c r="I15" t="s">
        <v>205</v>
      </c>
      <c r="J15">
        <v>0</v>
      </c>
      <c r="K15">
        <v>0</v>
      </c>
      <c r="L15">
        <v>0</v>
      </c>
      <c r="M15" s="8">
        <v>2</v>
      </c>
      <c r="N15" t="s">
        <v>212</v>
      </c>
      <c r="O15" t="str">
        <f>IF(B15="SP",IF(C15="São Paulo","FRQ001","FRQ002"),VLOOKUP(B15,Premissas!$A$11:$B$28,2,FALSE))</f>
        <v>FRQ002</v>
      </c>
      <c r="P15" t="str">
        <f t="shared" si="0"/>
        <v>Própria</v>
      </c>
      <c r="Q15" s="10">
        <f>VLOOKUP(E15,Premissas!$A$32:$B$35,2,FALSE)</f>
        <v>1121</v>
      </c>
      <c r="R15" s="10">
        <f>Q15*(1-Premissas!$B$5)</f>
        <v>890.6345</v>
      </c>
      <c r="S15">
        <f t="shared" si="1"/>
        <v>5</v>
      </c>
      <c r="T15" t="str">
        <f t="shared" si="2"/>
        <v>5. Régua automatizada</v>
      </c>
      <c r="U15">
        <f t="shared" si="3"/>
        <v>22</v>
      </c>
      <c r="V15" t="s">
        <v>213</v>
      </c>
      <c r="W15" t="s">
        <v>207</v>
      </c>
      <c r="X15" s="13">
        <v>0.3896</v>
      </c>
    </row>
    <row r="16" spans="1:24" x14ac:dyDescent="0.25">
      <c r="A16" t="s">
        <v>244</v>
      </c>
      <c r="B16" t="s">
        <v>66</v>
      </c>
      <c r="C16" t="s">
        <v>242</v>
      </c>
      <c r="D16" t="s">
        <v>107</v>
      </c>
      <c r="E16" t="s">
        <v>75</v>
      </c>
      <c r="F16">
        <v>21</v>
      </c>
      <c r="G16" t="s">
        <v>196</v>
      </c>
      <c r="H16" t="s">
        <v>211</v>
      </c>
      <c r="I16" t="s">
        <v>205</v>
      </c>
      <c r="J16">
        <v>0</v>
      </c>
      <c r="K16">
        <v>0</v>
      </c>
      <c r="L16">
        <v>0</v>
      </c>
      <c r="M16" s="8">
        <v>2</v>
      </c>
      <c r="N16" t="s">
        <v>212</v>
      </c>
      <c r="O16" t="str">
        <f>IF(B16="SP",IF(C16="São Paulo","FRQ001","FRQ002"),VLOOKUP(B16,Premissas!$A$11:$B$28,2,FALSE))</f>
        <v>FRQ002</v>
      </c>
      <c r="P16" t="str">
        <f t="shared" si="0"/>
        <v>Própria</v>
      </c>
      <c r="Q16" s="10">
        <f>VLOOKUP(E16,Premissas!$A$32:$B$35,2,FALSE)</f>
        <v>938</v>
      </c>
      <c r="R16" s="10">
        <f>Q16*(1-Premissas!$B$5)</f>
        <v>745.24099999999999</v>
      </c>
      <c r="S16">
        <f t="shared" si="1"/>
        <v>5</v>
      </c>
      <c r="T16" t="str">
        <f t="shared" si="2"/>
        <v>5. Régua automatizada</v>
      </c>
      <c r="U16">
        <f t="shared" si="3"/>
        <v>26</v>
      </c>
      <c r="V16" t="s">
        <v>213</v>
      </c>
      <c r="W16" t="s">
        <v>207</v>
      </c>
      <c r="X16" s="13">
        <v>0.27439999999999998</v>
      </c>
    </row>
    <row r="17" spans="1:24" x14ac:dyDescent="0.25">
      <c r="A17" t="s">
        <v>245</v>
      </c>
      <c r="B17" t="s">
        <v>52</v>
      </c>
      <c r="C17" t="s">
        <v>246</v>
      </c>
      <c r="D17" t="s">
        <v>117</v>
      </c>
      <c r="E17" t="s">
        <v>75</v>
      </c>
      <c r="F17">
        <v>23</v>
      </c>
      <c r="G17" t="s">
        <v>196</v>
      </c>
      <c r="H17" t="s">
        <v>247</v>
      </c>
      <c r="I17" t="s">
        <v>205</v>
      </c>
      <c r="J17">
        <v>0</v>
      </c>
      <c r="K17">
        <v>0</v>
      </c>
      <c r="L17">
        <v>0</v>
      </c>
      <c r="M17" s="8">
        <v>2</v>
      </c>
      <c r="N17" t="s">
        <v>212</v>
      </c>
      <c r="O17" t="str">
        <f>IF(B17="SP",IF(C17="São Paulo","FRQ001","FRQ002"),VLOOKUP(B17,Premissas!$A$11:$B$28,2,FALSE))</f>
        <v>Sem franquia</v>
      </c>
      <c r="P17" t="str">
        <f t="shared" si="0"/>
        <v>Sem franquia</v>
      </c>
      <c r="Q17" s="10">
        <f>VLOOKUP(E17,Premissas!$A$32:$B$35,2,FALSE)</f>
        <v>938</v>
      </c>
      <c r="R17" s="10">
        <f>Q17*(1-Premissas!$B$5)</f>
        <v>745.24099999999999</v>
      </c>
      <c r="S17">
        <f t="shared" si="1"/>
        <v>5</v>
      </c>
      <c r="T17" t="str">
        <f t="shared" si="2"/>
        <v>5. Régua automatizada</v>
      </c>
      <c r="U17">
        <f t="shared" si="3"/>
        <v>18</v>
      </c>
      <c r="V17" t="s">
        <v>213</v>
      </c>
      <c r="W17" t="s">
        <v>207</v>
      </c>
      <c r="X17" s="13">
        <v>0.27439999999999998</v>
      </c>
    </row>
    <row r="18" spans="1:24" x14ac:dyDescent="0.25">
      <c r="A18" t="s">
        <v>248</v>
      </c>
      <c r="B18" t="s">
        <v>57</v>
      </c>
      <c r="C18" t="s">
        <v>249</v>
      </c>
      <c r="D18" t="s">
        <v>113</v>
      </c>
      <c r="E18" t="s">
        <v>75</v>
      </c>
      <c r="F18">
        <v>22</v>
      </c>
      <c r="G18" t="s">
        <v>216</v>
      </c>
      <c r="H18" t="s">
        <v>197</v>
      </c>
      <c r="I18" t="s">
        <v>205</v>
      </c>
      <c r="J18">
        <v>0</v>
      </c>
      <c r="K18">
        <v>1</v>
      </c>
      <c r="L18">
        <v>0</v>
      </c>
      <c r="M18" s="8">
        <v>2</v>
      </c>
      <c r="N18" t="s">
        <v>212</v>
      </c>
      <c r="O18" t="str">
        <f>IF(B18="SP",IF(C18="São Paulo","FRQ001","FRQ002"),VLOOKUP(B18,Premissas!$A$11:$B$28,2,FALSE))</f>
        <v>FRQ005</v>
      </c>
      <c r="P18" t="str">
        <f t="shared" si="0"/>
        <v>Própria</v>
      </c>
      <c r="Q18" s="10">
        <f>VLOOKUP(E18,Premissas!$A$32:$B$35,2,FALSE)</f>
        <v>938</v>
      </c>
      <c r="R18" s="10">
        <f>Q18*(1-Premissas!$B$5)</f>
        <v>745.24099999999999</v>
      </c>
      <c r="S18">
        <f t="shared" si="1"/>
        <v>3</v>
      </c>
      <c r="T18" t="str">
        <f t="shared" si="2"/>
        <v>3. Requalificar ou encerrar lead parado</v>
      </c>
      <c r="U18">
        <f t="shared" si="3"/>
        <v>6</v>
      </c>
      <c r="V18" t="s">
        <v>213</v>
      </c>
      <c r="W18" t="s">
        <v>207</v>
      </c>
      <c r="X18" s="13">
        <v>0.2261</v>
      </c>
    </row>
    <row r="19" spans="1:24" x14ac:dyDescent="0.25">
      <c r="A19" t="s">
        <v>250</v>
      </c>
      <c r="B19" t="s">
        <v>33</v>
      </c>
      <c r="C19" t="s">
        <v>251</v>
      </c>
      <c r="D19" t="s">
        <v>124</v>
      </c>
      <c r="E19" t="s">
        <v>75</v>
      </c>
      <c r="F19">
        <v>15</v>
      </c>
      <c r="G19" t="s">
        <v>204</v>
      </c>
      <c r="H19" t="s">
        <v>197</v>
      </c>
      <c r="I19" t="s">
        <v>205</v>
      </c>
      <c r="J19">
        <v>0</v>
      </c>
      <c r="K19">
        <v>1</v>
      </c>
      <c r="L19">
        <v>0</v>
      </c>
      <c r="M19" s="8">
        <v>2</v>
      </c>
      <c r="N19" t="s">
        <v>212</v>
      </c>
      <c r="O19" t="str">
        <f>IF(B19="SP",IF(C19="São Paulo","FRQ001","FRQ002"),VLOOKUP(B19,Premissas!$A$11:$B$28,2,FALSE))</f>
        <v>FRQ013</v>
      </c>
      <c r="P19" t="str">
        <f t="shared" si="0"/>
        <v>Própria</v>
      </c>
      <c r="Q19" s="10">
        <f>VLOOKUP(E19,Premissas!$A$32:$B$35,2,FALSE)</f>
        <v>938</v>
      </c>
      <c r="R19" s="10">
        <f>Q19*(1-Premissas!$B$5)</f>
        <v>745.24099999999999</v>
      </c>
      <c r="S19">
        <f t="shared" si="1"/>
        <v>3</v>
      </c>
      <c r="T19" t="str">
        <f t="shared" si="2"/>
        <v>3. Requalificar ou encerrar lead parado</v>
      </c>
      <c r="U19">
        <f t="shared" si="3"/>
        <v>3</v>
      </c>
      <c r="V19" t="s">
        <v>213</v>
      </c>
      <c r="W19" t="s">
        <v>207</v>
      </c>
      <c r="X19" s="13">
        <v>0.2402</v>
      </c>
    </row>
    <row r="20" spans="1:24" x14ac:dyDescent="0.25">
      <c r="A20" t="s">
        <v>252</v>
      </c>
      <c r="B20" t="s">
        <v>49</v>
      </c>
      <c r="C20" t="s">
        <v>253</v>
      </c>
      <c r="D20" t="s">
        <v>107</v>
      </c>
      <c r="E20" t="s">
        <v>72</v>
      </c>
      <c r="F20">
        <v>33</v>
      </c>
      <c r="G20" t="s">
        <v>196</v>
      </c>
      <c r="H20" t="s">
        <v>211</v>
      </c>
      <c r="I20" t="s">
        <v>205</v>
      </c>
      <c r="J20">
        <v>0</v>
      </c>
      <c r="K20">
        <v>0</v>
      </c>
      <c r="L20">
        <v>0</v>
      </c>
      <c r="M20" s="8">
        <v>3</v>
      </c>
      <c r="N20" t="s">
        <v>206</v>
      </c>
      <c r="O20" t="str">
        <f>IF(B20="SP",IF(C20="São Paulo","FRQ001","FRQ002"),VLOOKUP(B20,Premissas!$A$11:$B$28,2,FALSE))</f>
        <v>FRQ004</v>
      </c>
      <c r="P20" t="str">
        <f t="shared" si="0"/>
        <v>Própria</v>
      </c>
      <c r="Q20" s="10">
        <f>VLOOKUP(E20,Premissas!$A$32:$B$35,2,FALSE)</f>
        <v>1121</v>
      </c>
      <c r="R20" s="10">
        <f>Q20*(1-Premissas!$B$5)</f>
        <v>890.6345</v>
      </c>
      <c r="S20">
        <f t="shared" si="1"/>
        <v>4</v>
      </c>
      <c r="T20" t="str">
        <f t="shared" si="2"/>
        <v>4. Nutrir (marketing/inbound)</v>
      </c>
      <c r="U20">
        <f t="shared" si="3"/>
        <v>10</v>
      </c>
      <c r="V20" t="s">
        <v>200</v>
      </c>
      <c r="W20" t="s">
        <v>207</v>
      </c>
      <c r="X20" s="13">
        <v>0.33860000000000001</v>
      </c>
    </row>
    <row r="21" spans="1:24" x14ac:dyDescent="0.25">
      <c r="A21" t="s">
        <v>254</v>
      </c>
      <c r="B21" t="s">
        <v>64</v>
      </c>
      <c r="C21" t="s">
        <v>255</v>
      </c>
      <c r="D21" t="s">
        <v>113</v>
      </c>
      <c r="E21" t="s">
        <v>75</v>
      </c>
      <c r="F21">
        <v>24</v>
      </c>
      <c r="G21" t="s">
        <v>204</v>
      </c>
      <c r="H21" t="s">
        <v>226</v>
      </c>
      <c r="I21" t="s">
        <v>205</v>
      </c>
      <c r="J21">
        <v>0</v>
      </c>
      <c r="K21">
        <v>0</v>
      </c>
      <c r="L21">
        <v>0</v>
      </c>
      <c r="M21" s="8">
        <v>2</v>
      </c>
      <c r="N21" t="s">
        <v>212</v>
      </c>
      <c r="O21" t="str">
        <f>IF(B21="SP",IF(C21="São Paulo","FRQ001","FRQ002"),VLOOKUP(B21,Premissas!$A$11:$B$28,2,FALSE))</f>
        <v>FRQ006</v>
      </c>
      <c r="P21" t="str">
        <f t="shared" si="0"/>
        <v>Própria</v>
      </c>
      <c r="Q21" s="10">
        <f>VLOOKUP(E21,Premissas!$A$32:$B$35,2,FALSE)</f>
        <v>938</v>
      </c>
      <c r="R21" s="10">
        <f>Q21*(1-Premissas!$B$5)</f>
        <v>745.24099999999999</v>
      </c>
      <c r="S21">
        <f t="shared" si="1"/>
        <v>5</v>
      </c>
      <c r="T21" t="str">
        <f t="shared" si="2"/>
        <v>5. Régua automatizada</v>
      </c>
      <c r="U21">
        <f t="shared" si="3"/>
        <v>6</v>
      </c>
      <c r="V21" t="s">
        <v>213</v>
      </c>
      <c r="W21" t="s">
        <v>207</v>
      </c>
      <c r="X21" s="13">
        <v>0.2702</v>
      </c>
    </row>
    <row r="22" spans="1:24" x14ac:dyDescent="0.25">
      <c r="A22" t="s">
        <v>256</v>
      </c>
      <c r="B22" t="s">
        <v>36</v>
      </c>
      <c r="C22" t="s">
        <v>257</v>
      </c>
      <c r="D22" t="s">
        <v>120</v>
      </c>
      <c r="E22" t="s">
        <v>75</v>
      </c>
      <c r="F22">
        <v>21</v>
      </c>
      <c r="G22" t="s">
        <v>196</v>
      </c>
      <c r="H22" t="s">
        <v>247</v>
      </c>
      <c r="I22" t="s">
        <v>205</v>
      </c>
      <c r="J22">
        <v>0</v>
      </c>
      <c r="K22">
        <v>0</v>
      </c>
      <c r="L22">
        <v>0</v>
      </c>
      <c r="M22" s="8">
        <v>2</v>
      </c>
      <c r="N22" t="s">
        <v>212</v>
      </c>
      <c r="O22" t="str">
        <f>IF(B22="SP",IF(C22="São Paulo","FRQ001","FRQ002"),VLOOKUP(B22,Premissas!$A$11:$B$28,2,FALSE))</f>
        <v>FRQ010</v>
      </c>
      <c r="P22" t="str">
        <f t="shared" si="0"/>
        <v>Própria</v>
      </c>
      <c r="Q22" s="10">
        <f>VLOOKUP(E22,Premissas!$A$32:$B$35,2,FALSE)</f>
        <v>938</v>
      </c>
      <c r="R22" s="10">
        <f>Q22*(1-Premissas!$B$5)</f>
        <v>745.24099999999999</v>
      </c>
      <c r="S22">
        <f t="shared" si="1"/>
        <v>5</v>
      </c>
      <c r="T22" t="str">
        <f t="shared" si="2"/>
        <v>5. Régua automatizada</v>
      </c>
      <c r="U22">
        <f t="shared" si="3"/>
        <v>10</v>
      </c>
      <c r="V22" t="s">
        <v>213</v>
      </c>
      <c r="W22" t="s">
        <v>207</v>
      </c>
      <c r="X22" s="13">
        <v>0.27439999999999998</v>
      </c>
    </row>
    <row r="23" spans="1:24" x14ac:dyDescent="0.25">
      <c r="A23" t="s">
        <v>258</v>
      </c>
      <c r="B23" t="s">
        <v>64</v>
      </c>
      <c r="C23" t="s">
        <v>230</v>
      </c>
      <c r="D23" t="s">
        <v>113</v>
      </c>
      <c r="E23" t="s">
        <v>72</v>
      </c>
      <c r="F23">
        <v>29</v>
      </c>
      <c r="G23" t="s">
        <v>237</v>
      </c>
      <c r="H23" t="s">
        <v>197</v>
      </c>
      <c r="I23" t="s">
        <v>205</v>
      </c>
      <c r="J23">
        <v>0</v>
      </c>
      <c r="K23">
        <v>1</v>
      </c>
      <c r="L23">
        <v>0</v>
      </c>
      <c r="M23" s="8">
        <v>3</v>
      </c>
      <c r="N23" t="s">
        <v>206</v>
      </c>
      <c r="O23" t="str">
        <f>IF(B23="SP",IF(C23="São Paulo","FRQ001","FRQ002"),VLOOKUP(B23,Premissas!$A$11:$B$28,2,FALSE))</f>
        <v>FRQ006</v>
      </c>
      <c r="P23" t="str">
        <f t="shared" si="0"/>
        <v>Própria</v>
      </c>
      <c r="Q23" s="10">
        <f>VLOOKUP(E23,Premissas!$A$32:$B$35,2,FALSE)</f>
        <v>1121</v>
      </c>
      <c r="R23" s="10">
        <f>Q23*(1-Premissas!$B$5)</f>
        <v>890.6345</v>
      </c>
      <c r="S23">
        <f t="shared" si="1"/>
        <v>3</v>
      </c>
      <c r="T23" t="str">
        <f t="shared" si="2"/>
        <v>3. Requalificar ou encerrar lead parado</v>
      </c>
      <c r="U23">
        <f t="shared" si="3"/>
        <v>3</v>
      </c>
      <c r="V23" t="s">
        <v>200</v>
      </c>
      <c r="W23" t="s">
        <v>207</v>
      </c>
      <c r="X23" s="13">
        <v>0.41020000000000001</v>
      </c>
    </row>
    <row r="24" spans="1:24" x14ac:dyDescent="0.25">
      <c r="A24" t="s">
        <v>259</v>
      </c>
      <c r="B24" t="s">
        <v>44</v>
      </c>
      <c r="C24" t="s">
        <v>209</v>
      </c>
      <c r="D24" t="s">
        <v>117</v>
      </c>
      <c r="E24" t="s">
        <v>75</v>
      </c>
      <c r="F24">
        <v>9</v>
      </c>
      <c r="G24" t="s">
        <v>196</v>
      </c>
      <c r="H24" t="s">
        <v>211</v>
      </c>
      <c r="I24" t="s">
        <v>205</v>
      </c>
      <c r="J24">
        <v>0</v>
      </c>
      <c r="K24">
        <v>0</v>
      </c>
      <c r="L24">
        <v>0</v>
      </c>
      <c r="M24" s="8">
        <v>1</v>
      </c>
      <c r="N24" t="s">
        <v>212</v>
      </c>
      <c r="O24" t="str">
        <f>IF(B24="SP",IF(C24="São Paulo","FRQ001","FRQ002"),VLOOKUP(B24,Premissas!$A$11:$B$28,2,FALSE))</f>
        <v>FRQ009</v>
      </c>
      <c r="P24" t="str">
        <f t="shared" si="0"/>
        <v>Própria</v>
      </c>
      <c r="Q24" s="10">
        <f>VLOOKUP(E24,Premissas!$A$32:$B$35,2,FALSE)</f>
        <v>938</v>
      </c>
      <c r="R24" s="10">
        <f>Q24*(1-Premissas!$B$5)</f>
        <v>745.24099999999999</v>
      </c>
      <c r="S24">
        <f t="shared" si="1"/>
        <v>5</v>
      </c>
      <c r="T24" t="str">
        <f t="shared" si="2"/>
        <v>5. Régua automatizada</v>
      </c>
      <c r="U24">
        <f t="shared" si="3"/>
        <v>6</v>
      </c>
      <c r="V24" t="s">
        <v>221</v>
      </c>
      <c r="W24" t="s">
        <v>207</v>
      </c>
      <c r="X24" s="13">
        <v>0.24440000000000001</v>
      </c>
    </row>
    <row r="25" spans="1:24" x14ac:dyDescent="0.25">
      <c r="A25" t="s">
        <v>260</v>
      </c>
      <c r="B25" t="s">
        <v>59</v>
      </c>
      <c r="C25" t="s">
        <v>261</v>
      </c>
      <c r="D25" t="s">
        <v>107</v>
      </c>
      <c r="E25" t="s">
        <v>75</v>
      </c>
      <c r="F25">
        <v>13</v>
      </c>
      <c r="G25" t="s">
        <v>204</v>
      </c>
      <c r="H25" t="s">
        <v>197</v>
      </c>
      <c r="I25" t="s">
        <v>205</v>
      </c>
      <c r="J25">
        <v>0</v>
      </c>
      <c r="K25">
        <v>1</v>
      </c>
      <c r="L25">
        <v>0</v>
      </c>
      <c r="M25" s="8">
        <v>1</v>
      </c>
      <c r="N25" t="s">
        <v>212</v>
      </c>
      <c r="O25" t="str">
        <f>IF(B25="SP",IF(C25="São Paulo","FRQ001","FRQ002"),VLOOKUP(B25,Premissas!$A$11:$B$28,2,FALSE))</f>
        <v>FRQ003</v>
      </c>
      <c r="P25" t="str">
        <f t="shared" si="0"/>
        <v>Própria</v>
      </c>
      <c r="Q25" s="10">
        <f>VLOOKUP(E25,Premissas!$A$32:$B$35,2,FALSE)</f>
        <v>938</v>
      </c>
      <c r="R25" s="10">
        <f>Q25*(1-Premissas!$B$5)</f>
        <v>745.24099999999999</v>
      </c>
      <c r="S25">
        <f t="shared" si="1"/>
        <v>3</v>
      </c>
      <c r="T25" t="str">
        <f t="shared" si="2"/>
        <v>3. Requalificar ou encerrar lead parado</v>
      </c>
      <c r="U25">
        <f t="shared" si="3"/>
        <v>11</v>
      </c>
      <c r="V25" t="s">
        <v>221</v>
      </c>
      <c r="W25" t="s">
        <v>207</v>
      </c>
      <c r="X25" s="13">
        <v>0.1716</v>
      </c>
    </row>
    <row r="26" spans="1:24" x14ac:dyDescent="0.25">
      <c r="A26" t="s">
        <v>262</v>
      </c>
      <c r="B26" t="s">
        <v>66</v>
      </c>
      <c r="C26" t="s">
        <v>225</v>
      </c>
      <c r="D26" t="s">
        <v>107</v>
      </c>
      <c r="E26" t="s">
        <v>75</v>
      </c>
      <c r="F26">
        <v>16</v>
      </c>
      <c r="G26" t="s">
        <v>196</v>
      </c>
      <c r="H26" t="s">
        <v>211</v>
      </c>
      <c r="I26" t="s">
        <v>205</v>
      </c>
      <c r="J26">
        <v>0</v>
      </c>
      <c r="K26">
        <v>0</v>
      </c>
      <c r="L26">
        <v>0</v>
      </c>
      <c r="M26" s="8">
        <v>2</v>
      </c>
      <c r="N26" t="s">
        <v>212</v>
      </c>
      <c r="O26" t="str">
        <f>IF(B26="SP",IF(C26="São Paulo","FRQ001","FRQ002"),VLOOKUP(B26,Premissas!$A$11:$B$28,2,FALSE))</f>
        <v>FRQ002</v>
      </c>
      <c r="P26" t="str">
        <f t="shared" si="0"/>
        <v>Própria</v>
      </c>
      <c r="Q26" s="10">
        <f>VLOOKUP(E26,Premissas!$A$32:$B$35,2,FALSE)</f>
        <v>938</v>
      </c>
      <c r="R26" s="10">
        <f>Q26*(1-Premissas!$B$5)</f>
        <v>745.24099999999999</v>
      </c>
      <c r="S26">
        <f t="shared" si="1"/>
        <v>5</v>
      </c>
      <c r="T26" t="str">
        <f t="shared" si="2"/>
        <v>5. Régua automatizada</v>
      </c>
      <c r="U26">
        <f t="shared" si="3"/>
        <v>26</v>
      </c>
      <c r="V26" t="s">
        <v>213</v>
      </c>
      <c r="W26" t="s">
        <v>207</v>
      </c>
      <c r="X26" s="13">
        <v>0.1757</v>
      </c>
    </row>
    <row r="27" spans="1:24" x14ac:dyDescent="0.25">
      <c r="A27" t="s">
        <v>263</v>
      </c>
      <c r="B27" t="s">
        <v>62</v>
      </c>
      <c r="C27" t="s">
        <v>264</v>
      </c>
      <c r="D27" t="s">
        <v>113</v>
      </c>
      <c r="E27" t="s">
        <v>75</v>
      </c>
      <c r="F27">
        <v>9</v>
      </c>
      <c r="G27" t="s">
        <v>204</v>
      </c>
      <c r="H27" t="s">
        <v>197</v>
      </c>
      <c r="I27" t="s">
        <v>205</v>
      </c>
      <c r="J27">
        <v>0</v>
      </c>
      <c r="K27">
        <v>1</v>
      </c>
      <c r="L27">
        <v>0</v>
      </c>
      <c r="M27" s="8">
        <v>1</v>
      </c>
      <c r="N27" t="s">
        <v>212</v>
      </c>
      <c r="O27" t="str">
        <f>IF(B27="SP",IF(C27="São Paulo","FRQ001","FRQ002"),VLOOKUP(B27,Premissas!$A$11:$B$28,2,FALSE))</f>
        <v>FRQ007</v>
      </c>
      <c r="P27" t="str">
        <f t="shared" si="0"/>
        <v>Própria</v>
      </c>
      <c r="Q27" s="10">
        <f>VLOOKUP(E27,Premissas!$A$32:$B$35,2,FALSE)</f>
        <v>938</v>
      </c>
      <c r="R27" s="10">
        <f>Q27*(1-Premissas!$B$5)</f>
        <v>745.24099999999999</v>
      </c>
      <c r="S27">
        <f t="shared" si="1"/>
        <v>3</v>
      </c>
      <c r="T27" t="str">
        <f t="shared" si="2"/>
        <v>3. Requalificar ou encerrar lead parado</v>
      </c>
      <c r="U27">
        <f t="shared" si="3"/>
        <v>2</v>
      </c>
      <c r="V27" t="s">
        <v>221</v>
      </c>
      <c r="W27" t="s">
        <v>207</v>
      </c>
      <c r="X27" s="13">
        <v>0.2402</v>
      </c>
    </row>
    <row r="28" spans="1:24" x14ac:dyDescent="0.25">
      <c r="A28" t="s">
        <v>265</v>
      </c>
      <c r="B28" t="s">
        <v>49</v>
      </c>
      <c r="C28" t="s">
        <v>266</v>
      </c>
      <c r="D28" t="s">
        <v>107</v>
      </c>
      <c r="E28" t="s">
        <v>75</v>
      </c>
      <c r="F28">
        <v>19</v>
      </c>
      <c r="G28" t="s">
        <v>204</v>
      </c>
      <c r="H28" t="s">
        <v>197</v>
      </c>
      <c r="I28" t="s">
        <v>205</v>
      </c>
      <c r="J28">
        <v>0</v>
      </c>
      <c r="K28">
        <v>1</v>
      </c>
      <c r="L28">
        <v>0</v>
      </c>
      <c r="M28" s="8">
        <v>2</v>
      </c>
      <c r="N28" t="s">
        <v>212</v>
      </c>
      <c r="O28" t="str">
        <f>IF(B28="SP",IF(C28="São Paulo","FRQ001","FRQ002"),VLOOKUP(B28,Premissas!$A$11:$B$28,2,FALSE))</f>
        <v>FRQ004</v>
      </c>
      <c r="P28" t="str">
        <f t="shared" si="0"/>
        <v>Própria</v>
      </c>
      <c r="Q28" s="10">
        <f>VLOOKUP(E28,Premissas!$A$32:$B$35,2,FALSE)</f>
        <v>938</v>
      </c>
      <c r="R28" s="10">
        <f>Q28*(1-Premissas!$B$5)</f>
        <v>745.24099999999999</v>
      </c>
      <c r="S28">
        <f t="shared" si="1"/>
        <v>3</v>
      </c>
      <c r="T28" t="str">
        <f t="shared" si="2"/>
        <v>3. Requalificar ou encerrar lead parado</v>
      </c>
      <c r="U28">
        <f t="shared" si="3"/>
        <v>7</v>
      </c>
      <c r="V28" t="s">
        <v>213</v>
      </c>
      <c r="W28" t="s">
        <v>207</v>
      </c>
      <c r="X28" s="13">
        <v>0.17169999999999999</v>
      </c>
    </row>
    <row r="29" spans="1:24" x14ac:dyDescent="0.25">
      <c r="A29" t="s">
        <v>267</v>
      </c>
      <c r="B29" t="s">
        <v>66</v>
      </c>
      <c r="C29" t="s">
        <v>215</v>
      </c>
      <c r="D29" t="s">
        <v>107</v>
      </c>
      <c r="E29" t="s">
        <v>75</v>
      </c>
      <c r="F29">
        <v>22</v>
      </c>
      <c r="G29" t="s">
        <v>196</v>
      </c>
      <c r="H29" t="s">
        <v>226</v>
      </c>
      <c r="I29" t="s">
        <v>205</v>
      </c>
      <c r="J29">
        <v>0</v>
      </c>
      <c r="K29">
        <v>0</v>
      </c>
      <c r="L29">
        <v>0</v>
      </c>
      <c r="M29" s="8">
        <v>2</v>
      </c>
      <c r="N29" t="s">
        <v>212</v>
      </c>
      <c r="O29" t="str">
        <f>IF(B29="SP",IF(C29="São Paulo","FRQ001","FRQ002"),VLOOKUP(B29,Premissas!$A$11:$B$28,2,FALSE))</f>
        <v>FRQ002</v>
      </c>
      <c r="P29" t="str">
        <f t="shared" si="0"/>
        <v>Própria</v>
      </c>
      <c r="Q29" s="10">
        <f>VLOOKUP(E29,Premissas!$A$32:$B$35,2,FALSE)</f>
        <v>938</v>
      </c>
      <c r="R29" s="10">
        <f>Q29*(1-Premissas!$B$5)</f>
        <v>745.24099999999999</v>
      </c>
      <c r="S29">
        <f t="shared" si="1"/>
        <v>5</v>
      </c>
      <c r="T29" t="str">
        <f t="shared" si="2"/>
        <v>5. Régua automatizada</v>
      </c>
      <c r="U29">
        <f t="shared" si="3"/>
        <v>26</v>
      </c>
      <c r="V29" t="s">
        <v>213</v>
      </c>
      <c r="W29" t="s">
        <v>207</v>
      </c>
      <c r="X29" s="13">
        <v>0.20580000000000001</v>
      </c>
    </row>
    <row r="30" spans="1:24" x14ac:dyDescent="0.25">
      <c r="A30" t="s">
        <v>268</v>
      </c>
      <c r="B30" t="s">
        <v>59</v>
      </c>
      <c r="C30" t="s">
        <v>269</v>
      </c>
      <c r="D30" t="s">
        <v>107</v>
      </c>
      <c r="E30" t="s">
        <v>72</v>
      </c>
      <c r="F30">
        <v>75</v>
      </c>
      <c r="G30" t="s">
        <v>237</v>
      </c>
      <c r="H30" t="s">
        <v>211</v>
      </c>
      <c r="I30" t="s">
        <v>205</v>
      </c>
      <c r="J30">
        <v>0</v>
      </c>
      <c r="K30">
        <v>0</v>
      </c>
      <c r="L30">
        <v>0</v>
      </c>
      <c r="M30" s="8">
        <v>3</v>
      </c>
      <c r="N30" t="s">
        <v>206</v>
      </c>
      <c r="O30" t="str">
        <f>IF(B30="SP",IF(C30="São Paulo","FRQ001","FRQ002"),VLOOKUP(B30,Premissas!$A$11:$B$28,2,FALSE))</f>
        <v>FRQ003</v>
      </c>
      <c r="P30" t="str">
        <f t="shared" si="0"/>
        <v>Própria</v>
      </c>
      <c r="Q30" s="10">
        <f>VLOOKUP(E30,Premissas!$A$32:$B$35,2,FALSE)</f>
        <v>1121</v>
      </c>
      <c r="R30" s="10">
        <f>Q30*(1-Premissas!$B$5)</f>
        <v>890.6345</v>
      </c>
      <c r="S30">
        <f t="shared" si="1"/>
        <v>4</v>
      </c>
      <c r="T30" t="str">
        <f t="shared" si="2"/>
        <v>4. Nutrir (marketing/inbound)</v>
      </c>
      <c r="U30">
        <f t="shared" si="3"/>
        <v>14</v>
      </c>
      <c r="V30" t="s">
        <v>200</v>
      </c>
      <c r="W30" t="s">
        <v>207</v>
      </c>
      <c r="X30" s="13">
        <v>0.51180000000000003</v>
      </c>
    </row>
    <row r="31" spans="1:24" x14ac:dyDescent="0.25">
      <c r="A31" t="s">
        <v>270</v>
      </c>
      <c r="B31" t="s">
        <v>66</v>
      </c>
      <c r="C31" t="s">
        <v>271</v>
      </c>
      <c r="D31" t="s">
        <v>107</v>
      </c>
      <c r="E31" t="s">
        <v>75</v>
      </c>
      <c r="F31">
        <v>20</v>
      </c>
      <c r="G31" t="s">
        <v>204</v>
      </c>
      <c r="H31" t="s">
        <v>247</v>
      </c>
      <c r="I31" t="s">
        <v>205</v>
      </c>
      <c r="J31">
        <v>0</v>
      </c>
      <c r="K31">
        <v>0</v>
      </c>
      <c r="L31">
        <v>0</v>
      </c>
      <c r="M31" s="8">
        <v>2</v>
      </c>
      <c r="N31" t="s">
        <v>212</v>
      </c>
      <c r="O31" t="str">
        <f>IF(B31="SP",IF(C31="São Paulo","FRQ001","FRQ002"),VLOOKUP(B31,Premissas!$A$11:$B$28,2,FALSE))</f>
        <v>FRQ002</v>
      </c>
      <c r="P31" t="str">
        <f t="shared" si="0"/>
        <v>Própria</v>
      </c>
      <c r="Q31" s="10">
        <f>VLOOKUP(E31,Premissas!$A$32:$B$35,2,FALSE)</f>
        <v>938</v>
      </c>
      <c r="R31" s="10">
        <f>Q31*(1-Premissas!$B$5)</f>
        <v>745.24099999999999</v>
      </c>
      <c r="S31">
        <f t="shared" si="1"/>
        <v>5</v>
      </c>
      <c r="T31" t="str">
        <f t="shared" si="2"/>
        <v>5. Régua automatizada</v>
      </c>
      <c r="U31">
        <f t="shared" si="3"/>
        <v>26</v>
      </c>
      <c r="V31" t="s">
        <v>213</v>
      </c>
      <c r="W31" t="s">
        <v>207</v>
      </c>
      <c r="X31" s="13">
        <v>0.20169999999999999</v>
      </c>
    </row>
    <row r="32" spans="1:24" x14ac:dyDescent="0.25">
      <c r="A32" t="s">
        <v>272</v>
      </c>
      <c r="B32" t="s">
        <v>66</v>
      </c>
      <c r="C32" t="s">
        <v>215</v>
      </c>
      <c r="D32" t="s">
        <v>107</v>
      </c>
      <c r="E32" t="s">
        <v>75</v>
      </c>
      <c r="F32">
        <v>24</v>
      </c>
      <c r="G32" t="s">
        <v>204</v>
      </c>
      <c r="H32" t="s">
        <v>211</v>
      </c>
      <c r="I32" t="s">
        <v>205</v>
      </c>
      <c r="J32">
        <v>0</v>
      </c>
      <c r="K32">
        <v>0</v>
      </c>
      <c r="L32">
        <v>0</v>
      </c>
      <c r="M32" s="8">
        <v>2</v>
      </c>
      <c r="N32" t="s">
        <v>212</v>
      </c>
      <c r="O32" t="str">
        <f>IF(B32="SP",IF(C32="São Paulo","FRQ001","FRQ002"),VLOOKUP(B32,Premissas!$A$11:$B$28,2,FALSE))</f>
        <v>FRQ002</v>
      </c>
      <c r="P32" t="str">
        <f t="shared" si="0"/>
        <v>Própria</v>
      </c>
      <c r="Q32" s="10">
        <f>VLOOKUP(E32,Premissas!$A$32:$B$35,2,FALSE)</f>
        <v>938</v>
      </c>
      <c r="R32" s="10">
        <f>Q32*(1-Premissas!$B$5)</f>
        <v>745.24099999999999</v>
      </c>
      <c r="S32">
        <f t="shared" si="1"/>
        <v>5</v>
      </c>
      <c r="T32" t="str">
        <f t="shared" si="2"/>
        <v>5. Régua automatizada</v>
      </c>
      <c r="U32">
        <f t="shared" si="3"/>
        <v>26</v>
      </c>
      <c r="V32" t="s">
        <v>213</v>
      </c>
      <c r="W32" t="s">
        <v>207</v>
      </c>
      <c r="X32" s="13">
        <v>0.20169999999999999</v>
      </c>
    </row>
    <row r="33" spans="1:24" x14ac:dyDescent="0.25">
      <c r="A33" t="s">
        <v>273</v>
      </c>
      <c r="B33" t="s">
        <v>49</v>
      </c>
      <c r="C33" t="s">
        <v>253</v>
      </c>
      <c r="D33" t="s">
        <v>107</v>
      </c>
      <c r="E33" t="s">
        <v>75</v>
      </c>
      <c r="F33">
        <v>18</v>
      </c>
      <c r="G33" t="s">
        <v>196</v>
      </c>
      <c r="H33" t="s">
        <v>211</v>
      </c>
      <c r="I33" t="s">
        <v>205</v>
      </c>
      <c r="J33">
        <v>0</v>
      </c>
      <c r="K33">
        <v>0</v>
      </c>
      <c r="L33">
        <v>0</v>
      </c>
      <c r="M33" s="8">
        <v>2</v>
      </c>
      <c r="N33" t="s">
        <v>212</v>
      </c>
      <c r="O33" t="str">
        <f>IF(B33="SP",IF(C33="São Paulo","FRQ001","FRQ002"),VLOOKUP(B33,Premissas!$A$11:$B$28,2,FALSE))</f>
        <v>FRQ004</v>
      </c>
      <c r="P33" t="str">
        <f t="shared" si="0"/>
        <v>Própria</v>
      </c>
      <c r="Q33" s="10">
        <f>VLOOKUP(E33,Premissas!$A$32:$B$35,2,FALSE)</f>
        <v>938</v>
      </c>
      <c r="R33" s="10">
        <f>Q33*(1-Premissas!$B$5)</f>
        <v>745.24099999999999</v>
      </c>
      <c r="S33">
        <f t="shared" si="1"/>
        <v>5</v>
      </c>
      <c r="T33" t="str">
        <f t="shared" si="2"/>
        <v>5. Régua automatizada</v>
      </c>
      <c r="U33">
        <f t="shared" si="3"/>
        <v>20</v>
      </c>
      <c r="V33" t="s">
        <v>213</v>
      </c>
      <c r="W33" t="s">
        <v>207</v>
      </c>
      <c r="X33" s="13">
        <v>0.24440000000000001</v>
      </c>
    </row>
    <row r="34" spans="1:24" x14ac:dyDescent="0.25">
      <c r="A34" t="s">
        <v>274</v>
      </c>
      <c r="B34" t="s">
        <v>44</v>
      </c>
      <c r="C34" t="s">
        <v>209</v>
      </c>
      <c r="D34" t="s">
        <v>117</v>
      </c>
      <c r="E34" t="s">
        <v>75</v>
      </c>
      <c r="F34">
        <v>17</v>
      </c>
      <c r="G34" t="s">
        <v>216</v>
      </c>
      <c r="H34" t="s">
        <v>211</v>
      </c>
      <c r="I34" t="s">
        <v>205</v>
      </c>
      <c r="J34">
        <v>0</v>
      </c>
      <c r="K34">
        <v>0</v>
      </c>
      <c r="L34">
        <v>0</v>
      </c>
      <c r="M34" s="8">
        <v>2</v>
      </c>
      <c r="N34" t="s">
        <v>212</v>
      </c>
      <c r="O34" t="str">
        <f>IF(B34="SP",IF(C34="São Paulo","FRQ001","FRQ002"),VLOOKUP(B34,Premissas!$A$11:$B$28,2,FALSE))</f>
        <v>FRQ009</v>
      </c>
      <c r="P34" t="str">
        <f t="shared" si="0"/>
        <v>Própria</v>
      </c>
      <c r="Q34" s="10">
        <f>VLOOKUP(E34,Premissas!$A$32:$B$35,2,FALSE)</f>
        <v>938</v>
      </c>
      <c r="R34" s="10">
        <f>Q34*(1-Premissas!$B$5)</f>
        <v>745.24099999999999</v>
      </c>
      <c r="S34">
        <f t="shared" si="1"/>
        <v>5</v>
      </c>
      <c r="T34" t="str">
        <f t="shared" si="2"/>
        <v>5. Régua automatizada</v>
      </c>
      <c r="U34">
        <f t="shared" si="3"/>
        <v>6</v>
      </c>
      <c r="V34" t="s">
        <v>213</v>
      </c>
      <c r="W34" t="s">
        <v>207</v>
      </c>
      <c r="X34" s="13">
        <v>0.19620000000000001</v>
      </c>
    </row>
    <row r="35" spans="1:24" x14ac:dyDescent="0.25">
      <c r="A35" t="s">
        <v>275</v>
      </c>
      <c r="B35" t="s">
        <v>36</v>
      </c>
      <c r="C35" t="s">
        <v>257</v>
      </c>
      <c r="D35" t="s">
        <v>120</v>
      </c>
      <c r="E35" t="s">
        <v>75</v>
      </c>
      <c r="F35">
        <v>20</v>
      </c>
      <c r="G35" t="s">
        <v>219</v>
      </c>
      <c r="H35" t="s">
        <v>197</v>
      </c>
      <c r="I35" t="s">
        <v>205</v>
      </c>
      <c r="J35">
        <v>0</v>
      </c>
      <c r="K35">
        <v>1</v>
      </c>
      <c r="L35">
        <v>0</v>
      </c>
      <c r="M35" s="8">
        <v>2</v>
      </c>
      <c r="N35" t="s">
        <v>212</v>
      </c>
      <c r="O35" t="str">
        <f>IF(B35="SP",IF(C35="São Paulo","FRQ001","FRQ002"),VLOOKUP(B35,Premissas!$A$11:$B$28,2,FALSE))</f>
        <v>FRQ010</v>
      </c>
      <c r="P35" t="str">
        <f t="shared" si="0"/>
        <v>Própria</v>
      </c>
      <c r="Q35" s="10">
        <f>VLOOKUP(E35,Premissas!$A$32:$B$35,2,FALSE)</f>
        <v>938</v>
      </c>
      <c r="R35" s="10">
        <f>Q35*(1-Premissas!$B$5)</f>
        <v>745.24099999999999</v>
      </c>
      <c r="S35">
        <f t="shared" si="1"/>
        <v>3</v>
      </c>
      <c r="T35" t="str">
        <f t="shared" si="2"/>
        <v>3. Requalificar ou encerrar lead parado</v>
      </c>
      <c r="U35">
        <f t="shared" si="3"/>
        <v>4</v>
      </c>
      <c r="V35" t="s">
        <v>213</v>
      </c>
      <c r="W35" t="s">
        <v>207</v>
      </c>
      <c r="X35" s="13">
        <v>0.13919999999999999</v>
      </c>
    </row>
    <row r="36" spans="1:24" x14ac:dyDescent="0.25">
      <c r="A36" t="s">
        <v>276</v>
      </c>
      <c r="B36" t="s">
        <v>59</v>
      </c>
      <c r="C36" t="s">
        <v>195</v>
      </c>
      <c r="D36" t="s">
        <v>107</v>
      </c>
      <c r="E36" t="s">
        <v>75</v>
      </c>
      <c r="F36">
        <v>20</v>
      </c>
      <c r="G36" t="s">
        <v>196</v>
      </c>
      <c r="H36" t="s">
        <v>226</v>
      </c>
      <c r="I36" t="s">
        <v>205</v>
      </c>
      <c r="J36">
        <v>0</v>
      </c>
      <c r="K36">
        <v>0</v>
      </c>
      <c r="L36">
        <v>0</v>
      </c>
      <c r="M36" s="8">
        <v>2</v>
      </c>
      <c r="N36" t="s">
        <v>212</v>
      </c>
      <c r="O36" t="str">
        <f>IF(B36="SP",IF(C36="São Paulo","FRQ001","FRQ002"),VLOOKUP(B36,Premissas!$A$11:$B$28,2,FALSE))</f>
        <v>FRQ003</v>
      </c>
      <c r="P36" t="str">
        <f t="shared" si="0"/>
        <v>Própria</v>
      </c>
      <c r="Q36" s="10">
        <f>VLOOKUP(E36,Premissas!$A$32:$B$35,2,FALSE)</f>
        <v>938</v>
      </c>
      <c r="R36" s="10">
        <f>Q36*(1-Premissas!$B$5)</f>
        <v>745.24099999999999</v>
      </c>
      <c r="S36">
        <f t="shared" si="1"/>
        <v>5</v>
      </c>
      <c r="T36" t="str">
        <f t="shared" si="2"/>
        <v>5. Régua automatizada</v>
      </c>
      <c r="U36">
        <f t="shared" si="3"/>
        <v>31</v>
      </c>
      <c r="V36" t="s">
        <v>213</v>
      </c>
      <c r="W36" t="s">
        <v>207</v>
      </c>
      <c r="X36" s="13">
        <v>0.27439999999999998</v>
      </c>
    </row>
    <row r="37" spans="1:24" x14ac:dyDescent="0.25">
      <c r="A37" t="s">
        <v>277</v>
      </c>
      <c r="B37" t="s">
        <v>66</v>
      </c>
      <c r="C37" t="s">
        <v>234</v>
      </c>
      <c r="D37" t="s">
        <v>107</v>
      </c>
      <c r="E37" t="s">
        <v>75</v>
      </c>
      <c r="F37">
        <v>14</v>
      </c>
      <c r="G37" t="s">
        <v>204</v>
      </c>
      <c r="H37" t="s">
        <v>197</v>
      </c>
      <c r="I37" t="s">
        <v>220</v>
      </c>
      <c r="J37">
        <v>1</v>
      </c>
      <c r="K37">
        <v>0</v>
      </c>
      <c r="L37">
        <v>0</v>
      </c>
      <c r="M37" s="8">
        <v>2</v>
      </c>
      <c r="N37" t="s">
        <v>212</v>
      </c>
      <c r="O37" t="str">
        <f>IF(B37="SP",IF(C37="São Paulo","FRQ001","FRQ002"),VLOOKUP(B37,Premissas!$A$11:$B$28,2,FALSE))</f>
        <v>FRQ002</v>
      </c>
      <c r="P37" t="str">
        <f t="shared" si="0"/>
        <v>Própria</v>
      </c>
      <c r="Q37" s="10">
        <f>VLOOKUP(E37,Premissas!$A$32:$B$35,2,FALSE)</f>
        <v>938</v>
      </c>
      <c r="R37" s="10">
        <f>Q37*(1-Premissas!$B$5)</f>
        <v>745.24099999999999</v>
      </c>
      <c r="S37">
        <f t="shared" si="1"/>
        <v>5</v>
      </c>
      <c r="T37" t="str">
        <f t="shared" si="2"/>
        <v>5. Régua automatizada</v>
      </c>
      <c r="U37">
        <f t="shared" si="3"/>
        <v>26</v>
      </c>
      <c r="V37" t="s">
        <v>221</v>
      </c>
      <c r="W37" t="s">
        <v>201</v>
      </c>
      <c r="X37" s="13">
        <v>0.17169999999999999</v>
      </c>
    </row>
    <row r="38" spans="1:24" x14ac:dyDescent="0.25">
      <c r="A38" t="s">
        <v>278</v>
      </c>
      <c r="B38" t="s">
        <v>46</v>
      </c>
      <c r="C38" t="s">
        <v>279</v>
      </c>
      <c r="D38" t="s">
        <v>120</v>
      </c>
      <c r="E38" t="s">
        <v>75</v>
      </c>
      <c r="F38">
        <v>9</v>
      </c>
      <c r="G38" t="s">
        <v>216</v>
      </c>
      <c r="H38" t="s">
        <v>211</v>
      </c>
      <c r="I38" t="s">
        <v>205</v>
      </c>
      <c r="J38">
        <v>0</v>
      </c>
      <c r="K38">
        <v>0</v>
      </c>
      <c r="L38">
        <v>0</v>
      </c>
      <c r="M38" s="8">
        <v>1</v>
      </c>
      <c r="N38" t="s">
        <v>212</v>
      </c>
      <c r="O38" t="str">
        <f>IF(B38="SP",IF(C38="São Paulo","FRQ001","FRQ002"),VLOOKUP(B38,Premissas!$A$11:$B$28,2,FALSE))</f>
        <v>Sem franquia</v>
      </c>
      <c r="P38" t="str">
        <f t="shared" si="0"/>
        <v>Sem franquia</v>
      </c>
      <c r="Q38" s="10">
        <f>VLOOKUP(E38,Premissas!$A$32:$B$35,2,FALSE)</f>
        <v>938</v>
      </c>
      <c r="R38" s="10">
        <f>Q38*(1-Premissas!$B$5)</f>
        <v>745.24099999999999</v>
      </c>
      <c r="S38">
        <f t="shared" si="1"/>
        <v>5</v>
      </c>
      <c r="T38" t="str">
        <f t="shared" si="2"/>
        <v>5. Régua automatizada</v>
      </c>
      <c r="U38">
        <f t="shared" si="3"/>
        <v>18</v>
      </c>
      <c r="V38" t="s">
        <v>221</v>
      </c>
      <c r="W38" t="s">
        <v>207</v>
      </c>
      <c r="X38" s="13">
        <v>0.19620000000000001</v>
      </c>
    </row>
    <row r="39" spans="1:24" x14ac:dyDescent="0.25">
      <c r="A39" t="s">
        <v>280</v>
      </c>
      <c r="B39" t="s">
        <v>55</v>
      </c>
      <c r="C39" t="s">
        <v>281</v>
      </c>
      <c r="D39" t="s">
        <v>120</v>
      </c>
      <c r="E39" t="s">
        <v>75</v>
      </c>
      <c r="F39">
        <v>10</v>
      </c>
      <c r="G39" t="s">
        <v>204</v>
      </c>
      <c r="H39" t="s">
        <v>226</v>
      </c>
      <c r="I39" t="s">
        <v>205</v>
      </c>
      <c r="J39">
        <v>0</v>
      </c>
      <c r="K39">
        <v>0</v>
      </c>
      <c r="L39">
        <v>0</v>
      </c>
      <c r="M39" s="8">
        <v>1</v>
      </c>
      <c r="N39" t="s">
        <v>212</v>
      </c>
      <c r="O39" t="str">
        <f>IF(B39="SP",IF(C39="São Paulo","FRQ001","FRQ002"),VLOOKUP(B39,Premissas!$A$11:$B$28,2,FALSE))</f>
        <v>FRQ011</v>
      </c>
      <c r="P39" t="str">
        <f t="shared" si="0"/>
        <v>Própria</v>
      </c>
      <c r="Q39" s="10">
        <f>VLOOKUP(E39,Premissas!$A$32:$B$35,2,FALSE)</f>
        <v>938</v>
      </c>
      <c r="R39" s="10">
        <f>Q39*(1-Premissas!$B$5)</f>
        <v>745.24099999999999</v>
      </c>
      <c r="S39">
        <f t="shared" si="1"/>
        <v>5</v>
      </c>
      <c r="T39" t="str">
        <f t="shared" si="2"/>
        <v>5. Régua automatizada</v>
      </c>
      <c r="U39">
        <f t="shared" si="3"/>
        <v>15</v>
      </c>
      <c r="V39" t="s">
        <v>221</v>
      </c>
      <c r="W39" t="s">
        <v>207</v>
      </c>
      <c r="X39" s="13">
        <v>0.17169999999999999</v>
      </c>
    </row>
    <row r="40" spans="1:24" x14ac:dyDescent="0.25">
      <c r="A40" t="s">
        <v>282</v>
      </c>
      <c r="B40" t="s">
        <v>59</v>
      </c>
      <c r="C40" t="s">
        <v>261</v>
      </c>
      <c r="D40" t="s">
        <v>107</v>
      </c>
      <c r="E40" t="s">
        <v>72</v>
      </c>
      <c r="F40">
        <v>50</v>
      </c>
      <c r="G40" t="s">
        <v>237</v>
      </c>
      <c r="H40" t="s">
        <v>197</v>
      </c>
      <c r="I40" t="s">
        <v>283</v>
      </c>
      <c r="J40">
        <v>3</v>
      </c>
      <c r="K40">
        <v>0</v>
      </c>
      <c r="L40">
        <v>0</v>
      </c>
      <c r="M40" s="8">
        <v>5</v>
      </c>
      <c r="N40" t="s">
        <v>199</v>
      </c>
      <c r="O40" t="str">
        <f>IF(B40="SP",IF(C40="São Paulo","FRQ001","FRQ002"),VLOOKUP(B40,Premissas!$A$11:$B$28,2,FALSE))</f>
        <v>FRQ003</v>
      </c>
      <c r="P40" t="str">
        <f t="shared" si="0"/>
        <v>Própria</v>
      </c>
      <c r="Q40" s="10">
        <f>VLOOKUP(E40,Premissas!$A$32:$B$35,2,FALSE)</f>
        <v>1121</v>
      </c>
      <c r="R40" s="10">
        <f>Q40*(1-Premissas!$B$5)</f>
        <v>890.6345</v>
      </c>
      <c r="S40">
        <f t="shared" si="1"/>
        <v>1</v>
      </c>
      <c r="T40" t="str">
        <f t="shared" si="2"/>
        <v>1. Fechar (lead ativo em Reunião/Proposta)</v>
      </c>
      <c r="U40">
        <f t="shared" si="3"/>
        <v>1</v>
      </c>
      <c r="V40" t="s">
        <v>200</v>
      </c>
      <c r="W40" t="s">
        <v>232</v>
      </c>
      <c r="X40" s="13">
        <v>0.44309999999999999</v>
      </c>
    </row>
    <row r="41" spans="1:24" x14ac:dyDescent="0.25">
      <c r="A41" t="s">
        <v>284</v>
      </c>
      <c r="B41" t="s">
        <v>49</v>
      </c>
      <c r="C41" t="s">
        <v>218</v>
      </c>
      <c r="D41" t="s">
        <v>107</v>
      </c>
      <c r="E41" t="s">
        <v>75</v>
      </c>
      <c r="F41">
        <v>10</v>
      </c>
      <c r="G41" t="s">
        <v>216</v>
      </c>
      <c r="H41" t="s">
        <v>211</v>
      </c>
      <c r="I41" t="s">
        <v>205</v>
      </c>
      <c r="J41">
        <v>0</v>
      </c>
      <c r="K41">
        <v>0</v>
      </c>
      <c r="L41">
        <v>0</v>
      </c>
      <c r="M41" s="8">
        <v>1</v>
      </c>
      <c r="N41" t="s">
        <v>212</v>
      </c>
      <c r="O41" t="str">
        <f>IF(B41="SP",IF(C41="São Paulo","FRQ001","FRQ002"),VLOOKUP(B41,Premissas!$A$11:$B$28,2,FALSE))</f>
        <v>FRQ004</v>
      </c>
      <c r="P41" t="str">
        <f t="shared" si="0"/>
        <v>Própria</v>
      </c>
      <c r="Q41" s="10">
        <f>VLOOKUP(E41,Premissas!$A$32:$B$35,2,FALSE)</f>
        <v>938</v>
      </c>
      <c r="R41" s="10">
        <f>Q41*(1-Premissas!$B$5)</f>
        <v>745.24099999999999</v>
      </c>
      <c r="S41">
        <f t="shared" si="1"/>
        <v>5</v>
      </c>
      <c r="T41" t="str">
        <f t="shared" si="2"/>
        <v>5. Régua automatizada</v>
      </c>
      <c r="U41">
        <f t="shared" si="3"/>
        <v>20</v>
      </c>
      <c r="V41" t="s">
        <v>221</v>
      </c>
      <c r="W41" t="s">
        <v>207</v>
      </c>
      <c r="X41" s="13">
        <v>0.1275</v>
      </c>
    </row>
    <row r="42" spans="1:24" x14ac:dyDescent="0.25">
      <c r="A42" t="s">
        <v>285</v>
      </c>
      <c r="B42" t="s">
        <v>38</v>
      </c>
      <c r="C42" t="s">
        <v>286</v>
      </c>
      <c r="D42" t="s">
        <v>120</v>
      </c>
      <c r="E42" t="s">
        <v>72</v>
      </c>
      <c r="F42">
        <v>53</v>
      </c>
      <c r="G42" t="s">
        <v>243</v>
      </c>
      <c r="H42" t="s">
        <v>211</v>
      </c>
      <c r="I42" t="s">
        <v>205</v>
      </c>
      <c r="J42">
        <v>0</v>
      </c>
      <c r="K42">
        <v>0</v>
      </c>
      <c r="L42">
        <v>0</v>
      </c>
      <c r="M42" s="8">
        <v>3</v>
      </c>
      <c r="N42" t="s">
        <v>206</v>
      </c>
      <c r="O42" t="str">
        <f>IF(B42="SP",IF(C42="São Paulo","FRQ001","FRQ002"),VLOOKUP(B42,Premissas!$A$11:$B$28,2,FALSE))</f>
        <v>FRQ012</v>
      </c>
      <c r="P42" t="str">
        <f t="shared" si="0"/>
        <v>Própria</v>
      </c>
      <c r="Q42" s="10">
        <f>VLOOKUP(E42,Premissas!$A$32:$B$35,2,FALSE)</f>
        <v>1121</v>
      </c>
      <c r="R42" s="10">
        <f>Q42*(1-Premissas!$B$5)</f>
        <v>890.6345</v>
      </c>
      <c r="S42">
        <f t="shared" si="1"/>
        <v>4</v>
      </c>
      <c r="T42" t="str">
        <f t="shared" si="2"/>
        <v>4. Nutrir (marketing/inbound)</v>
      </c>
      <c r="U42">
        <f t="shared" si="3"/>
        <v>2</v>
      </c>
      <c r="V42" t="s">
        <v>200</v>
      </c>
      <c r="W42" t="s">
        <v>207</v>
      </c>
      <c r="X42" s="13">
        <v>0.39810000000000001</v>
      </c>
    </row>
    <row r="43" spans="1:24" x14ac:dyDescent="0.25">
      <c r="A43" t="s">
        <v>287</v>
      </c>
      <c r="B43" t="s">
        <v>42</v>
      </c>
      <c r="C43" t="s">
        <v>288</v>
      </c>
      <c r="D43" t="s">
        <v>107</v>
      </c>
      <c r="E43" t="s">
        <v>75</v>
      </c>
      <c r="F43">
        <v>12</v>
      </c>
      <c r="G43" t="s">
        <v>219</v>
      </c>
      <c r="H43" t="s">
        <v>211</v>
      </c>
      <c r="I43" t="s">
        <v>205</v>
      </c>
      <c r="J43">
        <v>0</v>
      </c>
      <c r="K43">
        <v>0</v>
      </c>
      <c r="L43">
        <v>0</v>
      </c>
      <c r="M43" s="8">
        <v>1</v>
      </c>
      <c r="N43" t="s">
        <v>212</v>
      </c>
      <c r="O43" t="str">
        <f>IF(B43="SP",IF(C43="São Paulo","FRQ001","FRQ002"),VLOOKUP(B43,Premissas!$A$11:$B$28,2,FALSE))</f>
        <v>FRQ015</v>
      </c>
      <c r="P43" t="str">
        <f t="shared" si="0"/>
        <v>Própria</v>
      </c>
      <c r="Q43" s="10">
        <f>VLOOKUP(E43,Premissas!$A$32:$B$35,2,FALSE)</f>
        <v>938</v>
      </c>
      <c r="R43" s="10">
        <f>Q43*(1-Premissas!$B$5)</f>
        <v>745.24099999999999</v>
      </c>
      <c r="S43">
        <f t="shared" si="1"/>
        <v>5</v>
      </c>
      <c r="T43" t="str">
        <f t="shared" si="2"/>
        <v>5. Régua automatizada</v>
      </c>
      <c r="U43">
        <f t="shared" si="3"/>
        <v>8</v>
      </c>
      <c r="V43" t="s">
        <v>221</v>
      </c>
      <c r="W43" t="s">
        <v>207</v>
      </c>
      <c r="X43" s="13">
        <v>0.1094</v>
      </c>
    </row>
    <row r="44" spans="1:24" x14ac:dyDescent="0.25">
      <c r="A44" t="s">
        <v>289</v>
      </c>
      <c r="B44" t="s">
        <v>59</v>
      </c>
      <c r="C44" t="s">
        <v>228</v>
      </c>
      <c r="D44" t="s">
        <v>107</v>
      </c>
      <c r="E44" t="s">
        <v>75</v>
      </c>
      <c r="F44">
        <v>18</v>
      </c>
      <c r="G44" t="s">
        <v>204</v>
      </c>
      <c r="H44" t="s">
        <v>211</v>
      </c>
      <c r="I44" t="s">
        <v>205</v>
      </c>
      <c r="J44">
        <v>0</v>
      </c>
      <c r="K44">
        <v>0</v>
      </c>
      <c r="L44">
        <v>0</v>
      </c>
      <c r="M44" s="8">
        <v>2</v>
      </c>
      <c r="N44" t="s">
        <v>212</v>
      </c>
      <c r="O44" t="str">
        <f>IF(B44="SP",IF(C44="São Paulo","FRQ001","FRQ002"),VLOOKUP(B44,Premissas!$A$11:$B$28,2,FALSE))</f>
        <v>FRQ003</v>
      </c>
      <c r="P44" t="str">
        <f t="shared" si="0"/>
        <v>Própria</v>
      </c>
      <c r="Q44" s="10">
        <f>VLOOKUP(E44,Premissas!$A$32:$B$35,2,FALSE)</f>
        <v>938</v>
      </c>
      <c r="R44" s="10">
        <f>Q44*(1-Premissas!$B$5)</f>
        <v>745.24099999999999</v>
      </c>
      <c r="S44">
        <f t="shared" si="1"/>
        <v>5</v>
      </c>
      <c r="T44" t="str">
        <f t="shared" si="2"/>
        <v>5. Régua automatizada</v>
      </c>
      <c r="U44">
        <f t="shared" si="3"/>
        <v>31</v>
      </c>
      <c r="V44" t="s">
        <v>213</v>
      </c>
      <c r="W44" t="s">
        <v>207</v>
      </c>
      <c r="X44" s="13">
        <v>0.2402</v>
      </c>
    </row>
    <row r="45" spans="1:24" x14ac:dyDescent="0.25">
      <c r="A45" t="s">
        <v>290</v>
      </c>
      <c r="B45" t="s">
        <v>55</v>
      </c>
      <c r="C45" t="s">
        <v>291</v>
      </c>
      <c r="D45" t="s">
        <v>120</v>
      </c>
      <c r="E45" t="s">
        <v>72</v>
      </c>
      <c r="F45">
        <v>50</v>
      </c>
      <c r="G45" t="s">
        <v>196</v>
      </c>
      <c r="H45" t="s">
        <v>211</v>
      </c>
      <c r="I45" t="s">
        <v>205</v>
      </c>
      <c r="J45">
        <v>0</v>
      </c>
      <c r="K45">
        <v>0</v>
      </c>
      <c r="L45">
        <v>1</v>
      </c>
      <c r="M45" s="8">
        <v>3</v>
      </c>
      <c r="N45" t="s">
        <v>206</v>
      </c>
      <c r="O45" t="str">
        <f>IF(B45="SP",IF(C45="São Paulo","FRQ001","FRQ002"),VLOOKUP(B45,Premissas!$A$11:$B$28,2,FALSE))</f>
        <v>FRQ011</v>
      </c>
      <c r="P45" t="str">
        <f t="shared" si="0"/>
        <v>Própria</v>
      </c>
      <c r="Q45" s="10">
        <f>VLOOKUP(E45,Premissas!$A$32:$B$35,2,FALSE)</f>
        <v>1121</v>
      </c>
      <c r="R45" s="10">
        <f>Q45*(1-Premissas!$B$5)</f>
        <v>890.6345</v>
      </c>
      <c r="S45">
        <f t="shared" si="1"/>
        <v>4</v>
      </c>
      <c r="T45" t="str">
        <f t="shared" si="2"/>
        <v>4. Nutrir (marketing/inbound)</v>
      </c>
      <c r="U45">
        <f t="shared" si="3"/>
        <v>7</v>
      </c>
      <c r="V45" t="s">
        <v>200</v>
      </c>
      <c r="W45" t="s">
        <v>207</v>
      </c>
      <c r="X45" s="13">
        <v>0.4405</v>
      </c>
    </row>
    <row r="46" spans="1:24" x14ac:dyDescent="0.25">
      <c r="A46" t="s">
        <v>292</v>
      </c>
      <c r="B46" t="s">
        <v>49</v>
      </c>
      <c r="C46" t="s">
        <v>266</v>
      </c>
      <c r="D46" t="s">
        <v>107</v>
      </c>
      <c r="E46" t="s">
        <v>72</v>
      </c>
      <c r="F46">
        <v>51</v>
      </c>
      <c r="G46" t="s">
        <v>237</v>
      </c>
      <c r="H46" t="s">
        <v>211</v>
      </c>
      <c r="I46" t="s">
        <v>205</v>
      </c>
      <c r="J46">
        <v>0</v>
      </c>
      <c r="K46">
        <v>0</v>
      </c>
      <c r="L46">
        <v>0</v>
      </c>
      <c r="M46" s="8">
        <v>3</v>
      </c>
      <c r="N46" t="s">
        <v>206</v>
      </c>
      <c r="O46" t="str">
        <f>IF(B46="SP",IF(C46="São Paulo","FRQ001","FRQ002"),VLOOKUP(B46,Premissas!$A$11:$B$28,2,FALSE))</f>
        <v>FRQ004</v>
      </c>
      <c r="P46" t="str">
        <f t="shared" si="0"/>
        <v>Própria</v>
      </c>
      <c r="Q46" s="10">
        <f>VLOOKUP(E46,Premissas!$A$32:$B$35,2,FALSE)</f>
        <v>1121</v>
      </c>
      <c r="R46" s="10">
        <f>Q46*(1-Premissas!$B$5)</f>
        <v>890.6345</v>
      </c>
      <c r="S46">
        <f t="shared" si="1"/>
        <v>4</v>
      </c>
      <c r="T46" t="str">
        <f t="shared" si="2"/>
        <v>4. Nutrir (marketing/inbound)</v>
      </c>
      <c r="U46">
        <f t="shared" si="3"/>
        <v>10</v>
      </c>
      <c r="V46" t="s">
        <v>200</v>
      </c>
      <c r="W46" t="s">
        <v>207</v>
      </c>
      <c r="X46" s="13">
        <v>0.44330000000000003</v>
      </c>
    </row>
    <row r="47" spans="1:24" x14ac:dyDescent="0.25">
      <c r="A47" t="s">
        <v>293</v>
      </c>
      <c r="B47" t="s">
        <v>66</v>
      </c>
      <c r="C47" t="s">
        <v>271</v>
      </c>
      <c r="D47" t="s">
        <v>107</v>
      </c>
      <c r="E47" t="s">
        <v>75</v>
      </c>
      <c r="F47">
        <v>6</v>
      </c>
      <c r="G47" t="s">
        <v>204</v>
      </c>
      <c r="H47" t="s">
        <v>211</v>
      </c>
      <c r="I47" t="s">
        <v>205</v>
      </c>
      <c r="J47">
        <v>0</v>
      </c>
      <c r="K47">
        <v>0</v>
      </c>
      <c r="L47">
        <v>0</v>
      </c>
      <c r="M47" s="8">
        <v>1</v>
      </c>
      <c r="N47" t="s">
        <v>212</v>
      </c>
      <c r="O47" t="str">
        <f>IF(B47="SP",IF(C47="São Paulo","FRQ001","FRQ002"),VLOOKUP(B47,Premissas!$A$11:$B$28,2,FALSE))</f>
        <v>FRQ002</v>
      </c>
      <c r="P47" t="str">
        <f t="shared" si="0"/>
        <v>Própria</v>
      </c>
      <c r="Q47" s="10">
        <f>VLOOKUP(E47,Premissas!$A$32:$B$35,2,FALSE)</f>
        <v>938</v>
      </c>
      <c r="R47" s="10">
        <f>Q47*(1-Premissas!$B$5)</f>
        <v>745.24099999999999</v>
      </c>
      <c r="S47">
        <f t="shared" si="1"/>
        <v>5</v>
      </c>
      <c r="T47" t="str">
        <f t="shared" si="2"/>
        <v>5. Régua automatizada</v>
      </c>
      <c r="U47">
        <f t="shared" si="3"/>
        <v>26</v>
      </c>
      <c r="V47" t="s">
        <v>221</v>
      </c>
      <c r="W47" t="s">
        <v>207</v>
      </c>
      <c r="X47" s="13">
        <v>0.17169999999999999</v>
      </c>
    </row>
    <row r="48" spans="1:24" x14ac:dyDescent="0.25">
      <c r="A48" t="s">
        <v>294</v>
      </c>
      <c r="B48" t="s">
        <v>61</v>
      </c>
      <c r="C48" t="s">
        <v>295</v>
      </c>
      <c r="D48" t="s">
        <v>124</v>
      </c>
      <c r="E48" t="s">
        <v>75</v>
      </c>
      <c r="F48">
        <v>21</v>
      </c>
      <c r="G48" t="s">
        <v>210</v>
      </c>
      <c r="H48" t="s">
        <v>197</v>
      </c>
      <c r="I48" t="s">
        <v>205</v>
      </c>
      <c r="J48">
        <v>0</v>
      </c>
      <c r="K48">
        <v>1</v>
      </c>
      <c r="L48">
        <v>0</v>
      </c>
      <c r="M48" s="8">
        <v>2</v>
      </c>
      <c r="N48" t="s">
        <v>212</v>
      </c>
      <c r="O48" t="str">
        <f>IF(B48="SP",IF(C48="São Paulo","FRQ001","FRQ002"),VLOOKUP(B48,Premissas!$A$11:$B$28,2,FALSE))</f>
        <v>Sem franquia</v>
      </c>
      <c r="P48" t="str">
        <f t="shared" si="0"/>
        <v>Sem franquia</v>
      </c>
      <c r="Q48" s="10">
        <f>VLOOKUP(E48,Premissas!$A$32:$B$35,2,FALSE)</f>
        <v>938</v>
      </c>
      <c r="R48" s="10">
        <f>Q48*(1-Premissas!$B$5)</f>
        <v>745.24099999999999</v>
      </c>
      <c r="S48">
        <f t="shared" si="1"/>
        <v>3</v>
      </c>
      <c r="T48" t="str">
        <f t="shared" si="2"/>
        <v>3. Requalificar ou encerrar lead parado</v>
      </c>
      <c r="U48">
        <f t="shared" si="3"/>
        <v>9</v>
      </c>
      <c r="V48" t="s">
        <v>213</v>
      </c>
      <c r="W48" t="s">
        <v>207</v>
      </c>
      <c r="X48" s="13">
        <v>0.19489999999999999</v>
      </c>
    </row>
    <row r="49" spans="1:24" x14ac:dyDescent="0.25">
      <c r="A49" t="s">
        <v>296</v>
      </c>
      <c r="B49" t="s">
        <v>66</v>
      </c>
      <c r="C49" t="s">
        <v>271</v>
      </c>
      <c r="D49" t="s">
        <v>107</v>
      </c>
      <c r="E49" t="s">
        <v>72</v>
      </c>
      <c r="F49">
        <v>65</v>
      </c>
      <c r="G49" t="s">
        <v>204</v>
      </c>
      <c r="H49" t="s">
        <v>226</v>
      </c>
      <c r="I49" t="s">
        <v>205</v>
      </c>
      <c r="J49">
        <v>0</v>
      </c>
      <c r="K49">
        <v>0</v>
      </c>
      <c r="L49">
        <v>1</v>
      </c>
      <c r="M49" s="8">
        <v>3</v>
      </c>
      <c r="N49" t="s">
        <v>206</v>
      </c>
      <c r="O49" t="str">
        <f>IF(B49="SP",IF(C49="São Paulo","FRQ001","FRQ002"),VLOOKUP(B49,Premissas!$A$11:$B$28,2,FALSE))</f>
        <v>FRQ002</v>
      </c>
      <c r="P49" t="str">
        <f t="shared" si="0"/>
        <v>Própria</v>
      </c>
      <c r="Q49" s="10">
        <f>VLOOKUP(E49,Premissas!$A$32:$B$35,2,FALSE)</f>
        <v>1121</v>
      </c>
      <c r="R49" s="10">
        <f>Q49*(1-Premissas!$B$5)</f>
        <v>890.6345</v>
      </c>
      <c r="S49">
        <f t="shared" si="1"/>
        <v>4</v>
      </c>
      <c r="T49" t="str">
        <f t="shared" si="2"/>
        <v>4. Nutrir (marketing/inbound)</v>
      </c>
      <c r="U49">
        <f t="shared" si="3"/>
        <v>9</v>
      </c>
      <c r="V49" t="s">
        <v>200</v>
      </c>
      <c r="W49" t="s">
        <v>207</v>
      </c>
      <c r="X49" s="13">
        <v>0.43640000000000001</v>
      </c>
    </row>
    <row r="50" spans="1:24" x14ac:dyDescent="0.25">
      <c r="A50" t="s">
        <v>297</v>
      </c>
      <c r="B50" t="s">
        <v>49</v>
      </c>
      <c r="C50" t="s">
        <v>218</v>
      </c>
      <c r="D50" t="s">
        <v>107</v>
      </c>
      <c r="E50" t="s">
        <v>75</v>
      </c>
      <c r="F50">
        <v>12</v>
      </c>
      <c r="G50" t="s">
        <v>196</v>
      </c>
      <c r="H50" t="s">
        <v>211</v>
      </c>
      <c r="I50" t="s">
        <v>205</v>
      </c>
      <c r="J50">
        <v>0</v>
      </c>
      <c r="K50">
        <v>0</v>
      </c>
      <c r="L50">
        <v>0</v>
      </c>
      <c r="M50" s="8">
        <v>1</v>
      </c>
      <c r="N50" t="s">
        <v>212</v>
      </c>
      <c r="O50" t="str">
        <f>IF(B50="SP",IF(C50="São Paulo","FRQ001","FRQ002"),VLOOKUP(B50,Premissas!$A$11:$B$28,2,FALSE))</f>
        <v>FRQ004</v>
      </c>
      <c r="P50" t="str">
        <f t="shared" si="0"/>
        <v>Própria</v>
      </c>
      <c r="Q50" s="10">
        <f>VLOOKUP(E50,Premissas!$A$32:$B$35,2,FALSE)</f>
        <v>938</v>
      </c>
      <c r="R50" s="10">
        <f>Q50*(1-Premissas!$B$5)</f>
        <v>745.24099999999999</v>
      </c>
      <c r="S50">
        <f t="shared" si="1"/>
        <v>5</v>
      </c>
      <c r="T50" t="str">
        <f t="shared" si="2"/>
        <v>5. Régua automatizada</v>
      </c>
      <c r="U50">
        <f t="shared" si="3"/>
        <v>20</v>
      </c>
      <c r="V50" t="s">
        <v>221</v>
      </c>
      <c r="W50" t="s">
        <v>207</v>
      </c>
      <c r="X50" s="13">
        <v>0.1757</v>
      </c>
    </row>
    <row r="51" spans="1:24" x14ac:dyDescent="0.25">
      <c r="A51" t="s">
        <v>298</v>
      </c>
      <c r="B51" t="s">
        <v>49</v>
      </c>
      <c r="C51" t="s">
        <v>266</v>
      </c>
      <c r="D51" t="s">
        <v>107</v>
      </c>
      <c r="E51" t="s">
        <v>72</v>
      </c>
      <c r="F51">
        <v>59</v>
      </c>
      <c r="G51" t="s">
        <v>243</v>
      </c>
      <c r="H51" t="s">
        <v>211</v>
      </c>
      <c r="I51" t="s">
        <v>205</v>
      </c>
      <c r="J51">
        <v>0</v>
      </c>
      <c r="K51">
        <v>0</v>
      </c>
      <c r="L51">
        <v>0</v>
      </c>
      <c r="M51" s="8">
        <v>3</v>
      </c>
      <c r="N51" t="s">
        <v>206</v>
      </c>
      <c r="O51" t="str">
        <f>IF(B51="SP",IF(C51="São Paulo","FRQ001","FRQ002"),VLOOKUP(B51,Premissas!$A$11:$B$28,2,FALSE))</f>
        <v>FRQ004</v>
      </c>
      <c r="P51" t="str">
        <f t="shared" si="0"/>
        <v>Própria</v>
      </c>
      <c r="Q51" s="10">
        <f>VLOOKUP(E51,Premissas!$A$32:$B$35,2,FALSE)</f>
        <v>1121</v>
      </c>
      <c r="R51" s="10">
        <f>Q51*(1-Premissas!$B$5)</f>
        <v>890.6345</v>
      </c>
      <c r="S51">
        <f t="shared" si="1"/>
        <v>4</v>
      </c>
      <c r="T51" t="str">
        <f t="shared" si="2"/>
        <v>4. Nutrir (marketing/inbound)</v>
      </c>
      <c r="U51">
        <f t="shared" si="3"/>
        <v>10</v>
      </c>
      <c r="V51" t="s">
        <v>200</v>
      </c>
      <c r="W51" t="s">
        <v>207</v>
      </c>
      <c r="X51" s="13">
        <v>0.45689999999999997</v>
      </c>
    </row>
    <row r="52" spans="1:24" x14ac:dyDescent="0.25">
      <c r="A52" t="s">
        <v>299</v>
      </c>
      <c r="B52" t="s">
        <v>61</v>
      </c>
      <c r="C52" t="s">
        <v>300</v>
      </c>
      <c r="D52" t="s">
        <v>124</v>
      </c>
      <c r="E52" t="s">
        <v>72</v>
      </c>
      <c r="F52">
        <v>71</v>
      </c>
      <c r="G52" t="s">
        <v>196</v>
      </c>
      <c r="H52" t="s">
        <v>197</v>
      </c>
      <c r="I52" t="s">
        <v>220</v>
      </c>
      <c r="J52">
        <v>1</v>
      </c>
      <c r="K52">
        <v>1</v>
      </c>
      <c r="L52">
        <v>1</v>
      </c>
      <c r="M52" s="8">
        <v>4</v>
      </c>
      <c r="N52" t="s">
        <v>199</v>
      </c>
      <c r="O52" t="str">
        <f>IF(B52="SP",IF(C52="São Paulo","FRQ001","FRQ002"),VLOOKUP(B52,Premissas!$A$11:$B$28,2,FALSE))</f>
        <v>Sem franquia</v>
      </c>
      <c r="P52" t="str">
        <f t="shared" si="0"/>
        <v>Sem franquia</v>
      </c>
      <c r="Q52" s="10">
        <f>VLOOKUP(E52,Premissas!$A$32:$B$35,2,FALSE)</f>
        <v>1121</v>
      </c>
      <c r="R52" s="10">
        <f>Q52*(1-Premissas!$B$5)</f>
        <v>890.6345</v>
      </c>
      <c r="S52">
        <f t="shared" si="1"/>
        <v>2</v>
      </c>
      <c r="T52" t="str">
        <f t="shared" si="2"/>
        <v>2. Prospectar tier Alta</v>
      </c>
      <c r="U52">
        <f t="shared" si="3"/>
        <v>2</v>
      </c>
      <c r="V52" t="s">
        <v>200</v>
      </c>
      <c r="W52" t="s">
        <v>201</v>
      </c>
      <c r="X52" s="13">
        <v>0.4405</v>
      </c>
    </row>
    <row r="53" spans="1:24" x14ac:dyDescent="0.25">
      <c r="A53" t="s">
        <v>301</v>
      </c>
      <c r="B53" t="s">
        <v>57</v>
      </c>
      <c r="C53" t="s">
        <v>302</v>
      </c>
      <c r="D53" t="s">
        <v>113</v>
      </c>
      <c r="E53" t="s">
        <v>75</v>
      </c>
      <c r="F53">
        <v>23</v>
      </c>
      <c r="G53" t="s">
        <v>204</v>
      </c>
      <c r="H53" t="s">
        <v>211</v>
      </c>
      <c r="I53" t="s">
        <v>205</v>
      </c>
      <c r="J53">
        <v>0</v>
      </c>
      <c r="K53">
        <v>0</v>
      </c>
      <c r="L53">
        <v>0</v>
      </c>
      <c r="M53" s="8">
        <v>2</v>
      </c>
      <c r="N53" t="s">
        <v>212</v>
      </c>
      <c r="O53" t="str">
        <f>IF(B53="SP",IF(C53="São Paulo","FRQ001","FRQ002"),VLOOKUP(B53,Premissas!$A$11:$B$28,2,FALSE))</f>
        <v>FRQ005</v>
      </c>
      <c r="P53" t="str">
        <f t="shared" si="0"/>
        <v>Própria</v>
      </c>
      <c r="Q53" s="10">
        <f>VLOOKUP(E53,Premissas!$A$32:$B$35,2,FALSE)</f>
        <v>938</v>
      </c>
      <c r="R53" s="10">
        <f>Q53*(1-Premissas!$B$5)</f>
        <v>745.24099999999999</v>
      </c>
      <c r="S53">
        <f t="shared" si="1"/>
        <v>5</v>
      </c>
      <c r="T53" t="str">
        <f t="shared" si="2"/>
        <v>5. Régua automatizada</v>
      </c>
      <c r="U53">
        <f t="shared" si="3"/>
        <v>8</v>
      </c>
      <c r="V53" t="s">
        <v>213</v>
      </c>
      <c r="W53" t="s">
        <v>207</v>
      </c>
      <c r="X53" s="13">
        <v>0.20150000000000001</v>
      </c>
    </row>
    <row r="54" spans="1:24" x14ac:dyDescent="0.25">
      <c r="A54" t="s">
        <v>303</v>
      </c>
      <c r="B54" t="s">
        <v>33</v>
      </c>
      <c r="C54" t="s">
        <v>251</v>
      </c>
      <c r="D54" t="s">
        <v>124</v>
      </c>
      <c r="E54" t="s">
        <v>72</v>
      </c>
      <c r="F54">
        <v>47</v>
      </c>
      <c r="G54" t="s">
        <v>216</v>
      </c>
      <c r="H54" t="s">
        <v>247</v>
      </c>
      <c r="I54" t="s">
        <v>205</v>
      </c>
      <c r="J54">
        <v>0</v>
      </c>
      <c r="K54">
        <v>1</v>
      </c>
      <c r="L54">
        <v>0</v>
      </c>
      <c r="M54" s="8">
        <v>3</v>
      </c>
      <c r="N54" t="s">
        <v>206</v>
      </c>
      <c r="O54" t="str">
        <f>IF(B54="SP",IF(C54="São Paulo","FRQ001","FRQ002"),VLOOKUP(B54,Premissas!$A$11:$B$28,2,FALSE))</f>
        <v>FRQ013</v>
      </c>
      <c r="P54" t="str">
        <f t="shared" si="0"/>
        <v>Própria</v>
      </c>
      <c r="Q54" s="10">
        <f>VLOOKUP(E54,Premissas!$A$32:$B$35,2,FALSE)</f>
        <v>1121</v>
      </c>
      <c r="R54" s="10">
        <f>Q54*(1-Premissas!$B$5)</f>
        <v>890.6345</v>
      </c>
      <c r="S54">
        <f t="shared" si="1"/>
        <v>3</v>
      </c>
      <c r="T54" t="str">
        <f t="shared" si="2"/>
        <v>3. Requalificar ou encerrar lead parado</v>
      </c>
      <c r="U54">
        <f t="shared" si="3"/>
        <v>1</v>
      </c>
      <c r="V54" t="s">
        <v>200</v>
      </c>
      <c r="W54" t="s">
        <v>207</v>
      </c>
      <c r="X54" s="13">
        <v>0.39340000000000003</v>
      </c>
    </row>
    <row r="55" spans="1:24" x14ac:dyDescent="0.25">
      <c r="A55" t="s">
        <v>304</v>
      </c>
      <c r="B55" t="s">
        <v>36</v>
      </c>
      <c r="C55" t="s">
        <v>257</v>
      </c>
      <c r="D55" t="s">
        <v>120</v>
      </c>
      <c r="E55" t="s">
        <v>75</v>
      </c>
      <c r="F55">
        <v>18</v>
      </c>
      <c r="G55" t="s">
        <v>204</v>
      </c>
      <c r="H55" t="s">
        <v>211</v>
      </c>
      <c r="I55" t="s">
        <v>205</v>
      </c>
      <c r="J55">
        <v>0</v>
      </c>
      <c r="K55">
        <v>0</v>
      </c>
      <c r="L55">
        <v>0</v>
      </c>
      <c r="M55" s="8">
        <v>2</v>
      </c>
      <c r="N55" t="s">
        <v>212</v>
      </c>
      <c r="O55" t="str">
        <f>IF(B55="SP",IF(C55="São Paulo","FRQ001","FRQ002"),VLOOKUP(B55,Premissas!$A$11:$B$28,2,FALSE))</f>
        <v>FRQ010</v>
      </c>
      <c r="P55" t="str">
        <f t="shared" si="0"/>
        <v>Própria</v>
      </c>
      <c r="Q55" s="10">
        <f>VLOOKUP(E55,Premissas!$A$32:$B$35,2,FALSE)</f>
        <v>938</v>
      </c>
      <c r="R55" s="10">
        <f>Q55*(1-Premissas!$B$5)</f>
        <v>745.24099999999999</v>
      </c>
      <c r="S55">
        <f t="shared" si="1"/>
        <v>5</v>
      </c>
      <c r="T55" t="str">
        <f t="shared" si="2"/>
        <v>5. Régua automatizada</v>
      </c>
      <c r="U55">
        <f t="shared" si="3"/>
        <v>10</v>
      </c>
      <c r="V55" t="s">
        <v>213</v>
      </c>
      <c r="W55" t="s">
        <v>207</v>
      </c>
      <c r="X55" s="13">
        <v>0.1716</v>
      </c>
    </row>
    <row r="56" spans="1:24" x14ac:dyDescent="0.25">
      <c r="A56" t="s">
        <v>305</v>
      </c>
      <c r="B56" t="s">
        <v>66</v>
      </c>
      <c r="C56" t="s">
        <v>215</v>
      </c>
      <c r="D56" t="s">
        <v>107</v>
      </c>
      <c r="E56" t="s">
        <v>72</v>
      </c>
      <c r="F56">
        <v>42</v>
      </c>
      <c r="G56" t="s">
        <v>204</v>
      </c>
      <c r="H56" t="s">
        <v>211</v>
      </c>
      <c r="I56" t="s">
        <v>205</v>
      </c>
      <c r="J56">
        <v>0</v>
      </c>
      <c r="K56">
        <v>0</v>
      </c>
      <c r="L56">
        <v>0</v>
      </c>
      <c r="M56" s="8">
        <v>3</v>
      </c>
      <c r="N56" t="s">
        <v>206</v>
      </c>
      <c r="O56" t="str">
        <f>IF(B56="SP",IF(C56="São Paulo","FRQ001","FRQ002"),VLOOKUP(B56,Premissas!$A$11:$B$28,2,FALSE))</f>
        <v>FRQ002</v>
      </c>
      <c r="P56" t="str">
        <f t="shared" si="0"/>
        <v>Própria</v>
      </c>
      <c r="Q56" s="10">
        <f>VLOOKUP(E56,Premissas!$A$32:$B$35,2,FALSE)</f>
        <v>1121</v>
      </c>
      <c r="R56" s="10">
        <f>Q56*(1-Premissas!$B$5)</f>
        <v>890.6345</v>
      </c>
      <c r="S56">
        <f t="shared" si="1"/>
        <v>4</v>
      </c>
      <c r="T56" t="str">
        <f t="shared" si="2"/>
        <v>4. Nutrir (marketing/inbound)</v>
      </c>
      <c r="U56">
        <f t="shared" si="3"/>
        <v>9</v>
      </c>
      <c r="V56" t="s">
        <v>200</v>
      </c>
      <c r="W56" t="s">
        <v>207</v>
      </c>
      <c r="X56" s="13">
        <v>0.36880000000000002</v>
      </c>
    </row>
    <row r="57" spans="1:24" x14ac:dyDescent="0.25">
      <c r="A57" t="s">
        <v>306</v>
      </c>
      <c r="B57" t="s">
        <v>52</v>
      </c>
      <c r="C57" t="s">
        <v>203</v>
      </c>
      <c r="D57" t="s">
        <v>117</v>
      </c>
      <c r="E57" t="s">
        <v>72</v>
      </c>
      <c r="F57">
        <v>40</v>
      </c>
      <c r="G57" t="s">
        <v>237</v>
      </c>
      <c r="H57" t="s">
        <v>197</v>
      </c>
      <c r="I57" t="s">
        <v>205</v>
      </c>
      <c r="J57">
        <v>0</v>
      </c>
      <c r="K57">
        <v>1</v>
      </c>
      <c r="L57">
        <v>0</v>
      </c>
      <c r="M57" s="8">
        <v>3</v>
      </c>
      <c r="N57" t="s">
        <v>206</v>
      </c>
      <c r="O57" t="str">
        <f>IF(B57="SP",IF(C57="São Paulo","FRQ001","FRQ002"),VLOOKUP(B57,Premissas!$A$11:$B$28,2,FALSE))</f>
        <v>Sem franquia</v>
      </c>
      <c r="P57" t="str">
        <f t="shared" si="0"/>
        <v>Sem franquia</v>
      </c>
      <c r="Q57" s="10">
        <f>VLOOKUP(E57,Premissas!$A$32:$B$35,2,FALSE)</f>
        <v>1121</v>
      </c>
      <c r="R57" s="10">
        <f>Q57*(1-Premissas!$B$5)</f>
        <v>890.6345</v>
      </c>
      <c r="S57">
        <f t="shared" si="1"/>
        <v>3</v>
      </c>
      <c r="T57" t="str">
        <f t="shared" si="2"/>
        <v>3. Requalificar ou encerrar lead parado</v>
      </c>
      <c r="U57">
        <f t="shared" si="3"/>
        <v>6</v>
      </c>
      <c r="V57" t="s">
        <v>200</v>
      </c>
      <c r="W57" t="s">
        <v>207</v>
      </c>
      <c r="X57" s="13">
        <v>0.37569999999999998</v>
      </c>
    </row>
    <row r="58" spans="1:24" x14ac:dyDescent="0.25">
      <c r="A58" t="s">
        <v>307</v>
      </c>
      <c r="B58" t="s">
        <v>44</v>
      </c>
      <c r="C58" t="s">
        <v>308</v>
      </c>
      <c r="D58" t="s">
        <v>117</v>
      </c>
      <c r="E58" t="s">
        <v>75</v>
      </c>
      <c r="F58">
        <v>20</v>
      </c>
      <c r="G58" t="s">
        <v>210</v>
      </c>
      <c r="H58" t="s">
        <v>197</v>
      </c>
      <c r="I58" t="s">
        <v>205</v>
      </c>
      <c r="J58">
        <v>0</v>
      </c>
      <c r="K58">
        <v>1</v>
      </c>
      <c r="L58">
        <v>0</v>
      </c>
      <c r="M58" s="8">
        <v>2</v>
      </c>
      <c r="N58" t="s">
        <v>212</v>
      </c>
      <c r="O58" t="str">
        <f>IF(B58="SP",IF(C58="São Paulo","FRQ001","FRQ002"),VLOOKUP(B58,Premissas!$A$11:$B$28,2,FALSE))</f>
        <v>FRQ009</v>
      </c>
      <c r="P58" t="str">
        <f t="shared" si="0"/>
        <v>Própria</v>
      </c>
      <c r="Q58" s="10">
        <f>VLOOKUP(E58,Premissas!$A$32:$B$35,2,FALSE)</f>
        <v>938</v>
      </c>
      <c r="R58" s="10">
        <f>Q58*(1-Premissas!$B$5)</f>
        <v>745.24099999999999</v>
      </c>
      <c r="S58">
        <f t="shared" si="1"/>
        <v>3</v>
      </c>
      <c r="T58" t="str">
        <f t="shared" si="2"/>
        <v>3. Requalificar ou encerrar lead parado</v>
      </c>
      <c r="U58">
        <f t="shared" si="3"/>
        <v>3</v>
      </c>
      <c r="V58" t="s">
        <v>213</v>
      </c>
      <c r="W58" t="s">
        <v>207</v>
      </c>
      <c r="X58" s="13">
        <v>0.19489999999999999</v>
      </c>
    </row>
    <row r="59" spans="1:24" x14ac:dyDescent="0.25">
      <c r="A59" t="s">
        <v>309</v>
      </c>
      <c r="B59" t="s">
        <v>59</v>
      </c>
      <c r="C59" t="s">
        <v>269</v>
      </c>
      <c r="D59" t="s">
        <v>107</v>
      </c>
      <c r="E59" t="s">
        <v>72</v>
      </c>
      <c r="F59">
        <v>49</v>
      </c>
      <c r="G59" t="s">
        <v>196</v>
      </c>
      <c r="H59" t="s">
        <v>197</v>
      </c>
      <c r="I59" t="s">
        <v>198</v>
      </c>
      <c r="J59">
        <v>2</v>
      </c>
      <c r="K59">
        <v>0</v>
      </c>
      <c r="L59">
        <v>0</v>
      </c>
      <c r="M59" s="8">
        <v>4</v>
      </c>
      <c r="N59" t="s">
        <v>199</v>
      </c>
      <c r="O59" t="str">
        <f>IF(B59="SP",IF(C59="São Paulo","FRQ001","FRQ002"),VLOOKUP(B59,Premissas!$A$11:$B$28,2,FALSE))</f>
        <v>FRQ003</v>
      </c>
      <c r="P59" t="str">
        <f t="shared" si="0"/>
        <v>Própria</v>
      </c>
      <c r="Q59" s="10">
        <f>VLOOKUP(E59,Premissas!$A$32:$B$35,2,FALSE)</f>
        <v>1121</v>
      </c>
      <c r="R59" s="10">
        <f>Q59*(1-Premissas!$B$5)</f>
        <v>890.6345</v>
      </c>
      <c r="S59">
        <f t="shared" si="1"/>
        <v>2</v>
      </c>
      <c r="T59" t="str">
        <f t="shared" si="2"/>
        <v>2. Prospectar tier Alta</v>
      </c>
      <c r="U59">
        <f t="shared" si="3"/>
        <v>5</v>
      </c>
      <c r="V59" t="s">
        <v>200</v>
      </c>
      <c r="W59" t="s">
        <v>201</v>
      </c>
      <c r="X59" s="13">
        <v>0.44169999999999998</v>
      </c>
    </row>
    <row r="60" spans="1:24" x14ac:dyDescent="0.25">
      <c r="A60" t="s">
        <v>310</v>
      </c>
      <c r="B60" t="s">
        <v>62</v>
      </c>
      <c r="C60" t="s">
        <v>311</v>
      </c>
      <c r="D60" t="s">
        <v>113</v>
      </c>
      <c r="E60" t="s">
        <v>75</v>
      </c>
      <c r="F60">
        <v>7</v>
      </c>
      <c r="G60" t="s">
        <v>196</v>
      </c>
      <c r="H60" t="s">
        <v>211</v>
      </c>
      <c r="I60" t="s">
        <v>205</v>
      </c>
      <c r="J60">
        <v>0</v>
      </c>
      <c r="K60">
        <v>0</v>
      </c>
      <c r="L60">
        <v>0</v>
      </c>
      <c r="M60" s="8">
        <v>1</v>
      </c>
      <c r="N60" t="s">
        <v>212</v>
      </c>
      <c r="O60" t="str">
        <f>IF(B60="SP",IF(C60="São Paulo","FRQ001","FRQ002"),VLOOKUP(B60,Premissas!$A$11:$B$28,2,FALSE))</f>
        <v>FRQ007</v>
      </c>
      <c r="P60" t="str">
        <f t="shared" si="0"/>
        <v>Própria</v>
      </c>
      <c r="Q60" s="10">
        <f>VLOOKUP(E60,Premissas!$A$32:$B$35,2,FALSE)</f>
        <v>938</v>
      </c>
      <c r="R60" s="10">
        <f>Q60*(1-Premissas!$B$5)</f>
        <v>745.24099999999999</v>
      </c>
      <c r="S60">
        <f t="shared" si="1"/>
        <v>5</v>
      </c>
      <c r="T60" t="str">
        <f t="shared" si="2"/>
        <v>5. Régua automatizada</v>
      </c>
      <c r="U60">
        <f t="shared" si="3"/>
        <v>5</v>
      </c>
      <c r="V60" t="s">
        <v>221</v>
      </c>
      <c r="W60" t="s">
        <v>207</v>
      </c>
      <c r="X60" s="13">
        <v>0.1757</v>
      </c>
    </row>
    <row r="61" spans="1:24" x14ac:dyDescent="0.25">
      <c r="A61" t="s">
        <v>312</v>
      </c>
      <c r="B61" t="s">
        <v>42</v>
      </c>
      <c r="C61" t="s">
        <v>288</v>
      </c>
      <c r="D61" t="s">
        <v>107</v>
      </c>
      <c r="E61" t="s">
        <v>72</v>
      </c>
      <c r="F61">
        <v>45</v>
      </c>
      <c r="G61" t="s">
        <v>196</v>
      </c>
      <c r="H61" t="s">
        <v>226</v>
      </c>
      <c r="I61" t="s">
        <v>205</v>
      </c>
      <c r="J61">
        <v>0</v>
      </c>
      <c r="K61">
        <v>0</v>
      </c>
      <c r="L61">
        <v>0</v>
      </c>
      <c r="M61" s="8">
        <v>3</v>
      </c>
      <c r="N61" t="s">
        <v>206</v>
      </c>
      <c r="O61" t="str">
        <f>IF(B61="SP",IF(C61="São Paulo","FRQ001","FRQ002"),VLOOKUP(B61,Premissas!$A$11:$B$28,2,FALSE))</f>
        <v>FRQ015</v>
      </c>
      <c r="P61" t="str">
        <f t="shared" si="0"/>
        <v>Própria</v>
      </c>
      <c r="Q61" s="10">
        <f>VLOOKUP(E61,Premissas!$A$32:$B$35,2,FALSE)</f>
        <v>1121</v>
      </c>
      <c r="R61" s="10">
        <f>Q61*(1-Premissas!$B$5)</f>
        <v>890.6345</v>
      </c>
      <c r="S61">
        <f t="shared" si="1"/>
        <v>4</v>
      </c>
      <c r="T61" t="str">
        <f t="shared" si="2"/>
        <v>4. Nutrir (marketing/inbound)</v>
      </c>
      <c r="U61">
        <f t="shared" si="3"/>
        <v>5</v>
      </c>
      <c r="V61" t="s">
        <v>200</v>
      </c>
      <c r="W61" t="s">
        <v>207</v>
      </c>
      <c r="X61" s="13">
        <v>0.373</v>
      </c>
    </row>
    <row r="62" spans="1:24" x14ac:dyDescent="0.25">
      <c r="A62" t="s">
        <v>313</v>
      </c>
      <c r="B62" t="s">
        <v>55</v>
      </c>
      <c r="C62" t="s">
        <v>281</v>
      </c>
      <c r="D62" t="s">
        <v>120</v>
      </c>
      <c r="E62" t="s">
        <v>75</v>
      </c>
      <c r="F62">
        <v>4</v>
      </c>
      <c r="G62" t="s">
        <v>196</v>
      </c>
      <c r="H62" t="s">
        <v>197</v>
      </c>
      <c r="I62" t="s">
        <v>205</v>
      </c>
      <c r="J62">
        <v>0</v>
      </c>
      <c r="K62">
        <v>1</v>
      </c>
      <c r="L62">
        <v>0</v>
      </c>
      <c r="M62" s="8">
        <v>1</v>
      </c>
      <c r="N62" t="s">
        <v>212</v>
      </c>
      <c r="O62" t="str">
        <f>IF(B62="SP",IF(C62="São Paulo","FRQ001","FRQ002"),VLOOKUP(B62,Premissas!$A$11:$B$28,2,FALSE))</f>
        <v>FRQ011</v>
      </c>
      <c r="P62" t="str">
        <f t="shared" si="0"/>
        <v>Própria</v>
      </c>
      <c r="Q62" s="10">
        <f>VLOOKUP(E62,Premissas!$A$32:$B$35,2,FALSE)</f>
        <v>938</v>
      </c>
      <c r="R62" s="10">
        <f>Q62*(1-Premissas!$B$5)</f>
        <v>745.24099999999999</v>
      </c>
      <c r="S62">
        <f t="shared" si="1"/>
        <v>3</v>
      </c>
      <c r="T62" t="str">
        <f t="shared" si="2"/>
        <v>3. Requalificar ou encerrar lead parado</v>
      </c>
      <c r="U62">
        <f t="shared" si="3"/>
        <v>3</v>
      </c>
      <c r="V62" t="s">
        <v>221</v>
      </c>
      <c r="W62" t="s">
        <v>207</v>
      </c>
      <c r="X62" s="13">
        <v>0.1757</v>
      </c>
    </row>
    <row r="63" spans="1:24" x14ac:dyDescent="0.25">
      <c r="A63" t="s">
        <v>314</v>
      </c>
      <c r="B63" t="s">
        <v>57</v>
      </c>
      <c r="C63" t="s">
        <v>315</v>
      </c>
      <c r="D63" t="s">
        <v>113</v>
      </c>
      <c r="E63" t="s">
        <v>75</v>
      </c>
      <c r="F63">
        <v>19</v>
      </c>
      <c r="G63" t="s">
        <v>196</v>
      </c>
      <c r="H63" t="s">
        <v>211</v>
      </c>
      <c r="I63" t="s">
        <v>205</v>
      </c>
      <c r="J63">
        <v>0</v>
      </c>
      <c r="K63">
        <v>0</v>
      </c>
      <c r="L63">
        <v>0</v>
      </c>
      <c r="M63" s="8">
        <v>2</v>
      </c>
      <c r="N63" t="s">
        <v>212</v>
      </c>
      <c r="O63" t="str">
        <f>IF(B63="SP",IF(C63="São Paulo","FRQ001","FRQ002"),VLOOKUP(B63,Premissas!$A$11:$B$28,2,FALSE))</f>
        <v>FRQ005</v>
      </c>
      <c r="P63" t="str">
        <f t="shared" si="0"/>
        <v>Própria</v>
      </c>
      <c r="Q63" s="10">
        <f>VLOOKUP(E63,Premissas!$A$32:$B$35,2,FALSE)</f>
        <v>938</v>
      </c>
      <c r="R63" s="10">
        <f>Q63*(1-Premissas!$B$5)</f>
        <v>745.24099999999999</v>
      </c>
      <c r="S63">
        <f t="shared" si="1"/>
        <v>5</v>
      </c>
      <c r="T63" t="str">
        <f t="shared" si="2"/>
        <v>5. Régua automatizada</v>
      </c>
      <c r="U63">
        <f t="shared" si="3"/>
        <v>8</v>
      </c>
      <c r="V63" t="s">
        <v>213</v>
      </c>
      <c r="W63" t="s">
        <v>207</v>
      </c>
      <c r="X63" s="13">
        <v>0.24440000000000001</v>
      </c>
    </row>
    <row r="64" spans="1:24" x14ac:dyDescent="0.25">
      <c r="A64" t="s">
        <v>316</v>
      </c>
      <c r="B64" t="s">
        <v>57</v>
      </c>
      <c r="C64" t="s">
        <v>315</v>
      </c>
      <c r="D64" t="s">
        <v>113</v>
      </c>
      <c r="E64" t="s">
        <v>75</v>
      </c>
      <c r="F64">
        <v>6</v>
      </c>
      <c r="G64" t="s">
        <v>210</v>
      </c>
      <c r="H64" t="s">
        <v>197</v>
      </c>
      <c r="I64" t="s">
        <v>231</v>
      </c>
      <c r="J64">
        <v>4</v>
      </c>
      <c r="K64">
        <v>0</v>
      </c>
      <c r="L64">
        <v>0</v>
      </c>
      <c r="M64" s="8">
        <v>3</v>
      </c>
      <c r="N64" t="s">
        <v>206</v>
      </c>
      <c r="O64" t="str">
        <f>IF(B64="SP",IF(C64="São Paulo","FRQ001","FRQ002"),VLOOKUP(B64,Premissas!$A$11:$B$28,2,FALSE))</f>
        <v>FRQ005</v>
      </c>
      <c r="P64" t="str">
        <f t="shared" si="0"/>
        <v>Própria</v>
      </c>
      <c r="Q64" s="10">
        <f>VLOOKUP(E64,Premissas!$A$32:$B$35,2,FALSE)</f>
        <v>938</v>
      </c>
      <c r="R64" s="10">
        <f>Q64*(1-Premissas!$B$5)</f>
        <v>745.24099999999999</v>
      </c>
      <c r="S64">
        <f t="shared" si="1"/>
        <v>1</v>
      </c>
      <c r="T64" t="str">
        <f t="shared" si="2"/>
        <v>1. Fechar (lead ativo em Reunião/Proposta)</v>
      </c>
      <c r="U64">
        <f t="shared" si="3"/>
        <v>1</v>
      </c>
      <c r="V64" t="s">
        <v>221</v>
      </c>
      <c r="W64" t="s">
        <v>232</v>
      </c>
      <c r="X64" s="13">
        <v>9.6199999999999994E-2</v>
      </c>
    </row>
    <row r="65" spans="1:24" x14ac:dyDescent="0.25">
      <c r="A65" t="s">
        <v>317</v>
      </c>
      <c r="B65" t="s">
        <v>57</v>
      </c>
      <c r="C65" t="s">
        <v>318</v>
      </c>
      <c r="D65" t="s">
        <v>113</v>
      </c>
      <c r="E65" t="s">
        <v>72</v>
      </c>
      <c r="F65">
        <v>15</v>
      </c>
      <c r="G65" t="s">
        <v>237</v>
      </c>
      <c r="H65" t="s">
        <v>197</v>
      </c>
      <c r="I65" t="s">
        <v>220</v>
      </c>
      <c r="J65">
        <v>1</v>
      </c>
      <c r="K65">
        <v>0</v>
      </c>
      <c r="L65">
        <v>0</v>
      </c>
      <c r="M65" s="8">
        <v>3</v>
      </c>
      <c r="N65" t="s">
        <v>206</v>
      </c>
      <c r="O65" t="str">
        <f>IF(B65="SP",IF(C65="São Paulo","FRQ001","FRQ002"),VLOOKUP(B65,Premissas!$A$11:$B$28,2,FALSE))</f>
        <v>FRQ005</v>
      </c>
      <c r="P65" t="str">
        <f t="shared" si="0"/>
        <v>Própria</v>
      </c>
      <c r="Q65" s="10">
        <f>VLOOKUP(E65,Premissas!$A$32:$B$35,2,FALSE)</f>
        <v>1121</v>
      </c>
      <c r="R65" s="10">
        <f>Q65*(1-Premissas!$B$5)</f>
        <v>890.6345</v>
      </c>
      <c r="S65">
        <f t="shared" si="1"/>
        <v>4</v>
      </c>
      <c r="T65" t="str">
        <f t="shared" si="2"/>
        <v>4. Nutrir (marketing/inbound)</v>
      </c>
      <c r="U65">
        <f t="shared" si="3"/>
        <v>7</v>
      </c>
      <c r="V65" t="s">
        <v>213</v>
      </c>
      <c r="W65" t="s">
        <v>201</v>
      </c>
      <c r="X65" s="13">
        <v>0.34589999999999999</v>
      </c>
    </row>
    <row r="66" spans="1:24" x14ac:dyDescent="0.25">
      <c r="A66" t="s">
        <v>319</v>
      </c>
      <c r="B66" t="s">
        <v>59</v>
      </c>
      <c r="C66" t="s">
        <v>269</v>
      </c>
      <c r="D66" t="s">
        <v>107</v>
      </c>
      <c r="E66" t="s">
        <v>72</v>
      </c>
      <c r="F66">
        <v>67</v>
      </c>
      <c r="G66" t="s">
        <v>237</v>
      </c>
      <c r="H66" t="s">
        <v>211</v>
      </c>
      <c r="I66" t="s">
        <v>205</v>
      </c>
      <c r="J66">
        <v>0</v>
      </c>
      <c r="K66">
        <v>0</v>
      </c>
      <c r="L66">
        <v>1</v>
      </c>
      <c r="M66" s="8">
        <v>3</v>
      </c>
      <c r="N66" t="s">
        <v>206</v>
      </c>
      <c r="O66" t="str">
        <f>IF(B66="SP",IF(C66="São Paulo","FRQ001","FRQ002"),VLOOKUP(B66,Premissas!$A$11:$B$28,2,FALSE))</f>
        <v>FRQ003</v>
      </c>
      <c r="P66" t="str">
        <f t="shared" ref="P66:P129" si="4">IF(O66="Sem franquia","Sem franquia","Própria")</f>
        <v>Própria</v>
      </c>
      <c r="Q66" s="10">
        <f>VLOOKUP(E66,Premissas!$A$32:$B$35,2,FALSE)</f>
        <v>1121</v>
      </c>
      <c r="R66" s="10">
        <f>Q66*(1-Premissas!$B$5)</f>
        <v>890.6345</v>
      </c>
      <c r="S66">
        <f t="shared" ref="S66:S129" si="5">IF(J66&gt;=3,1,IF(N66="Alta",2,IF(K66=1,3,IF(N66="Média",4,5))))</f>
        <v>4</v>
      </c>
      <c r="T66" t="str">
        <f t="shared" ref="T66:T129" si="6">CHOOSE(S66,"1. Fechar (lead ativo em Reunião/Proposta)","2. Prospectar tier Alta","3. Requalificar ou encerrar lead parado","4. Nutrir (marketing/inbound)","5. Régua automatizada")</f>
        <v>4. Nutrir (marketing/inbound)</v>
      </c>
      <c r="U66">
        <f t="shared" ref="U66:U129" si="7">COUNTIFS($O$2:$O$304,O66,$S$2:$S$304,"&lt;"&amp;S66)+COUNTIFS($O$2:$O$304,O66,$S$2:$S$304,S66,$R$2:$R$304,"&gt;"&amp;R66)+1</f>
        <v>14</v>
      </c>
      <c r="V66" t="s">
        <v>200</v>
      </c>
      <c r="W66" t="s">
        <v>207</v>
      </c>
      <c r="X66" s="13">
        <v>0.47770000000000001</v>
      </c>
    </row>
    <row r="67" spans="1:24" x14ac:dyDescent="0.25">
      <c r="A67" t="s">
        <v>320</v>
      </c>
      <c r="B67" t="s">
        <v>66</v>
      </c>
      <c r="C67" t="s">
        <v>215</v>
      </c>
      <c r="D67" t="s">
        <v>107</v>
      </c>
      <c r="E67" t="s">
        <v>72</v>
      </c>
      <c r="F67">
        <v>75</v>
      </c>
      <c r="G67" t="s">
        <v>237</v>
      </c>
      <c r="H67" t="s">
        <v>211</v>
      </c>
      <c r="I67" t="s">
        <v>205</v>
      </c>
      <c r="J67">
        <v>0</v>
      </c>
      <c r="K67">
        <v>0</v>
      </c>
      <c r="L67">
        <v>1</v>
      </c>
      <c r="M67" s="8">
        <v>3</v>
      </c>
      <c r="N67" t="s">
        <v>206</v>
      </c>
      <c r="O67" t="str">
        <f>IF(B67="SP",IF(C67="São Paulo","FRQ001","FRQ002"),VLOOKUP(B67,Premissas!$A$11:$B$28,2,FALSE))</f>
        <v>FRQ002</v>
      </c>
      <c r="P67" t="str">
        <f t="shared" si="4"/>
        <v>Própria</v>
      </c>
      <c r="Q67" s="10">
        <f>VLOOKUP(E67,Premissas!$A$32:$B$35,2,FALSE)</f>
        <v>1121</v>
      </c>
      <c r="R67" s="10">
        <f>Q67*(1-Premissas!$B$5)</f>
        <v>890.6345</v>
      </c>
      <c r="S67">
        <f t="shared" si="5"/>
        <v>4</v>
      </c>
      <c r="T67" t="str">
        <f t="shared" si="6"/>
        <v>4. Nutrir (marketing/inbound)</v>
      </c>
      <c r="U67">
        <f t="shared" si="7"/>
        <v>9</v>
      </c>
      <c r="V67" t="s">
        <v>200</v>
      </c>
      <c r="W67" t="s">
        <v>207</v>
      </c>
      <c r="X67" s="13">
        <v>0.47760000000000002</v>
      </c>
    </row>
    <row r="68" spans="1:24" x14ac:dyDescent="0.25">
      <c r="A68" t="s">
        <v>321</v>
      </c>
      <c r="B68" t="s">
        <v>36</v>
      </c>
      <c r="C68" t="s">
        <v>322</v>
      </c>
      <c r="D68" t="s">
        <v>120</v>
      </c>
      <c r="E68" t="s">
        <v>72</v>
      </c>
      <c r="F68">
        <v>40</v>
      </c>
      <c r="G68" t="s">
        <v>196</v>
      </c>
      <c r="H68" t="s">
        <v>197</v>
      </c>
      <c r="I68" t="s">
        <v>220</v>
      </c>
      <c r="J68">
        <v>1</v>
      </c>
      <c r="K68">
        <v>0</v>
      </c>
      <c r="L68">
        <v>0</v>
      </c>
      <c r="M68" s="8">
        <v>4</v>
      </c>
      <c r="N68" t="s">
        <v>199</v>
      </c>
      <c r="O68" t="str">
        <f>IF(B68="SP",IF(C68="São Paulo","FRQ001","FRQ002"),VLOOKUP(B68,Premissas!$A$11:$B$28,2,FALSE))</f>
        <v>FRQ010</v>
      </c>
      <c r="P68" t="str">
        <f t="shared" si="4"/>
        <v>Própria</v>
      </c>
      <c r="Q68" s="10">
        <f>VLOOKUP(E68,Premissas!$A$32:$B$35,2,FALSE)</f>
        <v>1121</v>
      </c>
      <c r="R68" s="10">
        <f>Q68*(1-Premissas!$B$5)</f>
        <v>890.6345</v>
      </c>
      <c r="S68">
        <f t="shared" si="5"/>
        <v>2</v>
      </c>
      <c r="T68" t="str">
        <f t="shared" si="6"/>
        <v>2. Prospectar tier Alta</v>
      </c>
      <c r="U68">
        <f t="shared" si="7"/>
        <v>1</v>
      </c>
      <c r="V68" t="s">
        <v>200</v>
      </c>
      <c r="W68" t="s">
        <v>201</v>
      </c>
      <c r="X68" s="13">
        <v>0.373</v>
      </c>
    </row>
    <row r="69" spans="1:24" x14ac:dyDescent="0.25">
      <c r="A69" t="s">
        <v>323</v>
      </c>
      <c r="B69" t="s">
        <v>46</v>
      </c>
      <c r="C69" t="s">
        <v>279</v>
      </c>
      <c r="D69" t="s">
        <v>120</v>
      </c>
      <c r="E69" t="s">
        <v>75</v>
      </c>
      <c r="F69">
        <v>23</v>
      </c>
      <c r="G69" t="s">
        <v>210</v>
      </c>
      <c r="H69" t="s">
        <v>211</v>
      </c>
      <c r="I69" t="s">
        <v>205</v>
      </c>
      <c r="J69">
        <v>0</v>
      </c>
      <c r="K69">
        <v>0</v>
      </c>
      <c r="L69">
        <v>0</v>
      </c>
      <c r="M69" s="8">
        <v>2</v>
      </c>
      <c r="N69" t="s">
        <v>212</v>
      </c>
      <c r="O69" t="str">
        <f>IF(B69="SP",IF(C69="São Paulo","FRQ001","FRQ002"),VLOOKUP(B69,Premissas!$A$11:$B$28,2,FALSE))</f>
        <v>Sem franquia</v>
      </c>
      <c r="P69" t="str">
        <f t="shared" si="4"/>
        <v>Sem franquia</v>
      </c>
      <c r="Q69" s="10">
        <f>VLOOKUP(E69,Premissas!$A$32:$B$35,2,FALSE)</f>
        <v>938</v>
      </c>
      <c r="R69" s="10">
        <f>Q69*(1-Premissas!$B$5)</f>
        <v>745.24099999999999</v>
      </c>
      <c r="S69">
        <f t="shared" si="5"/>
        <v>5</v>
      </c>
      <c r="T69" t="str">
        <f t="shared" si="6"/>
        <v>5. Régua automatizada</v>
      </c>
      <c r="U69">
        <f t="shared" si="7"/>
        <v>18</v>
      </c>
      <c r="V69" t="s">
        <v>213</v>
      </c>
      <c r="W69" t="s">
        <v>207</v>
      </c>
      <c r="X69" s="13">
        <v>0.19489999999999999</v>
      </c>
    </row>
    <row r="70" spans="1:24" x14ac:dyDescent="0.25">
      <c r="A70" t="s">
        <v>324</v>
      </c>
      <c r="B70" t="s">
        <v>66</v>
      </c>
      <c r="C70" t="s">
        <v>234</v>
      </c>
      <c r="D70" t="s">
        <v>107</v>
      </c>
      <c r="E70" t="s">
        <v>72</v>
      </c>
      <c r="F70">
        <v>44</v>
      </c>
      <c r="G70" t="s">
        <v>196</v>
      </c>
      <c r="H70" t="s">
        <v>211</v>
      </c>
      <c r="I70" t="s">
        <v>205</v>
      </c>
      <c r="J70">
        <v>0</v>
      </c>
      <c r="K70">
        <v>0</v>
      </c>
      <c r="L70">
        <v>0</v>
      </c>
      <c r="M70" s="8">
        <v>3</v>
      </c>
      <c r="N70" t="s">
        <v>206</v>
      </c>
      <c r="O70" t="str">
        <f>IF(B70="SP",IF(C70="São Paulo","FRQ001","FRQ002"),VLOOKUP(B70,Premissas!$A$11:$B$28,2,FALSE))</f>
        <v>FRQ002</v>
      </c>
      <c r="P70" t="str">
        <f t="shared" si="4"/>
        <v>Própria</v>
      </c>
      <c r="Q70" s="10">
        <f>VLOOKUP(E70,Premissas!$A$32:$B$35,2,FALSE)</f>
        <v>1121</v>
      </c>
      <c r="R70" s="10">
        <f>Q70*(1-Premissas!$B$5)</f>
        <v>890.6345</v>
      </c>
      <c r="S70">
        <f t="shared" si="5"/>
        <v>4</v>
      </c>
      <c r="T70" t="str">
        <f t="shared" si="6"/>
        <v>4. Nutrir (marketing/inbound)</v>
      </c>
      <c r="U70">
        <f t="shared" si="7"/>
        <v>9</v>
      </c>
      <c r="V70" t="s">
        <v>200</v>
      </c>
      <c r="W70" t="s">
        <v>207</v>
      </c>
      <c r="X70" s="13">
        <v>0.37309999999999999</v>
      </c>
    </row>
    <row r="71" spans="1:24" x14ac:dyDescent="0.25">
      <c r="A71" t="s">
        <v>325</v>
      </c>
      <c r="B71" t="s">
        <v>51</v>
      </c>
      <c r="C71" t="s">
        <v>326</v>
      </c>
      <c r="D71" t="s">
        <v>117</v>
      </c>
      <c r="E71" t="s">
        <v>72</v>
      </c>
      <c r="F71">
        <v>19</v>
      </c>
      <c r="G71" t="s">
        <v>216</v>
      </c>
      <c r="H71" t="s">
        <v>211</v>
      </c>
      <c r="I71" t="s">
        <v>205</v>
      </c>
      <c r="J71">
        <v>0</v>
      </c>
      <c r="K71">
        <v>0</v>
      </c>
      <c r="L71">
        <v>0</v>
      </c>
      <c r="M71" s="8">
        <v>2</v>
      </c>
      <c r="N71" t="s">
        <v>212</v>
      </c>
      <c r="O71" t="str">
        <f>IF(B71="SP",IF(C71="São Paulo","FRQ001","FRQ002"),VLOOKUP(B71,Premissas!$A$11:$B$28,2,FALSE))</f>
        <v>Sem franquia</v>
      </c>
      <c r="P71" t="str">
        <f t="shared" si="4"/>
        <v>Sem franquia</v>
      </c>
      <c r="Q71" s="10">
        <f>VLOOKUP(E71,Premissas!$A$32:$B$35,2,FALSE)</f>
        <v>1121</v>
      </c>
      <c r="R71" s="10">
        <f>Q71*(1-Premissas!$B$5)</f>
        <v>890.6345</v>
      </c>
      <c r="S71">
        <f t="shared" si="5"/>
        <v>5</v>
      </c>
      <c r="T71" t="str">
        <f t="shared" si="6"/>
        <v>5. Régua automatizada</v>
      </c>
      <c r="U71">
        <f t="shared" si="7"/>
        <v>16</v>
      </c>
      <c r="V71" t="s">
        <v>213</v>
      </c>
      <c r="W71" t="s">
        <v>207</v>
      </c>
      <c r="X71" s="13">
        <v>0.2016</v>
      </c>
    </row>
    <row r="72" spans="1:24" x14ac:dyDescent="0.25">
      <c r="A72" t="s">
        <v>327</v>
      </c>
      <c r="B72" t="s">
        <v>66</v>
      </c>
      <c r="C72" t="s">
        <v>215</v>
      </c>
      <c r="D72" t="s">
        <v>107</v>
      </c>
      <c r="E72" t="s">
        <v>75</v>
      </c>
      <c r="F72">
        <v>8</v>
      </c>
      <c r="G72" t="s">
        <v>196</v>
      </c>
      <c r="H72" t="s">
        <v>211</v>
      </c>
      <c r="I72" t="s">
        <v>205</v>
      </c>
      <c r="J72">
        <v>0</v>
      </c>
      <c r="K72">
        <v>0</v>
      </c>
      <c r="L72">
        <v>0</v>
      </c>
      <c r="M72" s="8">
        <v>1</v>
      </c>
      <c r="N72" t="s">
        <v>212</v>
      </c>
      <c r="O72" t="str">
        <f>IF(B72="SP",IF(C72="São Paulo","FRQ001","FRQ002"),VLOOKUP(B72,Premissas!$A$11:$B$28,2,FALSE))</f>
        <v>FRQ002</v>
      </c>
      <c r="P72" t="str">
        <f t="shared" si="4"/>
        <v>Própria</v>
      </c>
      <c r="Q72" s="10">
        <f>VLOOKUP(E72,Premissas!$A$32:$B$35,2,FALSE)</f>
        <v>938</v>
      </c>
      <c r="R72" s="10">
        <f>Q72*(1-Premissas!$B$5)</f>
        <v>745.24099999999999</v>
      </c>
      <c r="S72">
        <f t="shared" si="5"/>
        <v>5</v>
      </c>
      <c r="T72" t="str">
        <f t="shared" si="6"/>
        <v>5. Régua automatizada</v>
      </c>
      <c r="U72">
        <f t="shared" si="7"/>
        <v>26</v>
      </c>
      <c r="V72" t="s">
        <v>221</v>
      </c>
      <c r="W72" t="s">
        <v>207</v>
      </c>
      <c r="X72" s="13">
        <v>0.24440000000000001</v>
      </c>
    </row>
    <row r="73" spans="1:24" x14ac:dyDescent="0.25">
      <c r="A73" t="s">
        <v>328</v>
      </c>
      <c r="B73" t="s">
        <v>42</v>
      </c>
      <c r="C73" t="s">
        <v>329</v>
      </c>
      <c r="D73" t="s">
        <v>107</v>
      </c>
      <c r="E73" t="s">
        <v>75</v>
      </c>
      <c r="F73">
        <v>16</v>
      </c>
      <c r="G73" t="s">
        <v>216</v>
      </c>
      <c r="H73" t="s">
        <v>211</v>
      </c>
      <c r="I73" t="s">
        <v>205</v>
      </c>
      <c r="J73">
        <v>0</v>
      </c>
      <c r="K73">
        <v>0</v>
      </c>
      <c r="L73">
        <v>0</v>
      </c>
      <c r="M73" s="8">
        <v>2</v>
      </c>
      <c r="N73" t="s">
        <v>212</v>
      </c>
      <c r="O73" t="str">
        <f>IF(B73="SP",IF(C73="São Paulo","FRQ001","FRQ002"),VLOOKUP(B73,Premissas!$A$11:$B$28,2,FALSE))</f>
        <v>FRQ015</v>
      </c>
      <c r="P73" t="str">
        <f t="shared" si="4"/>
        <v>Própria</v>
      </c>
      <c r="Q73" s="10">
        <f>VLOOKUP(E73,Premissas!$A$32:$B$35,2,FALSE)</f>
        <v>938</v>
      </c>
      <c r="R73" s="10">
        <f>Q73*(1-Premissas!$B$5)</f>
        <v>745.24099999999999</v>
      </c>
      <c r="S73">
        <f t="shared" si="5"/>
        <v>5</v>
      </c>
      <c r="T73" t="str">
        <f t="shared" si="6"/>
        <v>5. Régua automatizada</v>
      </c>
      <c r="U73">
        <f t="shared" si="7"/>
        <v>8</v>
      </c>
      <c r="V73" t="s">
        <v>213</v>
      </c>
      <c r="W73" t="s">
        <v>207</v>
      </c>
      <c r="X73" s="13">
        <v>0.12759999999999999</v>
      </c>
    </row>
    <row r="74" spans="1:24" x14ac:dyDescent="0.25">
      <c r="A74" t="s">
        <v>330</v>
      </c>
      <c r="B74" t="s">
        <v>57</v>
      </c>
      <c r="C74" t="s">
        <v>318</v>
      </c>
      <c r="D74" t="s">
        <v>113</v>
      </c>
      <c r="E74" t="s">
        <v>72</v>
      </c>
      <c r="F74">
        <v>37</v>
      </c>
      <c r="G74" t="s">
        <v>196</v>
      </c>
      <c r="H74" t="s">
        <v>226</v>
      </c>
      <c r="I74" t="s">
        <v>205</v>
      </c>
      <c r="J74">
        <v>0</v>
      </c>
      <c r="K74">
        <v>1</v>
      </c>
      <c r="L74">
        <v>0</v>
      </c>
      <c r="M74" s="8">
        <v>3</v>
      </c>
      <c r="N74" t="s">
        <v>206</v>
      </c>
      <c r="O74" t="str">
        <f>IF(B74="SP",IF(C74="São Paulo","FRQ001","FRQ002"),VLOOKUP(B74,Premissas!$A$11:$B$28,2,FALSE))</f>
        <v>FRQ005</v>
      </c>
      <c r="P74" t="str">
        <f t="shared" si="4"/>
        <v>Própria</v>
      </c>
      <c r="Q74" s="10">
        <f>VLOOKUP(E74,Premissas!$A$32:$B$35,2,FALSE)</f>
        <v>1121</v>
      </c>
      <c r="R74" s="10">
        <f>Q74*(1-Premissas!$B$5)</f>
        <v>890.6345</v>
      </c>
      <c r="S74">
        <f t="shared" si="5"/>
        <v>3</v>
      </c>
      <c r="T74" t="str">
        <f t="shared" si="6"/>
        <v>3. Requalificar ou encerrar lead parado</v>
      </c>
      <c r="U74">
        <f t="shared" si="7"/>
        <v>4</v>
      </c>
      <c r="V74" t="s">
        <v>200</v>
      </c>
      <c r="W74" t="s">
        <v>207</v>
      </c>
      <c r="X74" s="13">
        <v>0.373</v>
      </c>
    </row>
    <row r="75" spans="1:24" x14ac:dyDescent="0.25">
      <c r="A75" t="s">
        <v>331</v>
      </c>
      <c r="B75" t="s">
        <v>59</v>
      </c>
      <c r="C75" t="s">
        <v>228</v>
      </c>
      <c r="D75" t="s">
        <v>107</v>
      </c>
      <c r="E75" t="s">
        <v>75</v>
      </c>
      <c r="F75">
        <v>4</v>
      </c>
      <c r="G75" t="s">
        <v>204</v>
      </c>
      <c r="H75" t="s">
        <v>211</v>
      </c>
      <c r="I75" t="s">
        <v>205</v>
      </c>
      <c r="J75">
        <v>0</v>
      </c>
      <c r="K75">
        <v>0</v>
      </c>
      <c r="L75">
        <v>0</v>
      </c>
      <c r="M75" s="8">
        <v>1</v>
      </c>
      <c r="N75" t="s">
        <v>212</v>
      </c>
      <c r="O75" t="str">
        <f>IF(B75="SP",IF(C75="São Paulo","FRQ001","FRQ002"),VLOOKUP(B75,Premissas!$A$11:$B$28,2,FALSE))</f>
        <v>FRQ003</v>
      </c>
      <c r="P75" t="str">
        <f t="shared" si="4"/>
        <v>Própria</v>
      </c>
      <c r="Q75" s="10">
        <f>VLOOKUP(E75,Premissas!$A$32:$B$35,2,FALSE)</f>
        <v>938</v>
      </c>
      <c r="R75" s="10">
        <f>Q75*(1-Premissas!$B$5)</f>
        <v>745.24099999999999</v>
      </c>
      <c r="S75">
        <f t="shared" si="5"/>
        <v>5</v>
      </c>
      <c r="T75" t="str">
        <f t="shared" si="6"/>
        <v>5. Régua automatizada</v>
      </c>
      <c r="U75">
        <f t="shared" si="7"/>
        <v>31</v>
      </c>
      <c r="V75" t="s">
        <v>221</v>
      </c>
      <c r="W75" t="s">
        <v>207</v>
      </c>
      <c r="X75" s="13">
        <v>0.17169999999999999</v>
      </c>
    </row>
    <row r="76" spans="1:24" x14ac:dyDescent="0.25">
      <c r="A76" t="s">
        <v>332</v>
      </c>
      <c r="B76" t="s">
        <v>55</v>
      </c>
      <c r="C76" t="s">
        <v>333</v>
      </c>
      <c r="D76" t="s">
        <v>120</v>
      </c>
      <c r="E76" t="s">
        <v>75</v>
      </c>
      <c r="F76">
        <v>15</v>
      </c>
      <c r="G76" t="s">
        <v>216</v>
      </c>
      <c r="H76" t="s">
        <v>197</v>
      </c>
      <c r="I76" t="s">
        <v>205</v>
      </c>
      <c r="J76">
        <v>0</v>
      </c>
      <c r="K76">
        <v>1</v>
      </c>
      <c r="L76">
        <v>0</v>
      </c>
      <c r="M76" s="8">
        <v>2</v>
      </c>
      <c r="N76" t="s">
        <v>212</v>
      </c>
      <c r="O76" t="str">
        <f>IF(B76="SP",IF(C76="São Paulo","FRQ001","FRQ002"),VLOOKUP(B76,Premissas!$A$11:$B$28,2,FALSE))</f>
        <v>FRQ011</v>
      </c>
      <c r="P76" t="str">
        <f t="shared" si="4"/>
        <v>Própria</v>
      </c>
      <c r="Q76" s="10">
        <f>VLOOKUP(E76,Premissas!$A$32:$B$35,2,FALSE)</f>
        <v>938</v>
      </c>
      <c r="R76" s="10">
        <f>Q76*(1-Premissas!$B$5)</f>
        <v>745.24099999999999</v>
      </c>
      <c r="S76">
        <f t="shared" si="5"/>
        <v>3</v>
      </c>
      <c r="T76" t="str">
        <f t="shared" si="6"/>
        <v>3. Requalificar ou encerrar lead parado</v>
      </c>
      <c r="U76">
        <f t="shared" si="7"/>
        <v>3</v>
      </c>
      <c r="V76" t="s">
        <v>213</v>
      </c>
      <c r="W76" t="s">
        <v>207</v>
      </c>
      <c r="X76" s="13">
        <v>0.19620000000000001</v>
      </c>
    </row>
    <row r="77" spans="1:24" x14ac:dyDescent="0.25">
      <c r="A77" t="s">
        <v>334</v>
      </c>
      <c r="B77" t="s">
        <v>49</v>
      </c>
      <c r="C77" t="s">
        <v>218</v>
      </c>
      <c r="D77" t="s">
        <v>107</v>
      </c>
      <c r="E77" t="s">
        <v>75</v>
      </c>
      <c r="F77">
        <v>18</v>
      </c>
      <c r="G77" t="s">
        <v>196</v>
      </c>
      <c r="H77" t="s">
        <v>197</v>
      </c>
      <c r="I77" t="s">
        <v>205</v>
      </c>
      <c r="J77">
        <v>0</v>
      </c>
      <c r="K77">
        <v>0</v>
      </c>
      <c r="L77">
        <v>0</v>
      </c>
      <c r="M77" s="8">
        <v>2</v>
      </c>
      <c r="N77" t="s">
        <v>212</v>
      </c>
      <c r="O77" t="str">
        <f>IF(B77="SP",IF(C77="São Paulo","FRQ001","FRQ002"),VLOOKUP(B77,Premissas!$A$11:$B$28,2,FALSE))</f>
        <v>FRQ004</v>
      </c>
      <c r="P77" t="str">
        <f t="shared" si="4"/>
        <v>Própria</v>
      </c>
      <c r="Q77" s="10">
        <f>VLOOKUP(E77,Premissas!$A$32:$B$35,2,FALSE)</f>
        <v>938</v>
      </c>
      <c r="R77" s="10">
        <f>Q77*(1-Premissas!$B$5)</f>
        <v>745.24099999999999</v>
      </c>
      <c r="S77">
        <f t="shared" si="5"/>
        <v>5</v>
      </c>
      <c r="T77" t="str">
        <f t="shared" si="6"/>
        <v>5. Régua automatizada</v>
      </c>
      <c r="U77">
        <f t="shared" si="7"/>
        <v>20</v>
      </c>
      <c r="V77" t="s">
        <v>213</v>
      </c>
      <c r="W77" t="s">
        <v>207</v>
      </c>
      <c r="X77" s="13">
        <v>0.1757</v>
      </c>
    </row>
    <row r="78" spans="1:24" x14ac:dyDescent="0.25">
      <c r="A78" t="s">
        <v>335</v>
      </c>
      <c r="B78" t="s">
        <v>52</v>
      </c>
      <c r="C78" t="s">
        <v>203</v>
      </c>
      <c r="D78" t="s">
        <v>117</v>
      </c>
      <c r="E78" t="s">
        <v>75</v>
      </c>
      <c r="F78">
        <v>4</v>
      </c>
      <c r="G78" t="s">
        <v>204</v>
      </c>
      <c r="H78" t="s">
        <v>197</v>
      </c>
      <c r="I78" t="s">
        <v>220</v>
      </c>
      <c r="J78">
        <v>1</v>
      </c>
      <c r="K78">
        <v>1</v>
      </c>
      <c r="L78">
        <v>0</v>
      </c>
      <c r="M78" s="8">
        <v>2</v>
      </c>
      <c r="N78" t="s">
        <v>212</v>
      </c>
      <c r="O78" t="str">
        <f>IF(B78="SP",IF(C78="São Paulo","FRQ001","FRQ002"),VLOOKUP(B78,Premissas!$A$11:$B$28,2,FALSE))</f>
        <v>Sem franquia</v>
      </c>
      <c r="P78" t="str">
        <f t="shared" si="4"/>
        <v>Sem franquia</v>
      </c>
      <c r="Q78" s="10">
        <f>VLOOKUP(E78,Premissas!$A$32:$B$35,2,FALSE)</f>
        <v>938</v>
      </c>
      <c r="R78" s="10">
        <f>Q78*(1-Premissas!$B$5)</f>
        <v>745.24099999999999</v>
      </c>
      <c r="S78">
        <f t="shared" si="5"/>
        <v>3</v>
      </c>
      <c r="T78" t="str">
        <f t="shared" si="6"/>
        <v>3. Requalificar ou encerrar lead parado</v>
      </c>
      <c r="U78">
        <f t="shared" si="7"/>
        <v>9</v>
      </c>
      <c r="V78" t="s">
        <v>221</v>
      </c>
      <c r="W78" t="s">
        <v>201</v>
      </c>
      <c r="X78" s="13">
        <v>0.1716</v>
      </c>
    </row>
    <row r="79" spans="1:24" x14ac:dyDescent="0.25">
      <c r="A79" t="s">
        <v>336</v>
      </c>
      <c r="B79" t="s">
        <v>66</v>
      </c>
      <c r="C79" t="s">
        <v>234</v>
      </c>
      <c r="D79" t="s">
        <v>107</v>
      </c>
      <c r="E79" t="s">
        <v>72</v>
      </c>
      <c r="F79">
        <v>16</v>
      </c>
      <c r="G79" t="s">
        <v>204</v>
      </c>
      <c r="H79" t="s">
        <v>226</v>
      </c>
      <c r="I79" t="s">
        <v>205</v>
      </c>
      <c r="J79">
        <v>0</v>
      </c>
      <c r="K79">
        <v>0</v>
      </c>
      <c r="L79">
        <v>0</v>
      </c>
      <c r="M79" s="8">
        <v>2</v>
      </c>
      <c r="N79" t="s">
        <v>212</v>
      </c>
      <c r="O79" t="str">
        <f>IF(B79="SP",IF(C79="São Paulo","FRQ001","FRQ002"),VLOOKUP(B79,Premissas!$A$11:$B$28,2,FALSE))</f>
        <v>FRQ002</v>
      </c>
      <c r="P79" t="str">
        <f t="shared" si="4"/>
        <v>Própria</v>
      </c>
      <c r="Q79" s="10">
        <f>VLOOKUP(E79,Premissas!$A$32:$B$35,2,FALSE)</f>
        <v>1121</v>
      </c>
      <c r="R79" s="10">
        <f>Q79*(1-Premissas!$B$5)</f>
        <v>890.6345</v>
      </c>
      <c r="S79">
        <f t="shared" si="5"/>
        <v>5</v>
      </c>
      <c r="T79" t="str">
        <f t="shared" si="6"/>
        <v>5. Régua automatizada</v>
      </c>
      <c r="U79">
        <f t="shared" si="7"/>
        <v>22</v>
      </c>
      <c r="V79" t="s">
        <v>213</v>
      </c>
      <c r="W79" t="s">
        <v>207</v>
      </c>
      <c r="X79" s="13">
        <v>0.33889999999999998</v>
      </c>
    </row>
    <row r="80" spans="1:24" x14ac:dyDescent="0.25">
      <c r="A80" t="s">
        <v>337</v>
      </c>
      <c r="B80" t="s">
        <v>59</v>
      </c>
      <c r="C80" t="s">
        <v>228</v>
      </c>
      <c r="D80" t="s">
        <v>107</v>
      </c>
      <c r="E80" t="s">
        <v>75</v>
      </c>
      <c r="F80">
        <v>12</v>
      </c>
      <c r="G80" t="s">
        <v>219</v>
      </c>
      <c r="H80" t="s">
        <v>226</v>
      </c>
      <c r="I80" t="s">
        <v>205</v>
      </c>
      <c r="J80">
        <v>0</v>
      </c>
      <c r="K80">
        <v>0</v>
      </c>
      <c r="L80">
        <v>0</v>
      </c>
      <c r="M80" s="8">
        <v>1</v>
      </c>
      <c r="N80" t="s">
        <v>212</v>
      </c>
      <c r="O80" t="str">
        <f>IF(B80="SP",IF(C80="São Paulo","FRQ001","FRQ002"),VLOOKUP(B80,Premissas!$A$11:$B$28,2,FALSE))</f>
        <v>FRQ003</v>
      </c>
      <c r="P80" t="str">
        <f t="shared" si="4"/>
        <v>Própria</v>
      </c>
      <c r="Q80" s="10">
        <f>VLOOKUP(E80,Premissas!$A$32:$B$35,2,FALSE)</f>
        <v>938</v>
      </c>
      <c r="R80" s="10">
        <f>Q80*(1-Premissas!$B$5)</f>
        <v>745.24099999999999</v>
      </c>
      <c r="S80">
        <f t="shared" si="5"/>
        <v>5</v>
      </c>
      <c r="T80" t="str">
        <f t="shared" si="6"/>
        <v>5. Régua automatizada</v>
      </c>
      <c r="U80">
        <f t="shared" si="7"/>
        <v>31</v>
      </c>
      <c r="V80" t="s">
        <v>221</v>
      </c>
      <c r="W80" t="s">
        <v>207</v>
      </c>
      <c r="X80" s="13">
        <v>0.10929999999999999</v>
      </c>
    </row>
    <row r="81" spans="1:24" x14ac:dyDescent="0.25">
      <c r="A81" t="s">
        <v>338</v>
      </c>
      <c r="B81" t="s">
        <v>61</v>
      </c>
      <c r="C81" t="s">
        <v>295</v>
      </c>
      <c r="D81" t="s">
        <v>124</v>
      </c>
      <c r="E81" t="s">
        <v>72</v>
      </c>
      <c r="F81">
        <v>28</v>
      </c>
      <c r="G81" t="s">
        <v>216</v>
      </c>
      <c r="H81" t="s">
        <v>247</v>
      </c>
      <c r="I81" t="s">
        <v>205</v>
      </c>
      <c r="J81">
        <v>0</v>
      </c>
      <c r="K81">
        <v>0</v>
      </c>
      <c r="L81">
        <v>0</v>
      </c>
      <c r="M81" s="8">
        <v>3</v>
      </c>
      <c r="N81" t="s">
        <v>206</v>
      </c>
      <c r="O81" t="str">
        <f>IF(B81="SP",IF(C81="São Paulo","FRQ001","FRQ002"),VLOOKUP(B81,Premissas!$A$11:$B$28,2,FALSE))</f>
        <v>Sem franquia</v>
      </c>
      <c r="P81" t="str">
        <f t="shared" si="4"/>
        <v>Sem franquia</v>
      </c>
      <c r="Q81" s="10">
        <f>VLOOKUP(E81,Premissas!$A$32:$B$35,2,FALSE)</f>
        <v>1121</v>
      </c>
      <c r="R81" s="10">
        <f>Q81*(1-Premissas!$B$5)</f>
        <v>890.6345</v>
      </c>
      <c r="S81">
        <f t="shared" si="5"/>
        <v>4</v>
      </c>
      <c r="T81" t="str">
        <f t="shared" si="6"/>
        <v>4. Nutrir (marketing/inbound)</v>
      </c>
      <c r="U81">
        <f t="shared" si="7"/>
        <v>12</v>
      </c>
      <c r="V81" t="s">
        <v>200</v>
      </c>
      <c r="W81" t="s">
        <v>207</v>
      </c>
      <c r="X81" s="13">
        <v>0.32490000000000002</v>
      </c>
    </row>
    <row r="82" spans="1:24" x14ac:dyDescent="0.25">
      <c r="A82" t="s">
        <v>339</v>
      </c>
      <c r="B82" t="s">
        <v>49</v>
      </c>
      <c r="C82" t="s">
        <v>266</v>
      </c>
      <c r="D82" t="s">
        <v>107</v>
      </c>
      <c r="E82" t="s">
        <v>72</v>
      </c>
      <c r="F82">
        <v>51</v>
      </c>
      <c r="G82" t="s">
        <v>216</v>
      </c>
      <c r="H82" t="s">
        <v>211</v>
      </c>
      <c r="I82" t="s">
        <v>205</v>
      </c>
      <c r="J82">
        <v>0</v>
      </c>
      <c r="K82">
        <v>0</v>
      </c>
      <c r="L82">
        <v>0</v>
      </c>
      <c r="M82" s="8">
        <v>3</v>
      </c>
      <c r="N82" t="s">
        <v>206</v>
      </c>
      <c r="O82" t="str">
        <f>IF(B82="SP",IF(C82="São Paulo","FRQ001","FRQ002"),VLOOKUP(B82,Premissas!$A$11:$B$28,2,FALSE))</f>
        <v>FRQ004</v>
      </c>
      <c r="P82" t="str">
        <f t="shared" si="4"/>
        <v>Própria</v>
      </c>
      <c r="Q82" s="10">
        <f>VLOOKUP(E82,Premissas!$A$32:$B$35,2,FALSE)</f>
        <v>1121</v>
      </c>
      <c r="R82" s="10">
        <f>Q82*(1-Premissas!$B$5)</f>
        <v>890.6345</v>
      </c>
      <c r="S82">
        <f t="shared" si="5"/>
        <v>4</v>
      </c>
      <c r="T82" t="str">
        <f t="shared" si="6"/>
        <v>4. Nutrir (marketing/inbound)</v>
      </c>
      <c r="U82">
        <f t="shared" si="7"/>
        <v>10</v>
      </c>
      <c r="V82" t="s">
        <v>200</v>
      </c>
      <c r="W82" t="s">
        <v>207</v>
      </c>
      <c r="X82" s="13">
        <v>0.46079999999999999</v>
      </c>
    </row>
    <row r="83" spans="1:24" x14ac:dyDescent="0.25">
      <c r="A83" t="s">
        <v>340</v>
      </c>
      <c r="B83" t="s">
        <v>59</v>
      </c>
      <c r="C83" t="s">
        <v>261</v>
      </c>
      <c r="D83" t="s">
        <v>107</v>
      </c>
      <c r="E83" t="s">
        <v>72</v>
      </c>
      <c r="F83">
        <v>78</v>
      </c>
      <c r="G83" t="s">
        <v>237</v>
      </c>
      <c r="H83" t="s">
        <v>211</v>
      </c>
      <c r="I83" t="s">
        <v>205</v>
      </c>
      <c r="J83">
        <v>0</v>
      </c>
      <c r="K83">
        <v>0</v>
      </c>
      <c r="L83">
        <v>0</v>
      </c>
      <c r="M83" s="8">
        <v>3</v>
      </c>
      <c r="N83" t="s">
        <v>206</v>
      </c>
      <c r="O83" t="str">
        <f>IF(B83="SP",IF(C83="São Paulo","FRQ001","FRQ002"),VLOOKUP(B83,Premissas!$A$11:$B$28,2,FALSE))</f>
        <v>FRQ003</v>
      </c>
      <c r="P83" t="str">
        <f t="shared" si="4"/>
        <v>Própria</v>
      </c>
      <c r="Q83" s="10">
        <f>VLOOKUP(E83,Premissas!$A$32:$B$35,2,FALSE)</f>
        <v>1121</v>
      </c>
      <c r="R83" s="10">
        <f>Q83*(1-Premissas!$B$5)</f>
        <v>890.6345</v>
      </c>
      <c r="S83">
        <f t="shared" si="5"/>
        <v>4</v>
      </c>
      <c r="T83" t="str">
        <f t="shared" si="6"/>
        <v>4. Nutrir (marketing/inbound)</v>
      </c>
      <c r="U83">
        <f t="shared" si="7"/>
        <v>14</v>
      </c>
      <c r="V83" t="s">
        <v>200</v>
      </c>
      <c r="W83" t="s">
        <v>207</v>
      </c>
      <c r="X83" s="13">
        <v>0.45300000000000001</v>
      </c>
    </row>
    <row r="84" spans="1:24" x14ac:dyDescent="0.25">
      <c r="A84" t="s">
        <v>341</v>
      </c>
      <c r="B84" t="s">
        <v>59</v>
      </c>
      <c r="C84" t="s">
        <v>228</v>
      </c>
      <c r="D84" t="s">
        <v>107</v>
      </c>
      <c r="E84" t="s">
        <v>75</v>
      </c>
      <c r="F84">
        <v>7</v>
      </c>
      <c r="G84" t="s">
        <v>196</v>
      </c>
      <c r="H84" t="s">
        <v>197</v>
      </c>
      <c r="I84" t="s">
        <v>205</v>
      </c>
      <c r="J84">
        <v>0</v>
      </c>
      <c r="K84">
        <v>1</v>
      </c>
      <c r="L84">
        <v>0</v>
      </c>
      <c r="M84" s="8">
        <v>1</v>
      </c>
      <c r="N84" t="s">
        <v>212</v>
      </c>
      <c r="O84" t="str">
        <f>IF(B84="SP",IF(C84="São Paulo","FRQ001","FRQ002"),VLOOKUP(B84,Premissas!$A$11:$B$28,2,FALSE))</f>
        <v>FRQ003</v>
      </c>
      <c r="P84" t="str">
        <f t="shared" si="4"/>
        <v>Própria</v>
      </c>
      <c r="Q84" s="10">
        <f>VLOOKUP(E84,Premissas!$A$32:$B$35,2,FALSE)</f>
        <v>938</v>
      </c>
      <c r="R84" s="10">
        <f>Q84*(1-Premissas!$B$5)</f>
        <v>745.24099999999999</v>
      </c>
      <c r="S84">
        <f t="shared" si="5"/>
        <v>3</v>
      </c>
      <c r="T84" t="str">
        <f t="shared" si="6"/>
        <v>3. Requalificar ou encerrar lead parado</v>
      </c>
      <c r="U84">
        <f t="shared" si="7"/>
        <v>11</v>
      </c>
      <c r="V84" t="s">
        <v>221</v>
      </c>
      <c r="W84" t="s">
        <v>207</v>
      </c>
      <c r="X84" s="13">
        <v>0.1759</v>
      </c>
    </row>
    <row r="85" spans="1:24" x14ac:dyDescent="0.25">
      <c r="A85" t="s">
        <v>342</v>
      </c>
      <c r="B85" t="s">
        <v>64</v>
      </c>
      <c r="C85" t="s">
        <v>230</v>
      </c>
      <c r="D85" t="s">
        <v>113</v>
      </c>
      <c r="E85" t="s">
        <v>72</v>
      </c>
      <c r="F85">
        <v>79</v>
      </c>
      <c r="G85" t="s">
        <v>243</v>
      </c>
      <c r="H85" t="s">
        <v>197</v>
      </c>
      <c r="I85" t="s">
        <v>198</v>
      </c>
      <c r="J85">
        <v>2</v>
      </c>
      <c r="K85">
        <v>0</v>
      </c>
      <c r="L85">
        <v>0</v>
      </c>
      <c r="M85" s="8">
        <v>4</v>
      </c>
      <c r="N85" t="s">
        <v>199</v>
      </c>
      <c r="O85" t="str">
        <f>IF(B85="SP",IF(C85="São Paulo","FRQ001","FRQ002"),VLOOKUP(B85,Premissas!$A$11:$B$28,2,FALSE))</f>
        <v>FRQ006</v>
      </c>
      <c r="P85" t="str">
        <f t="shared" si="4"/>
        <v>Própria</v>
      </c>
      <c r="Q85" s="10">
        <f>VLOOKUP(E85,Premissas!$A$32:$B$35,2,FALSE)</f>
        <v>1121</v>
      </c>
      <c r="R85" s="10">
        <f>Q85*(1-Premissas!$B$5)</f>
        <v>890.6345</v>
      </c>
      <c r="S85">
        <f t="shared" si="5"/>
        <v>2</v>
      </c>
      <c r="T85" t="str">
        <f t="shared" si="6"/>
        <v>2. Prospectar tier Alta</v>
      </c>
      <c r="U85">
        <f t="shared" si="7"/>
        <v>2</v>
      </c>
      <c r="V85" t="s">
        <v>200</v>
      </c>
      <c r="W85" t="s">
        <v>201</v>
      </c>
      <c r="X85" s="13">
        <v>0.45700000000000002</v>
      </c>
    </row>
    <row r="86" spans="1:24" x14ac:dyDescent="0.25">
      <c r="A86" t="s">
        <v>343</v>
      </c>
      <c r="B86" t="s">
        <v>36</v>
      </c>
      <c r="C86" t="s">
        <v>322</v>
      </c>
      <c r="D86" t="s">
        <v>120</v>
      </c>
      <c r="E86" t="s">
        <v>75</v>
      </c>
      <c r="F86">
        <v>17</v>
      </c>
      <c r="G86" t="s">
        <v>216</v>
      </c>
      <c r="H86" t="s">
        <v>197</v>
      </c>
      <c r="I86" t="s">
        <v>198</v>
      </c>
      <c r="J86">
        <v>2</v>
      </c>
      <c r="K86">
        <v>1</v>
      </c>
      <c r="L86">
        <v>0</v>
      </c>
      <c r="M86" s="8">
        <v>3</v>
      </c>
      <c r="N86" t="s">
        <v>206</v>
      </c>
      <c r="O86" t="str">
        <f>IF(B86="SP",IF(C86="São Paulo","FRQ001","FRQ002"),VLOOKUP(B86,Premissas!$A$11:$B$28,2,FALSE))</f>
        <v>FRQ010</v>
      </c>
      <c r="P86" t="str">
        <f t="shared" si="4"/>
        <v>Própria</v>
      </c>
      <c r="Q86" s="10">
        <f>VLOOKUP(E86,Premissas!$A$32:$B$35,2,FALSE)</f>
        <v>938</v>
      </c>
      <c r="R86" s="10">
        <f>Q86*(1-Premissas!$B$5)</f>
        <v>745.24099999999999</v>
      </c>
      <c r="S86">
        <f t="shared" si="5"/>
        <v>3</v>
      </c>
      <c r="T86" t="str">
        <f t="shared" si="6"/>
        <v>3. Requalificar ou encerrar lead parado</v>
      </c>
      <c r="U86">
        <f t="shared" si="7"/>
        <v>4</v>
      </c>
      <c r="V86" t="s">
        <v>213</v>
      </c>
      <c r="W86" t="s">
        <v>201</v>
      </c>
      <c r="X86" s="13">
        <v>0.12759999999999999</v>
      </c>
    </row>
    <row r="87" spans="1:24" x14ac:dyDescent="0.25">
      <c r="A87" t="s">
        <v>344</v>
      </c>
      <c r="B87" t="s">
        <v>66</v>
      </c>
      <c r="C87" t="s">
        <v>271</v>
      </c>
      <c r="D87" t="s">
        <v>107</v>
      </c>
      <c r="E87" t="s">
        <v>72</v>
      </c>
      <c r="F87">
        <v>47</v>
      </c>
      <c r="G87" t="s">
        <v>204</v>
      </c>
      <c r="H87" t="s">
        <v>211</v>
      </c>
      <c r="I87" t="s">
        <v>205</v>
      </c>
      <c r="J87">
        <v>0</v>
      </c>
      <c r="K87">
        <v>0</v>
      </c>
      <c r="L87">
        <v>0</v>
      </c>
      <c r="M87" s="8">
        <v>3</v>
      </c>
      <c r="N87" t="s">
        <v>206</v>
      </c>
      <c r="O87" t="str">
        <f>IF(B87="SP",IF(C87="São Paulo","FRQ001","FRQ002"),VLOOKUP(B87,Premissas!$A$11:$B$28,2,FALSE))</f>
        <v>FRQ002</v>
      </c>
      <c r="P87" t="str">
        <f t="shared" si="4"/>
        <v>Própria</v>
      </c>
      <c r="Q87" s="10">
        <f>VLOOKUP(E87,Premissas!$A$32:$B$35,2,FALSE)</f>
        <v>1121</v>
      </c>
      <c r="R87" s="10">
        <f>Q87*(1-Premissas!$B$5)</f>
        <v>890.6345</v>
      </c>
      <c r="S87">
        <f t="shared" si="5"/>
        <v>4</v>
      </c>
      <c r="T87" t="str">
        <f t="shared" si="6"/>
        <v>4. Nutrir (marketing/inbound)</v>
      </c>
      <c r="U87">
        <f t="shared" si="7"/>
        <v>9</v>
      </c>
      <c r="V87" t="s">
        <v>200</v>
      </c>
      <c r="W87" t="s">
        <v>207</v>
      </c>
      <c r="X87" s="13">
        <v>0.36899999999999999</v>
      </c>
    </row>
    <row r="88" spans="1:24" x14ac:dyDescent="0.25">
      <c r="A88" t="s">
        <v>345</v>
      </c>
      <c r="B88" t="s">
        <v>59</v>
      </c>
      <c r="C88" t="s">
        <v>195</v>
      </c>
      <c r="D88" t="s">
        <v>107</v>
      </c>
      <c r="E88" t="s">
        <v>75</v>
      </c>
      <c r="F88">
        <v>25</v>
      </c>
      <c r="G88" t="s">
        <v>216</v>
      </c>
      <c r="H88" t="s">
        <v>197</v>
      </c>
      <c r="I88" t="s">
        <v>220</v>
      </c>
      <c r="J88">
        <v>1</v>
      </c>
      <c r="K88">
        <v>0</v>
      </c>
      <c r="L88">
        <v>0</v>
      </c>
      <c r="M88" s="8">
        <v>4</v>
      </c>
      <c r="N88" t="s">
        <v>199</v>
      </c>
      <c r="O88" t="str">
        <f>IF(B88="SP",IF(C88="São Paulo","FRQ001","FRQ002"),VLOOKUP(B88,Premissas!$A$11:$B$28,2,FALSE))</f>
        <v>FRQ003</v>
      </c>
      <c r="P88" t="str">
        <f t="shared" si="4"/>
        <v>Própria</v>
      </c>
      <c r="Q88" s="10">
        <f>VLOOKUP(E88,Premissas!$A$32:$B$35,2,FALSE)</f>
        <v>938</v>
      </c>
      <c r="R88" s="10">
        <f>Q88*(1-Premissas!$B$5)</f>
        <v>745.24099999999999</v>
      </c>
      <c r="S88">
        <f t="shared" si="5"/>
        <v>2</v>
      </c>
      <c r="T88" t="str">
        <f t="shared" si="6"/>
        <v>2. Prospectar tier Alta</v>
      </c>
      <c r="U88">
        <f t="shared" si="7"/>
        <v>8</v>
      </c>
      <c r="V88" t="s">
        <v>200</v>
      </c>
      <c r="W88" t="s">
        <v>201</v>
      </c>
      <c r="X88" s="13">
        <v>0.1575</v>
      </c>
    </row>
    <row r="89" spans="1:24" x14ac:dyDescent="0.25">
      <c r="A89" t="s">
        <v>346</v>
      </c>
      <c r="B89" t="s">
        <v>66</v>
      </c>
      <c r="C89" t="s">
        <v>223</v>
      </c>
      <c r="D89" t="s">
        <v>107</v>
      </c>
      <c r="E89" t="s">
        <v>72</v>
      </c>
      <c r="F89">
        <v>58</v>
      </c>
      <c r="G89" t="s">
        <v>237</v>
      </c>
      <c r="H89" t="s">
        <v>197</v>
      </c>
      <c r="I89" t="s">
        <v>205</v>
      </c>
      <c r="J89">
        <v>0</v>
      </c>
      <c r="K89">
        <v>1</v>
      </c>
      <c r="L89">
        <v>1</v>
      </c>
      <c r="M89" s="8">
        <v>3</v>
      </c>
      <c r="N89" t="s">
        <v>206</v>
      </c>
      <c r="O89" t="str">
        <f>IF(B89="SP",IF(C89="São Paulo","FRQ001","FRQ002"),VLOOKUP(B89,Premissas!$A$11:$B$28,2,FALSE))</f>
        <v>FRQ001</v>
      </c>
      <c r="P89" t="str">
        <f t="shared" si="4"/>
        <v>Própria</v>
      </c>
      <c r="Q89" s="10">
        <f>VLOOKUP(E89,Premissas!$A$32:$B$35,2,FALSE)</f>
        <v>1121</v>
      </c>
      <c r="R89" s="10">
        <f>Q89*(1-Premissas!$B$5)</f>
        <v>890.6345</v>
      </c>
      <c r="S89">
        <f t="shared" si="5"/>
        <v>3</v>
      </c>
      <c r="T89" t="str">
        <f t="shared" si="6"/>
        <v>3. Requalificar ou encerrar lead parado</v>
      </c>
      <c r="U89">
        <f t="shared" si="7"/>
        <v>1</v>
      </c>
      <c r="V89" t="s">
        <v>200</v>
      </c>
      <c r="W89" t="s">
        <v>207</v>
      </c>
      <c r="X89" s="13">
        <v>0.47770000000000001</v>
      </c>
    </row>
    <row r="90" spans="1:24" x14ac:dyDescent="0.25">
      <c r="A90" t="s">
        <v>347</v>
      </c>
      <c r="B90" t="s">
        <v>38</v>
      </c>
      <c r="C90" t="s">
        <v>286</v>
      </c>
      <c r="D90" t="s">
        <v>120</v>
      </c>
      <c r="E90" t="s">
        <v>72</v>
      </c>
      <c r="F90">
        <v>52</v>
      </c>
      <c r="G90" t="s">
        <v>237</v>
      </c>
      <c r="H90" t="s">
        <v>197</v>
      </c>
      <c r="I90" t="s">
        <v>205</v>
      </c>
      <c r="J90">
        <v>0</v>
      </c>
      <c r="K90">
        <v>1</v>
      </c>
      <c r="L90">
        <v>1</v>
      </c>
      <c r="M90" s="8">
        <v>3</v>
      </c>
      <c r="N90" t="s">
        <v>206</v>
      </c>
      <c r="O90" t="str">
        <f>IF(B90="SP",IF(C90="São Paulo","FRQ001","FRQ002"),VLOOKUP(B90,Premissas!$A$11:$B$28,2,FALSE))</f>
        <v>FRQ012</v>
      </c>
      <c r="P90" t="str">
        <f t="shared" si="4"/>
        <v>Própria</v>
      </c>
      <c r="Q90" s="10">
        <f>VLOOKUP(E90,Premissas!$A$32:$B$35,2,FALSE)</f>
        <v>1121</v>
      </c>
      <c r="R90" s="10">
        <f>Q90*(1-Premissas!$B$5)</f>
        <v>890.6345</v>
      </c>
      <c r="S90">
        <f t="shared" si="5"/>
        <v>3</v>
      </c>
      <c r="T90" t="str">
        <f t="shared" si="6"/>
        <v>3. Requalificar ou encerrar lead parado</v>
      </c>
      <c r="U90">
        <f t="shared" si="7"/>
        <v>1</v>
      </c>
      <c r="V90" t="s">
        <v>200</v>
      </c>
      <c r="W90" t="s">
        <v>207</v>
      </c>
      <c r="X90" s="13">
        <v>0.47770000000000001</v>
      </c>
    </row>
    <row r="91" spans="1:24" x14ac:dyDescent="0.25">
      <c r="A91" t="s">
        <v>348</v>
      </c>
      <c r="B91" t="s">
        <v>64</v>
      </c>
      <c r="C91" t="s">
        <v>349</v>
      </c>
      <c r="D91" t="s">
        <v>113</v>
      </c>
      <c r="E91" t="s">
        <v>75</v>
      </c>
      <c r="F91">
        <v>21</v>
      </c>
      <c r="G91" t="s">
        <v>204</v>
      </c>
      <c r="H91" t="s">
        <v>211</v>
      </c>
      <c r="I91" t="s">
        <v>205</v>
      </c>
      <c r="J91">
        <v>0</v>
      </c>
      <c r="K91">
        <v>0</v>
      </c>
      <c r="L91">
        <v>0</v>
      </c>
      <c r="M91" s="8">
        <v>2</v>
      </c>
      <c r="N91" t="s">
        <v>212</v>
      </c>
      <c r="O91" t="str">
        <f>IF(B91="SP",IF(C91="São Paulo","FRQ001","FRQ002"),VLOOKUP(B91,Premissas!$A$11:$B$28,2,FALSE))</f>
        <v>FRQ006</v>
      </c>
      <c r="P91" t="str">
        <f t="shared" si="4"/>
        <v>Própria</v>
      </c>
      <c r="Q91" s="10">
        <f>VLOOKUP(E91,Premissas!$A$32:$B$35,2,FALSE)</f>
        <v>938</v>
      </c>
      <c r="R91" s="10">
        <f>Q91*(1-Premissas!$B$5)</f>
        <v>745.24099999999999</v>
      </c>
      <c r="S91">
        <f t="shared" si="5"/>
        <v>5</v>
      </c>
      <c r="T91" t="str">
        <f t="shared" si="6"/>
        <v>5. Régua automatizada</v>
      </c>
      <c r="U91">
        <f t="shared" si="7"/>
        <v>6</v>
      </c>
      <c r="V91" t="s">
        <v>213</v>
      </c>
      <c r="W91" t="s">
        <v>207</v>
      </c>
      <c r="X91" s="13">
        <v>0.2702</v>
      </c>
    </row>
    <row r="92" spans="1:24" x14ac:dyDescent="0.25">
      <c r="A92" t="s">
        <v>350</v>
      </c>
      <c r="B92" t="s">
        <v>40</v>
      </c>
      <c r="C92" t="s">
        <v>351</v>
      </c>
      <c r="D92" t="s">
        <v>117</v>
      </c>
      <c r="E92" t="s">
        <v>75</v>
      </c>
      <c r="F92">
        <v>9</v>
      </c>
      <c r="G92" t="s">
        <v>219</v>
      </c>
      <c r="H92" t="s">
        <v>211</v>
      </c>
      <c r="I92" t="s">
        <v>205</v>
      </c>
      <c r="J92">
        <v>0</v>
      </c>
      <c r="K92">
        <v>0</v>
      </c>
      <c r="L92">
        <v>0</v>
      </c>
      <c r="M92" s="8">
        <v>1</v>
      </c>
      <c r="N92" t="s">
        <v>212</v>
      </c>
      <c r="O92" t="str">
        <f>IF(B92="SP",IF(C92="São Paulo","FRQ001","FRQ002"),VLOOKUP(B92,Premissas!$A$11:$B$28,2,FALSE))</f>
        <v>FRQ008</v>
      </c>
      <c r="P92" t="str">
        <f t="shared" si="4"/>
        <v>Própria</v>
      </c>
      <c r="Q92" s="10">
        <f>VLOOKUP(E92,Premissas!$A$32:$B$35,2,FALSE)</f>
        <v>938</v>
      </c>
      <c r="R92" s="10">
        <f>Q92*(1-Premissas!$B$5)</f>
        <v>745.24099999999999</v>
      </c>
      <c r="S92">
        <f t="shared" si="5"/>
        <v>5</v>
      </c>
      <c r="T92" t="str">
        <f t="shared" si="6"/>
        <v>5. Régua automatizada</v>
      </c>
      <c r="U92">
        <f t="shared" si="7"/>
        <v>6</v>
      </c>
      <c r="V92" t="s">
        <v>221</v>
      </c>
      <c r="W92" t="s">
        <v>207</v>
      </c>
      <c r="X92" s="13">
        <v>0.10929999999999999</v>
      </c>
    </row>
    <row r="93" spans="1:24" x14ac:dyDescent="0.25">
      <c r="A93" t="s">
        <v>352</v>
      </c>
      <c r="B93" t="s">
        <v>40</v>
      </c>
      <c r="C93" t="s">
        <v>351</v>
      </c>
      <c r="D93" t="s">
        <v>117</v>
      </c>
      <c r="E93" t="s">
        <v>74</v>
      </c>
      <c r="F93">
        <v>104</v>
      </c>
      <c r="G93" t="s">
        <v>204</v>
      </c>
      <c r="H93" t="s">
        <v>211</v>
      </c>
      <c r="I93" t="s">
        <v>205</v>
      </c>
      <c r="J93">
        <v>0</v>
      </c>
      <c r="K93">
        <v>0</v>
      </c>
      <c r="L93">
        <v>1</v>
      </c>
      <c r="M93" s="8">
        <v>3</v>
      </c>
      <c r="N93" t="s">
        <v>206</v>
      </c>
      <c r="O93" t="str">
        <f>IF(B93="SP",IF(C93="São Paulo","FRQ001","FRQ002"),VLOOKUP(B93,Premissas!$A$11:$B$28,2,FALSE))</f>
        <v>FRQ008</v>
      </c>
      <c r="P93" t="str">
        <f t="shared" si="4"/>
        <v>Própria</v>
      </c>
      <c r="Q93" s="10">
        <f>VLOOKUP(E93,Premissas!$A$32:$B$35,2,FALSE)</f>
        <v>1052</v>
      </c>
      <c r="R93" s="10">
        <f>Q93*(1-Premissas!$B$5)</f>
        <v>835.81399999999996</v>
      </c>
      <c r="S93">
        <f t="shared" si="5"/>
        <v>4</v>
      </c>
      <c r="T93" t="str">
        <f t="shared" si="6"/>
        <v>4. Nutrir (marketing/inbound)</v>
      </c>
      <c r="U93">
        <f t="shared" si="7"/>
        <v>5</v>
      </c>
      <c r="V93" t="s">
        <v>200</v>
      </c>
      <c r="W93" t="s">
        <v>207</v>
      </c>
      <c r="X93" s="13">
        <v>0.62050000000000005</v>
      </c>
    </row>
    <row r="94" spans="1:24" x14ac:dyDescent="0.25">
      <c r="A94" t="s">
        <v>353</v>
      </c>
      <c r="B94" t="s">
        <v>66</v>
      </c>
      <c r="C94" t="s">
        <v>223</v>
      </c>
      <c r="D94" t="s">
        <v>107</v>
      </c>
      <c r="E94" t="s">
        <v>75</v>
      </c>
      <c r="F94">
        <v>16</v>
      </c>
      <c r="G94" t="s">
        <v>216</v>
      </c>
      <c r="H94" t="s">
        <v>211</v>
      </c>
      <c r="I94" t="s">
        <v>205</v>
      </c>
      <c r="J94">
        <v>0</v>
      </c>
      <c r="K94">
        <v>0</v>
      </c>
      <c r="L94">
        <v>0</v>
      </c>
      <c r="M94" s="8">
        <v>2</v>
      </c>
      <c r="N94" t="s">
        <v>212</v>
      </c>
      <c r="O94" t="str">
        <f>IF(B94="SP",IF(C94="São Paulo","FRQ001","FRQ002"),VLOOKUP(B94,Premissas!$A$11:$B$28,2,FALSE))</f>
        <v>FRQ001</v>
      </c>
      <c r="P94" t="str">
        <f t="shared" si="4"/>
        <v>Própria</v>
      </c>
      <c r="Q94" s="10">
        <f>VLOOKUP(E94,Premissas!$A$32:$B$35,2,FALSE)</f>
        <v>938</v>
      </c>
      <c r="R94" s="10">
        <f>Q94*(1-Premissas!$B$5)</f>
        <v>745.24099999999999</v>
      </c>
      <c r="S94">
        <f t="shared" si="5"/>
        <v>5</v>
      </c>
      <c r="T94" t="str">
        <f t="shared" si="6"/>
        <v>5. Régua automatizada</v>
      </c>
      <c r="U94">
        <f t="shared" si="7"/>
        <v>3</v>
      </c>
      <c r="V94" t="s">
        <v>213</v>
      </c>
      <c r="W94" t="s">
        <v>207</v>
      </c>
      <c r="X94" s="13">
        <v>0.1275</v>
      </c>
    </row>
    <row r="95" spans="1:24" x14ac:dyDescent="0.25">
      <c r="A95" t="s">
        <v>354</v>
      </c>
      <c r="B95" t="s">
        <v>49</v>
      </c>
      <c r="C95" t="s">
        <v>239</v>
      </c>
      <c r="D95" t="s">
        <v>107</v>
      </c>
      <c r="E95" t="s">
        <v>75</v>
      </c>
      <c r="F95">
        <v>13</v>
      </c>
      <c r="G95" t="s">
        <v>216</v>
      </c>
      <c r="H95" t="s">
        <v>197</v>
      </c>
      <c r="I95" t="s">
        <v>205</v>
      </c>
      <c r="J95">
        <v>0</v>
      </c>
      <c r="K95">
        <v>1</v>
      </c>
      <c r="L95">
        <v>0</v>
      </c>
      <c r="M95" s="8">
        <v>1</v>
      </c>
      <c r="N95" t="s">
        <v>212</v>
      </c>
      <c r="O95" t="str">
        <f>IF(B95="SP",IF(C95="São Paulo","FRQ001","FRQ002"),VLOOKUP(B95,Premissas!$A$11:$B$28,2,FALSE))</f>
        <v>FRQ004</v>
      </c>
      <c r="P95" t="str">
        <f t="shared" si="4"/>
        <v>Própria</v>
      </c>
      <c r="Q95" s="10">
        <f>VLOOKUP(E95,Premissas!$A$32:$B$35,2,FALSE)</f>
        <v>938</v>
      </c>
      <c r="R95" s="10">
        <f>Q95*(1-Premissas!$B$5)</f>
        <v>745.24099999999999</v>
      </c>
      <c r="S95">
        <f t="shared" si="5"/>
        <v>3</v>
      </c>
      <c r="T95" t="str">
        <f t="shared" si="6"/>
        <v>3. Requalificar ou encerrar lead parado</v>
      </c>
      <c r="U95">
        <f t="shared" si="7"/>
        <v>7</v>
      </c>
      <c r="V95" t="s">
        <v>221</v>
      </c>
      <c r="W95" t="s">
        <v>207</v>
      </c>
      <c r="X95" s="13">
        <v>0.1275</v>
      </c>
    </row>
    <row r="96" spans="1:24" x14ac:dyDescent="0.25">
      <c r="A96" t="s">
        <v>355</v>
      </c>
      <c r="B96" t="s">
        <v>42</v>
      </c>
      <c r="C96" t="s">
        <v>329</v>
      </c>
      <c r="D96" t="s">
        <v>107</v>
      </c>
      <c r="E96" t="s">
        <v>75</v>
      </c>
      <c r="F96">
        <v>5</v>
      </c>
      <c r="G96" t="s">
        <v>219</v>
      </c>
      <c r="H96" t="s">
        <v>197</v>
      </c>
      <c r="I96" t="s">
        <v>205</v>
      </c>
      <c r="J96">
        <v>0</v>
      </c>
      <c r="K96">
        <v>1</v>
      </c>
      <c r="L96">
        <v>0</v>
      </c>
      <c r="M96" s="8">
        <v>1</v>
      </c>
      <c r="N96" t="s">
        <v>212</v>
      </c>
      <c r="O96" t="str">
        <f>IF(B96="SP",IF(C96="São Paulo","FRQ001","FRQ002"),VLOOKUP(B96,Premissas!$A$11:$B$28,2,FALSE))</f>
        <v>FRQ015</v>
      </c>
      <c r="P96" t="str">
        <f t="shared" si="4"/>
        <v>Própria</v>
      </c>
      <c r="Q96" s="10">
        <f>VLOOKUP(E96,Premissas!$A$32:$B$35,2,FALSE)</f>
        <v>938</v>
      </c>
      <c r="R96" s="10">
        <f>Q96*(1-Premissas!$B$5)</f>
        <v>745.24099999999999</v>
      </c>
      <c r="S96">
        <f t="shared" si="5"/>
        <v>3</v>
      </c>
      <c r="T96" t="str">
        <f t="shared" si="6"/>
        <v>3. Requalificar ou encerrar lead parado</v>
      </c>
      <c r="U96">
        <f t="shared" si="7"/>
        <v>3</v>
      </c>
      <c r="V96" t="s">
        <v>221</v>
      </c>
      <c r="W96" t="s">
        <v>207</v>
      </c>
      <c r="X96" s="13">
        <v>0.1779</v>
      </c>
    </row>
    <row r="97" spans="1:24" x14ac:dyDescent="0.25">
      <c r="A97" t="s">
        <v>356</v>
      </c>
      <c r="B97" t="s">
        <v>52</v>
      </c>
      <c r="C97" t="s">
        <v>246</v>
      </c>
      <c r="D97" t="s">
        <v>117</v>
      </c>
      <c r="E97" t="s">
        <v>72</v>
      </c>
      <c r="F97">
        <v>66</v>
      </c>
      <c r="G97" t="s">
        <v>196</v>
      </c>
      <c r="H97" t="s">
        <v>197</v>
      </c>
      <c r="I97" t="s">
        <v>220</v>
      </c>
      <c r="J97">
        <v>1</v>
      </c>
      <c r="K97">
        <v>0</v>
      </c>
      <c r="L97">
        <v>0</v>
      </c>
      <c r="M97" s="8">
        <v>4</v>
      </c>
      <c r="N97" t="s">
        <v>199</v>
      </c>
      <c r="O97" t="str">
        <f>IF(B97="SP",IF(C97="São Paulo","FRQ001","FRQ002"),VLOOKUP(B97,Premissas!$A$11:$B$28,2,FALSE))</f>
        <v>Sem franquia</v>
      </c>
      <c r="P97" t="str">
        <f t="shared" si="4"/>
        <v>Sem franquia</v>
      </c>
      <c r="Q97" s="10">
        <f>VLOOKUP(E97,Premissas!$A$32:$B$35,2,FALSE)</f>
        <v>1121</v>
      </c>
      <c r="R97" s="10">
        <f>Q97*(1-Premissas!$B$5)</f>
        <v>890.6345</v>
      </c>
      <c r="S97">
        <f t="shared" si="5"/>
        <v>2</v>
      </c>
      <c r="T97" t="str">
        <f t="shared" si="6"/>
        <v>2. Prospectar tier Alta</v>
      </c>
      <c r="U97">
        <f t="shared" si="7"/>
        <v>2</v>
      </c>
      <c r="V97" t="s">
        <v>200</v>
      </c>
      <c r="W97" t="s">
        <v>201</v>
      </c>
      <c r="X97" s="13">
        <v>0.40600000000000003</v>
      </c>
    </row>
    <row r="98" spans="1:24" x14ac:dyDescent="0.25">
      <c r="A98" t="s">
        <v>357</v>
      </c>
      <c r="B98" t="s">
        <v>53</v>
      </c>
      <c r="C98" t="s">
        <v>358</v>
      </c>
      <c r="D98" t="s">
        <v>124</v>
      </c>
      <c r="E98" t="s">
        <v>75</v>
      </c>
      <c r="F98">
        <v>6</v>
      </c>
      <c r="G98" t="s">
        <v>219</v>
      </c>
      <c r="H98" t="s">
        <v>211</v>
      </c>
      <c r="I98" t="s">
        <v>205</v>
      </c>
      <c r="J98">
        <v>0</v>
      </c>
      <c r="K98">
        <v>0</v>
      </c>
      <c r="L98">
        <v>0</v>
      </c>
      <c r="M98" s="8">
        <v>1</v>
      </c>
      <c r="N98" t="s">
        <v>212</v>
      </c>
      <c r="O98" t="str">
        <f>IF(B98="SP",IF(C98="São Paulo","FRQ001","FRQ002"),VLOOKUP(B98,Premissas!$A$11:$B$28,2,FALSE))</f>
        <v>FRQ014</v>
      </c>
      <c r="P98" t="str">
        <f t="shared" si="4"/>
        <v>Própria</v>
      </c>
      <c r="Q98" s="10">
        <f>VLOOKUP(E98,Premissas!$A$32:$B$35,2,FALSE)</f>
        <v>938</v>
      </c>
      <c r="R98" s="10">
        <f>Q98*(1-Premissas!$B$5)</f>
        <v>745.24099999999999</v>
      </c>
      <c r="S98">
        <f t="shared" si="5"/>
        <v>5</v>
      </c>
      <c r="T98" t="str">
        <f t="shared" si="6"/>
        <v>5. Régua automatizada</v>
      </c>
      <c r="U98">
        <f t="shared" si="7"/>
        <v>2</v>
      </c>
      <c r="V98" t="s">
        <v>221</v>
      </c>
      <c r="W98" t="s">
        <v>207</v>
      </c>
      <c r="X98" s="13">
        <v>0.10929999999999999</v>
      </c>
    </row>
    <row r="99" spans="1:24" x14ac:dyDescent="0.25">
      <c r="A99" t="s">
        <v>359</v>
      </c>
      <c r="B99" t="s">
        <v>59</v>
      </c>
      <c r="C99" t="s">
        <v>195</v>
      </c>
      <c r="D99" t="s">
        <v>107</v>
      </c>
      <c r="E99" t="s">
        <v>72</v>
      </c>
      <c r="F99">
        <v>76</v>
      </c>
      <c r="G99" t="s">
        <v>204</v>
      </c>
      <c r="H99" t="s">
        <v>211</v>
      </c>
      <c r="I99" t="s">
        <v>205</v>
      </c>
      <c r="J99">
        <v>0</v>
      </c>
      <c r="K99">
        <v>0</v>
      </c>
      <c r="L99">
        <v>0</v>
      </c>
      <c r="M99" s="8">
        <v>3</v>
      </c>
      <c r="N99" t="s">
        <v>206</v>
      </c>
      <c r="O99" t="str">
        <f>IF(B99="SP",IF(C99="São Paulo","FRQ001","FRQ002"),VLOOKUP(B99,Premissas!$A$11:$B$28,2,FALSE))</f>
        <v>FRQ003</v>
      </c>
      <c r="P99" t="str">
        <f t="shared" si="4"/>
        <v>Própria</v>
      </c>
      <c r="Q99" s="10">
        <f>VLOOKUP(E99,Premissas!$A$32:$B$35,2,FALSE)</f>
        <v>1121</v>
      </c>
      <c r="R99" s="10">
        <f>Q99*(1-Premissas!$B$5)</f>
        <v>890.6345</v>
      </c>
      <c r="S99">
        <f t="shared" si="5"/>
        <v>4</v>
      </c>
      <c r="T99" t="str">
        <f t="shared" si="6"/>
        <v>4. Nutrir (marketing/inbound)</v>
      </c>
      <c r="U99">
        <f t="shared" si="7"/>
        <v>14</v>
      </c>
      <c r="V99" t="s">
        <v>200</v>
      </c>
      <c r="W99" t="s">
        <v>207</v>
      </c>
      <c r="X99" s="13">
        <v>0.47039999999999998</v>
      </c>
    </row>
    <row r="100" spans="1:24" x14ac:dyDescent="0.25">
      <c r="A100" t="s">
        <v>360</v>
      </c>
      <c r="B100" t="s">
        <v>36</v>
      </c>
      <c r="C100" t="s">
        <v>322</v>
      </c>
      <c r="D100" t="s">
        <v>120</v>
      </c>
      <c r="E100" t="s">
        <v>75</v>
      </c>
      <c r="F100">
        <v>13</v>
      </c>
      <c r="G100" t="s">
        <v>216</v>
      </c>
      <c r="H100" t="s">
        <v>226</v>
      </c>
      <c r="I100" t="s">
        <v>205</v>
      </c>
      <c r="J100">
        <v>0</v>
      </c>
      <c r="K100">
        <v>0</v>
      </c>
      <c r="L100">
        <v>0</v>
      </c>
      <c r="M100" s="8">
        <v>1</v>
      </c>
      <c r="N100" t="s">
        <v>212</v>
      </c>
      <c r="O100" t="str">
        <f>IF(B100="SP",IF(C100="São Paulo","FRQ001","FRQ002"),VLOOKUP(B100,Premissas!$A$11:$B$28,2,FALSE))</f>
        <v>FRQ010</v>
      </c>
      <c r="P100" t="str">
        <f t="shared" si="4"/>
        <v>Própria</v>
      </c>
      <c r="Q100" s="10">
        <f>VLOOKUP(E100,Premissas!$A$32:$B$35,2,FALSE)</f>
        <v>938</v>
      </c>
      <c r="R100" s="10">
        <f>Q100*(1-Premissas!$B$5)</f>
        <v>745.24099999999999</v>
      </c>
      <c r="S100">
        <f t="shared" si="5"/>
        <v>5</v>
      </c>
      <c r="T100" t="str">
        <f t="shared" si="6"/>
        <v>5. Régua automatizada</v>
      </c>
      <c r="U100">
        <f t="shared" si="7"/>
        <v>10</v>
      </c>
      <c r="V100" t="s">
        <v>221</v>
      </c>
      <c r="W100" t="s">
        <v>207</v>
      </c>
      <c r="X100" s="13">
        <v>0.19620000000000001</v>
      </c>
    </row>
    <row r="101" spans="1:24" x14ac:dyDescent="0.25">
      <c r="A101" t="s">
        <v>361</v>
      </c>
      <c r="B101" t="s">
        <v>59</v>
      </c>
      <c r="C101" t="s">
        <v>228</v>
      </c>
      <c r="D101" t="s">
        <v>107</v>
      </c>
      <c r="E101" t="s">
        <v>75</v>
      </c>
      <c r="F101">
        <v>10</v>
      </c>
      <c r="G101" t="s">
        <v>204</v>
      </c>
      <c r="H101" t="s">
        <v>197</v>
      </c>
      <c r="I101" t="s">
        <v>205</v>
      </c>
      <c r="J101">
        <v>0</v>
      </c>
      <c r="K101">
        <v>0</v>
      </c>
      <c r="L101">
        <v>0</v>
      </c>
      <c r="M101" s="8">
        <v>1</v>
      </c>
      <c r="N101" t="s">
        <v>212</v>
      </c>
      <c r="O101" t="str">
        <f>IF(B101="SP",IF(C101="São Paulo","FRQ001","FRQ002"),VLOOKUP(B101,Premissas!$A$11:$B$28,2,FALSE))</f>
        <v>FRQ003</v>
      </c>
      <c r="P101" t="str">
        <f t="shared" si="4"/>
        <v>Própria</v>
      </c>
      <c r="Q101" s="10">
        <f>VLOOKUP(E101,Premissas!$A$32:$B$35,2,FALSE)</f>
        <v>938</v>
      </c>
      <c r="R101" s="10">
        <f>Q101*(1-Premissas!$B$5)</f>
        <v>745.24099999999999</v>
      </c>
      <c r="S101">
        <f t="shared" si="5"/>
        <v>5</v>
      </c>
      <c r="T101" t="str">
        <f t="shared" si="6"/>
        <v>5. Régua automatizada</v>
      </c>
      <c r="U101">
        <f t="shared" si="7"/>
        <v>31</v>
      </c>
      <c r="V101" t="s">
        <v>221</v>
      </c>
      <c r="W101" t="s">
        <v>207</v>
      </c>
      <c r="X101" s="13">
        <v>0.2402</v>
      </c>
    </row>
    <row r="102" spans="1:24" x14ac:dyDescent="0.25">
      <c r="A102" t="s">
        <v>362</v>
      </c>
      <c r="B102" t="s">
        <v>66</v>
      </c>
      <c r="C102" t="s">
        <v>242</v>
      </c>
      <c r="D102" t="s">
        <v>107</v>
      </c>
      <c r="E102" t="s">
        <v>72</v>
      </c>
      <c r="F102">
        <v>15</v>
      </c>
      <c r="G102" t="s">
        <v>196</v>
      </c>
      <c r="H102" t="s">
        <v>197</v>
      </c>
      <c r="I102" t="s">
        <v>198</v>
      </c>
      <c r="J102">
        <v>2</v>
      </c>
      <c r="K102">
        <v>1</v>
      </c>
      <c r="L102">
        <v>0</v>
      </c>
      <c r="M102" s="8">
        <v>3</v>
      </c>
      <c r="N102" t="s">
        <v>206</v>
      </c>
      <c r="O102" t="str">
        <f>IF(B102="SP",IF(C102="São Paulo","FRQ001","FRQ002"),VLOOKUP(B102,Premissas!$A$11:$B$28,2,FALSE))</f>
        <v>FRQ002</v>
      </c>
      <c r="P102" t="str">
        <f t="shared" si="4"/>
        <v>Própria</v>
      </c>
      <c r="Q102" s="10">
        <f>VLOOKUP(E102,Premissas!$A$32:$B$35,2,FALSE)</f>
        <v>1121</v>
      </c>
      <c r="R102" s="10">
        <f>Q102*(1-Premissas!$B$5)</f>
        <v>890.6345</v>
      </c>
      <c r="S102">
        <f t="shared" si="5"/>
        <v>3</v>
      </c>
      <c r="T102" t="str">
        <f t="shared" si="6"/>
        <v>3. Requalificar ou encerrar lead parado</v>
      </c>
      <c r="U102">
        <f t="shared" si="7"/>
        <v>4</v>
      </c>
      <c r="V102" t="s">
        <v>213</v>
      </c>
      <c r="W102" t="s">
        <v>201</v>
      </c>
      <c r="X102" s="13">
        <v>0.34320000000000001</v>
      </c>
    </row>
    <row r="103" spans="1:24" x14ac:dyDescent="0.25">
      <c r="A103" t="s">
        <v>363</v>
      </c>
      <c r="B103" t="s">
        <v>59</v>
      </c>
      <c r="C103" t="s">
        <v>195</v>
      </c>
      <c r="D103" t="s">
        <v>107</v>
      </c>
      <c r="E103" t="s">
        <v>72</v>
      </c>
      <c r="F103">
        <v>45</v>
      </c>
      <c r="G103" t="s">
        <v>196</v>
      </c>
      <c r="H103" t="s">
        <v>211</v>
      </c>
      <c r="I103" t="s">
        <v>205</v>
      </c>
      <c r="J103">
        <v>0</v>
      </c>
      <c r="K103">
        <v>0</v>
      </c>
      <c r="L103">
        <v>0</v>
      </c>
      <c r="M103" s="8">
        <v>3</v>
      </c>
      <c r="N103" t="s">
        <v>206</v>
      </c>
      <c r="O103" t="str">
        <f>IF(B103="SP",IF(C103="São Paulo","FRQ001","FRQ002"),VLOOKUP(B103,Premissas!$A$11:$B$28,2,FALSE))</f>
        <v>FRQ003</v>
      </c>
      <c r="P103" t="str">
        <f t="shared" si="4"/>
        <v>Própria</v>
      </c>
      <c r="Q103" s="10">
        <f>VLOOKUP(E103,Premissas!$A$32:$B$35,2,FALSE)</f>
        <v>1121</v>
      </c>
      <c r="R103" s="10">
        <f>Q103*(1-Premissas!$B$5)</f>
        <v>890.6345</v>
      </c>
      <c r="S103">
        <f t="shared" si="5"/>
        <v>4</v>
      </c>
      <c r="T103" t="str">
        <f t="shared" si="6"/>
        <v>4. Nutrir (marketing/inbound)</v>
      </c>
      <c r="U103">
        <f t="shared" si="7"/>
        <v>14</v>
      </c>
      <c r="V103" t="s">
        <v>200</v>
      </c>
      <c r="W103" t="s">
        <v>207</v>
      </c>
      <c r="X103" s="13">
        <v>0.37309999999999999</v>
      </c>
    </row>
    <row r="104" spans="1:24" x14ac:dyDescent="0.25">
      <c r="A104" t="s">
        <v>364</v>
      </c>
      <c r="B104" t="s">
        <v>38</v>
      </c>
      <c r="C104" t="s">
        <v>286</v>
      </c>
      <c r="D104" t="s">
        <v>120</v>
      </c>
      <c r="E104" t="s">
        <v>75</v>
      </c>
      <c r="F104">
        <v>11</v>
      </c>
      <c r="G104" t="s">
        <v>204</v>
      </c>
      <c r="H104" t="s">
        <v>211</v>
      </c>
      <c r="I104" t="s">
        <v>205</v>
      </c>
      <c r="J104">
        <v>0</v>
      </c>
      <c r="K104">
        <v>0</v>
      </c>
      <c r="L104">
        <v>0</v>
      </c>
      <c r="M104" s="8">
        <v>1</v>
      </c>
      <c r="N104" t="s">
        <v>212</v>
      </c>
      <c r="O104" t="str">
        <f>IF(B104="SP",IF(C104="São Paulo","FRQ001","FRQ002"),VLOOKUP(B104,Premissas!$A$11:$B$28,2,FALSE))</f>
        <v>FRQ012</v>
      </c>
      <c r="P104" t="str">
        <f t="shared" si="4"/>
        <v>Própria</v>
      </c>
      <c r="Q104" s="10">
        <f>VLOOKUP(E104,Premissas!$A$32:$B$35,2,FALSE)</f>
        <v>938</v>
      </c>
      <c r="R104" s="10">
        <f>Q104*(1-Premissas!$B$5)</f>
        <v>745.24099999999999</v>
      </c>
      <c r="S104">
        <f t="shared" si="5"/>
        <v>5</v>
      </c>
      <c r="T104" t="str">
        <f t="shared" si="6"/>
        <v>5. Régua automatizada</v>
      </c>
      <c r="U104">
        <f t="shared" si="7"/>
        <v>4</v>
      </c>
      <c r="V104" t="s">
        <v>221</v>
      </c>
      <c r="W104" t="s">
        <v>207</v>
      </c>
      <c r="X104" s="13">
        <v>0.1716</v>
      </c>
    </row>
    <row r="105" spans="1:24" x14ac:dyDescent="0.25">
      <c r="A105" t="s">
        <v>365</v>
      </c>
      <c r="B105" t="s">
        <v>42</v>
      </c>
      <c r="C105" t="s">
        <v>329</v>
      </c>
      <c r="D105" t="s">
        <v>107</v>
      </c>
      <c r="E105" t="s">
        <v>72</v>
      </c>
      <c r="F105">
        <v>57</v>
      </c>
      <c r="G105" t="s">
        <v>243</v>
      </c>
      <c r="H105" t="s">
        <v>211</v>
      </c>
      <c r="I105" t="s">
        <v>205</v>
      </c>
      <c r="J105">
        <v>0</v>
      </c>
      <c r="K105">
        <v>0</v>
      </c>
      <c r="L105">
        <v>0</v>
      </c>
      <c r="M105" s="8">
        <v>3</v>
      </c>
      <c r="N105" t="s">
        <v>206</v>
      </c>
      <c r="O105" t="str">
        <f>IF(B105="SP",IF(C105="São Paulo","FRQ001","FRQ002"),VLOOKUP(B105,Premissas!$A$11:$B$28,2,FALSE))</f>
        <v>FRQ015</v>
      </c>
      <c r="P105" t="str">
        <f t="shared" si="4"/>
        <v>Própria</v>
      </c>
      <c r="Q105" s="10">
        <f>VLOOKUP(E105,Premissas!$A$32:$B$35,2,FALSE)</f>
        <v>1121</v>
      </c>
      <c r="R105" s="10">
        <f>Q105*(1-Premissas!$B$5)</f>
        <v>890.6345</v>
      </c>
      <c r="S105">
        <f t="shared" si="5"/>
        <v>4</v>
      </c>
      <c r="T105" t="str">
        <f t="shared" si="6"/>
        <v>4. Nutrir (marketing/inbound)</v>
      </c>
      <c r="U105">
        <f t="shared" si="7"/>
        <v>5</v>
      </c>
      <c r="V105" t="s">
        <v>200</v>
      </c>
      <c r="W105" t="s">
        <v>207</v>
      </c>
      <c r="X105" s="13">
        <v>0.45689999999999997</v>
      </c>
    </row>
    <row r="106" spans="1:24" x14ac:dyDescent="0.25">
      <c r="A106" t="s">
        <v>366</v>
      </c>
      <c r="B106" t="s">
        <v>36</v>
      </c>
      <c r="C106" t="s">
        <v>322</v>
      </c>
      <c r="D106" t="s">
        <v>120</v>
      </c>
      <c r="E106" t="s">
        <v>75</v>
      </c>
      <c r="F106">
        <v>12</v>
      </c>
      <c r="G106" t="s">
        <v>216</v>
      </c>
      <c r="H106" t="s">
        <v>211</v>
      </c>
      <c r="I106" t="s">
        <v>205</v>
      </c>
      <c r="J106">
        <v>0</v>
      </c>
      <c r="K106">
        <v>0</v>
      </c>
      <c r="L106">
        <v>0</v>
      </c>
      <c r="M106" s="8">
        <v>1</v>
      </c>
      <c r="N106" t="s">
        <v>212</v>
      </c>
      <c r="O106" t="str">
        <f>IF(B106="SP",IF(C106="São Paulo","FRQ001","FRQ002"),VLOOKUP(B106,Premissas!$A$11:$B$28,2,FALSE))</f>
        <v>FRQ010</v>
      </c>
      <c r="P106" t="str">
        <f t="shared" si="4"/>
        <v>Própria</v>
      </c>
      <c r="Q106" s="10">
        <f>VLOOKUP(E106,Premissas!$A$32:$B$35,2,FALSE)</f>
        <v>938</v>
      </c>
      <c r="R106" s="10">
        <f>Q106*(1-Premissas!$B$5)</f>
        <v>745.24099999999999</v>
      </c>
      <c r="S106">
        <f t="shared" si="5"/>
        <v>5</v>
      </c>
      <c r="T106" t="str">
        <f t="shared" si="6"/>
        <v>5. Régua automatizada</v>
      </c>
      <c r="U106">
        <f t="shared" si="7"/>
        <v>10</v>
      </c>
      <c r="V106" t="s">
        <v>221</v>
      </c>
      <c r="W106" t="s">
        <v>207</v>
      </c>
      <c r="X106" s="13">
        <v>0.19620000000000001</v>
      </c>
    </row>
    <row r="107" spans="1:24" x14ac:dyDescent="0.25">
      <c r="A107" t="s">
        <v>367</v>
      </c>
      <c r="B107" t="s">
        <v>64</v>
      </c>
      <c r="C107" t="s">
        <v>255</v>
      </c>
      <c r="D107" t="s">
        <v>113</v>
      </c>
      <c r="E107" t="s">
        <v>72</v>
      </c>
      <c r="F107">
        <v>16</v>
      </c>
      <c r="G107" t="s">
        <v>237</v>
      </c>
      <c r="H107" t="s">
        <v>197</v>
      </c>
      <c r="I107" t="s">
        <v>220</v>
      </c>
      <c r="J107">
        <v>1</v>
      </c>
      <c r="K107">
        <v>0</v>
      </c>
      <c r="L107">
        <v>0</v>
      </c>
      <c r="M107" s="8">
        <v>3</v>
      </c>
      <c r="N107" t="s">
        <v>206</v>
      </c>
      <c r="O107" t="str">
        <f>IF(B107="SP",IF(C107="São Paulo","FRQ001","FRQ002"),VLOOKUP(B107,Premissas!$A$11:$B$28,2,FALSE))</f>
        <v>FRQ006</v>
      </c>
      <c r="P107" t="str">
        <f t="shared" si="4"/>
        <v>Própria</v>
      </c>
      <c r="Q107" s="10">
        <f>VLOOKUP(E107,Premissas!$A$32:$B$35,2,FALSE)</f>
        <v>1121</v>
      </c>
      <c r="R107" s="10">
        <f>Q107*(1-Premissas!$B$5)</f>
        <v>890.6345</v>
      </c>
      <c r="S107">
        <f t="shared" si="5"/>
        <v>4</v>
      </c>
      <c r="T107" t="str">
        <f t="shared" si="6"/>
        <v>4. Nutrir (marketing/inbound)</v>
      </c>
      <c r="U107">
        <f t="shared" si="7"/>
        <v>5</v>
      </c>
      <c r="V107" t="s">
        <v>213</v>
      </c>
      <c r="W107" t="s">
        <v>201</v>
      </c>
      <c r="X107" s="13">
        <v>0.34589999999999999</v>
      </c>
    </row>
    <row r="108" spans="1:24" x14ac:dyDescent="0.25">
      <c r="A108" t="s">
        <v>368</v>
      </c>
      <c r="B108" t="s">
        <v>66</v>
      </c>
      <c r="C108" t="s">
        <v>271</v>
      </c>
      <c r="D108" t="s">
        <v>107</v>
      </c>
      <c r="E108" t="s">
        <v>72</v>
      </c>
      <c r="F108">
        <v>48</v>
      </c>
      <c r="G108" t="s">
        <v>196</v>
      </c>
      <c r="H108" t="s">
        <v>197</v>
      </c>
      <c r="I108" t="s">
        <v>205</v>
      </c>
      <c r="J108">
        <v>0</v>
      </c>
      <c r="K108">
        <v>0</v>
      </c>
      <c r="L108">
        <v>0</v>
      </c>
      <c r="M108" s="8">
        <v>3</v>
      </c>
      <c r="N108" t="s">
        <v>206</v>
      </c>
      <c r="O108" t="str">
        <f>IF(B108="SP",IF(C108="São Paulo","FRQ001","FRQ002"),VLOOKUP(B108,Premissas!$A$11:$B$28,2,FALSE))</f>
        <v>FRQ002</v>
      </c>
      <c r="P108" t="str">
        <f t="shared" si="4"/>
        <v>Própria</v>
      </c>
      <c r="Q108" s="10">
        <f>VLOOKUP(E108,Premissas!$A$32:$B$35,2,FALSE)</f>
        <v>1121</v>
      </c>
      <c r="R108" s="10">
        <f>Q108*(1-Premissas!$B$5)</f>
        <v>890.6345</v>
      </c>
      <c r="S108">
        <f t="shared" si="5"/>
        <v>4</v>
      </c>
      <c r="T108" t="str">
        <f t="shared" si="6"/>
        <v>4. Nutrir (marketing/inbound)</v>
      </c>
      <c r="U108">
        <f t="shared" si="7"/>
        <v>9</v>
      </c>
      <c r="V108" t="s">
        <v>200</v>
      </c>
      <c r="W108" t="s">
        <v>207</v>
      </c>
      <c r="X108" s="13">
        <v>0.33860000000000001</v>
      </c>
    </row>
    <row r="109" spans="1:24" x14ac:dyDescent="0.25">
      <c r="A109" t="s">
        <v>369</v>
      </c>
      <c r="B109" t="s">
        <v>61</v>
      </c>
      <c r="C109" t="s">
        <v>295</v>
      </c>
      <c r="D109" t="s">
        <v>124</v>
      </c>
      <c r="E109" t="s">
        <v>75</v>
      </c>
      <c r="F109">
        <v>23</v>
      </c>
      <c r="G109" t="s">
        <v>219</v>
      </c>
      <c r="H109" t="s">
        <v>211</v>
      </c>
      <c r="I109" t="s">
        <v>205</v>
      </c>
      <c r="J109">
        <v>0</v>
      </c>
      <c r="K109">
        <v>0</v>
      </c>
      <c r="L109">
        <v>0</v>
      </c>
      <c r="M109" s="8">
        <v>2</v>
      </c>
      <c r="N109" t="s">
        <v>212</v>
      </c>
      <c r="O109" t="str">
        <f>IF(B109="SP",IF(C109="São Paulo","FRQ001","FRQ002"),VLOOKUP(B109,Premissas!$A$11:$B$28,2,FALSE))</f>
        <v>Sem franquia</v>
      </c>
      <c r="P109" t="str">
        <f t="shared" si="4"/>
        <v>Sem franquia</v>
      </c>
      <c r="Q109" s="10">
        <f>VLOOKUP(E109,Premissas!$A$32:$B$35,2,FALSE)</f>
        <v>938</v>
      </c>
      <c r="R109" s="10">
        <f>Q109*(1-Premissas!$B$5)</f>
        <v>745.24099999999999</v>
      </c>
      <c r="S109">
        <f t="shared" si="5"/>
        <v>5</v>
      </c>
      <c r="T109" t="str">
        <f t="shared" si="6"/>
        <v>5. Régua automatizada</v>
      </c>
      <c r="U109">
        <f t="shared" si="7"/>
        <v>18</v>
      </c>
      <c r="V109" t="s">
        <v>213</v>
      </c>
      <c r="W109" t="s">
        <v>207</v>
      </c>
      <c r="X109" s="13">
        <v>0.1394</v>
      </c>
    </row>
    <row r="110" spans="1:24" x14ac:dyDescent="0.25">
      <c r="A110" t="s">
        <v>370</v>
      </c>
      <c r="B110" t="s">
        <v>36</v>
      </c>
      <c r="C110" t="s">
        <v>371</v>
      </c>
      <c r="D110" t="s">
        <v>120</v>
      </c>
      <c r="E110" t="s">
        <v>75</v>
      </c>
      <c r="F110">
        <v>14</v>
      </c>
      <c r="G110" t="s">
        <v>216</v>
      </c>
      <c r="H110" t="s">
        <v>197</v>
      </c>
      <c r="I110" t="s">
        <v>205</v>
      </c>
      <c r="J110">
        <v>0</v>
      </c>
      <c r="K110">
        <v>1</v>
      </c>
      <c r="L110">
        <v>0</v>
      </c>
      <c r="M110" s="8">
        <v>1</v>
      </c>
      <c r="N110" t="s">
        <v>212</v>
      </c>
      <c r="O110" t="str">
        <f>IF(B110="SP",IF(C110="São Paulo","FRQ001","FRQ002"),VLOOKUP(B110,Premissas!$A$11:$B$28,2,FALSE))</f>
        <v>FRQ010</v>
      </c>
      <c r="P110" t="str">
        <f t="shared" si="4"/>
        <v>Própria</v>
      </c>
      <c r="Q110" s="10">
        <f>VLOOKUP(E110,Premissas!$A$32:$B$35,2,FALSE)</f>
        <v>938</v>
      </c>
      <c r="R110" s="10">
        <f>Q110*(1-Premissas!$B$5)</f>
        <v>745.24099999999999</v>
      </c>
      <c r="S110">
        <f t="shared" si="5"/>
        <v>3</v>
      </c>
      <c r="T110" t="str">
        <f t="shared" si="6"/>
        <v>3. Requalificar ou encerrar lead parado</v>
      </c>
      <c r="U110">
        <f t="shared" si="7"/>
        <v>4</v>
      </c>
      <c r="V110" t="s">
        <v>221</v>
      </c>
      <c r="W110" t="s">
        <v>207</v>
      </c>
      <c r="X110" s="13">
        <v>0.19620000000000001</v>
      </c>
    </row>
    <row r="111" spans="1:24" x14ac:dyDescent="0.25">
      <c r="A111" t="s">
        <v>372</v>
      </c>
      <c r="B111" t="s">
        <v>57</v>
      </c>
      <c r="C111" t="s">
        <v>315</v>
      </c>
      <c r="D111" t="s">
        <v>113</v>
      </c>
      <c r="E111" t="s">
        <v>75</v>
      </c>
      <c r="F111">
        <v>12</v>
      </c>
      <c r="G111" t="s">
        <v>216</v>
      </c>
      <c r="H111" t="s">
        <v>211</v>
      </c>
      <c r="I111" t="s">
        <v>205</v>
      </c>
      <c r="J111">
        <v>0</v>
      </c>
      <c r="K111">
        <v>0</v>
      </c>
      <c r="L111">
        <v>0</v>
      </c>
      <c r="M111" s="8">
        <v>1</v>
      </c>
      <c r="N111" t="s">
        <v>212</v>
      </c>
      <c r="O111" t="str">
        <f>IF(B111="SP",IF(C111="São Paulo","FRQ001","FRQ002"),VLOOKUP(B111,Premissas!$A$11:$B$28,2,FALSE))</f>
        <v>FRQ005</v>
      </c>
      <c r="P111" t="str">
        <f t="shared" si="4"/>
        <v>Própria</v>
      </c>
      <c r="Q111" s="10">
        <f>VLOOKUP(E111,Premissas!$A$32:$B$35,2,FALSE)</f>
        <v>938</v>
      </c>
      <c r="R111" s="10">
        <f>Q111*(1-Premissas!$B$5)</f>
        <v>745.24099999999999</v>
      </c>
      <c r="S111">
        <f t="shared" si="5"/>
        <v>5</v>
      </c>
      <c r="T111" t="str">
        <f t="shared" si="6"/>
        <v>5. Régua automatizada</v>
      </c>
      <c r="U111">
        <f t="shared" si="7"/>
        <v>8</v>
      </c>
      <c r="V111" t="s">
        <v>221</v>
      </c>
      <c r="W111" t="s">
        <v>207</v>
      </c>
      <c r="X111" s="13">
        <v>0.1275</v>
      </c>
    </row>
    <row r="112" spans="1:24" x14ac:dyDescent="0.25">
      <c r="A112" t="s">
        <v>373</v>
      </c>
      <c r="B112" t="s">
        <v>66</v>
      </c>
      <c r="C112" t="s">
        <v>271</v>
      </c>
      <c r="D112" t="s">
        <v>107</v>
      </c>
      <c r="E112" t="s">
        <v>72</v>
      </c>
      <c r="F112">
        <v>35</v>
      </c>
      <c r="G112" t="s">
        <v>243</v>
      </c>
      <c r="H112" t="s">
        <v>211</v>
      </c>
      <c r="I112" t="s">
        <v>205</v>
      </c>
      <c r="J112">
        <v>0</v>
      </c>
      <c r="K112">
        <v>0</v>
      </c>
      <c r="L112">
        <v>0</v>
      </c>
      <c r="M112" s="8">
        <v>3</v>
      </c>
      <c r="N112" t="s">
        <v>206</v>
      </c>
      <c r="O112" t="str">
        <f>IF(B112="SP",IF(C112="São Paulo","FRQ001","FRQ002"),VLOOKUP(B112,Premissas!$A$11:$B$28,2,FALSE))</f>
        <v>FRQ002</v>
      </c>
      <c r="P112" t="str">
        <f t="shared" si="4"/>
        <v>Própria</v>
      </c>
      <c r="Q112" s="10">
        <f>VLOOKUP(E112,Premissas!$A$32:$B$35,2,FALSE)</f>
        <v>1121</v>
      </c>
      <c r="R112" s="10">
        <f>Q112*(1-Premissas!$B$5)</f>
        <v>890.6345</v>
      </c>
      <c r="S112">
        <f t="shared" si="5"/>
        <v>4</v>
      </c>
      <c r="T112" t="str">
        <f t="shared" si="6"/>
        <v>4. Nutrir (marketing/inbound)</v>
      </c>
      <c r="U112">
        <f t="shared" si="7"/>
        <v>9</v>
      </c>
      <c r="V112" t="s">
        <v>200</v>
      </c>
      <c r="W112" t="s">
        <v>207</v>
      </c>
      <c r="X112" s="13">
        <v>0.4239</v>
      </c>
    </row>
    <row r="113" spans="1:24" x14ac:dyDescent="0.25">
      <c r="A113" t="s">
        <v>374</v>
      </c>
      <c r="B113" t="s">
        <v>49</v>
      </c>
      <c r="C113" t="s">
        <v>253</v>
      </c>
      <c r="D113" t="s">
        <v>107</v>
      </c>
      <c r="E113" t="s">
        <v>72</v>
      </c>
      <c r="F113">
        <v>66</v>
      </c>
      <c r="G113" t="s">
        <v>243</v>
      </c>
      <c r="H113" t="s">
        <v>211</v>
      </c>
      <c r="I113" t="s">
        <v>205</v>
      </c>
      <c r="J113">
        <v>0</v>
      </c>
      <c r="K113">
        <v>0</v>
      </c>
      <c r="L113">
        <v>0</v>
      </c>
      <c r="M113" s="8">
        <v>3</v>
      </c>
      <c r="N113" t="s">
        <v>206</v>
      </c>
      <c r="O113" t="str">
        <f>IF(B113="SP",IF(C113="São Paulo","FRQ001","FRQ002"),VLOOKUP(B113,Premissas!$A$11:$B$28,2,FALSE))</f>
        <v>FRQ004</v>
      </c>
      <c r="P113" t="str">
        <f t="shared" si="4"/>
        <v>Própria</v>
      </c>
      <c r="Q113" s="10">
        <f>VLOOKUP(E113,Premissas!$A$32:$B$35,2,FALSE)</f>
        <v>1121</v>
      </c>
      <c r="R113" s="10">
        <f>Q113*(1-Premissas!$B$5)</f>
        <v>890.6345</v>
      </c>
      <c r="S113">
        <f t="shared" si="5"/>
        <v>4</v>
      </c>
      <c r="T113" t="str">
        <f t="shared" si="6"/>
        <v>4. Nutrir (marketing/inbound)</v>
      </c>
      <c r="U113">
        <f t="shared" si="7"/>
        <v>10</v>
      </c>
      <c r="V113" t="s">
        <v>200</v>
      </c>
      <c r="W113" t="s">
        <v>207</v>
      </c>
      <c r="X113" s="13">
        <v>0.4667</v>
      </c>
    </row>
    <row r="114" spans="1:24" x14ac:dyDescent="0.25">
      <c r="A114" t="s">
        <v>375</v>
      </c>
      <c r="B114" t="s">
        <v>66</v>
      </c>
      <c r="C114" t="s">
        <v>242</v>
      </c>
      <c r="D114" t="s">
        <v>107</v>
      </c>
      <c r="E114" t="s">
        <v>75</v>
      </c>
      <c r="F114">
        <v>24</v>
      </c>
      <c r="G114" t="s">
        <v>219</v>
      </c>
      <c r="H114" t="s">
        <v>211</v>
      </c>
      <c r="I114" t="s">
        <v>205</v>
      </c>
      <c r="J114">
        <v>0</v>
      </c>
      <c r="K114">
        <v>0</v>
      </c>
      <c r="L114">
        <v>0</v>
      </c>
      <c r="M114" s="8">
        <v>2</v>
      </c>
      <c r="N114" t="s">
        <v>212</v>
      </c>
      <c r="O114" t="str">
        <f>IF(B114="SP",IF(C114="São Paulo","FRQ001","FRQ002"),VLOOKUP(B114,Premissas!$A$11:$B$28,2,FALSE))</f>
        <v>FRQ002</v>
      </c>
      <c r="P114" t="str">
        <f t="shared" si="4"/>
        <v>Própria</v>
      </c>
      <c r="Q114" s="10">
        <f>VLOOKUP(E114,Premissas!$A$32:$B$35,2,FALSE)</f>
        <v>938</v>
      </c>
      <c r="R114" s="10">
        <f>Q114*(1-Premissas!$B$5)</f>
        <v>745.24099999999999</v>
      </c>
      <c r="S114">
        <f t="shared" si="5"/>
        <v>5</v>
      </c>
      <c r="T114" t="str">
        <f t="shared" si="6"/>
        <v>5. Régua automatizada</v>
      </c>
      <c r="U114">
        <f t="shared" si="7"/>
        <v>26</v>
      </c>
      <c r="V114" t="s">
        <v>213</v>
      </c>
      <c r="W114" t="s">
        <v>207</v>
      </c>
      <c r="X114" s="13">
        <v>0.2079</v>
      </c>
    </row>
    <row r="115" spans="1:24" x14ac:dyDescent="0.25">
      <c r="A115" t="s">
        <v>376</v>
      </c>
      <c r="B115" t="s">
        <v>49</v>
      </c>
      <c r="C115" t="s">
        <v>218</v>
      </c>
      <c r="D115" t="s">
        <v>107</v>
      </c>
      <c r="E115" t="s">
        <v>75</v>
      </c>
      <c r="F115">
        <v>19</v>
      </c>
      <c r="G115" t="s">
        <v>219</v>
      </c>
      <c r="H115" t="s">
        <v>197</v>
      </c>
      <c r="I115" t="s">
        <v>205</v>
      </c>
      <c r="J115">
        <v>0</v>
      </c>
      <c r="K115">
        <v>1</v>
      </c>
      <c r="L115">
        <v>0</v>
      </c>
      <c r="M115" s="8">
        <v>2</v>
      </c>
      <c r="N115" t="s">
        <v>212</v>
      </c>
      <c r="O115" t="str">
        <f>IF(B115="SP",IF(C115="São Paulo","FRQ001","FRQ002"),VLOOKUP(B115,Premissas!$A$11:$B$28,2,FALSE))</f>
        <v>FRQ004</v>
      </c>
      <c r="P115" t="str">
        <f t="shared" si="4"/>
        <v>Própria</v>
      </c>
      <c r="Q115" s="10">
        <f>VLOOKUP(E115,Premissas!$A$32:$B$35,2,FALSE)</f>
        <v>938</v>
      </c>
      <c r="R115" s="10">
        <f>Q115*(1-Premissas!$B$5)</f>
        <v>745.24099999999999</v>
      </c>
      <c r="S115">
        <f t="shared" si="5"/>
        <v>3</v>
      </c>
      <c r="T115" t="str">
        <f t="shared" si="6"/>
        <v>3. Requalificar ou encerrar lead parado</v>
      </c>
      <c r="U115">
        <f t="shared" si="7"/>
        <v>7</v>
      </c>
      <c r="V115" t="s">
        <v>213</v>
      </c>
      <c r="W115" t="s">
        <v>207</v>
      </c>
      <c r="X115" s="13">
        <v>0.1094</v>
      </c>
    </row>
    <row r="116" spans="1:24" x14ac:dyDescent="0.25">
      <c r="A116" t="s">
        <v>377</v>
      </c>
      <c r="B116" t="s">
        <v>42</v>
      </c>
      <c r="C116" t="s">
        <v>378</v>
      </c>
      <c r="D116" t="s">
        <v>107</v>
      </c>
      <c r="E116" t="s">
        <v>75</v>
      </c>
      <c r="F116">
        <v>23</v>
      </c>
      <c r="G116" t="s">
        <v>216</v>
      </c>
      <c r="H116" t="s">
        <v>226</v>
      </c>
      <c r="I116" t="s">
        <v>205</v>
      </c>
      <c r="J116">
        <v>0</v>
      </c>
      <c r="K116">
        <v>0</v>
      </c>
      <c r="L116">
        <v>0</v>
      </c>
      <c r="M116" s="8">
        <v>2</v>
      </c>
      <c r="N116" t="s">
        <v>212</v>
      </c>
      <c r="O116" t="str">
        <f>IF(B116="SP",IF(C116="São Paulo","FRQ001","FRQ002"),VLOOKUP(B116,Premissas!$A$11:$B$28,2,FALSE))</f>
        <v>FRQ015</v>
      </c>
      <c r="P116" t="str">
        <f t="shared" si="4"/>
        <v>Própria</v>
      </c>
      <c r="Q116" s="10">
        <f>VLOOKUP(E116,Premissas!$A$32:$B$35,2,FALSE)</f>
        <v>938</v>
      </c>
      <c r="R116" s="10">
        <f>Q116*(1-Premissas!$B$5)</f>
        <v>745.24099999999999</v>
      </c>
      <c r="S116">
        <f t="shared" si="5"/>
        <v>5</v>
      </c>
      <c r="T116" t="str">
        <f t="shared" si="6"/>
        <v>5. Régua automatizada</v>
      </c>
      <c r="U116">
        <f t="shared" si="7"/>
        <v>8</v>
      </c>
      <c r="V116" t="s">
        <v>213</v>
      </c>
      <c r="W116" t="s">
        <v>207</v>
      </c>
      <c r="X116" s="13">
        <v>0.1575</v>
      </c>
    </row>
    <row r="117" spans="1:24" x14ac:dyDescent="0.25">
      <c r="A117" t="s">
        <v>379</v>
      </c>
      <c r="B117" t="s">
        <v>46</v>
      </c>
      <c r="C117" t="s">
        <v>380</v>
      </c>
      <c r="D117" t="s">
        <v>120</v>
      </c>
      <c r="E117" t="s">
        <v>75</v>
      </c>
      <c r="F117">
        <v>14</v>
      </c>
      <c r="G117" t="s">
        <v>216</v>
      </c>
      <c r="H117" t="s">
        <v>211</v>
      </c>
      <c r="I117" t="s">
        <v>205</v>
      </c>
      <c r="J117">
        <v>0</v>
      </c>
      <c r="K117">
        <v>0</v>
      </c>
      <c r="L117">
        <v>0</v>
      </c>
      <c r="M117" s="8">
        <v>1</v>
      </c>
      <c r="N117" t="s">
        <v>212</v>
      </c>
      <c r="O117" t="str">
        <f>IF(B117="SP",IF(C117="São Paulo","FRQ001","FRQ002"),VLOOKUP(B117,Premissas!$A$11:$B$28,2,FALSE))</f>
        <v>Sem franquia</v>
      </c>
      <c r="P117" t="str">
        <f t="shared" si="4"/>
        <v>Sem franquia</v>
      </c>
      <c r="Q117" s="10">
        <f>VLOOKUP(E117,Premissas!$A$32:$B$35,2,FALSE)</f>
        <v>938</v>
      </c>
      <c r="R117" s="10">
        <f>Q117*(1-Premissas!$B$5)</f>
        <v>745.24099999999999</v>
      </c>
      <c r="S117">
        <f t="shared" si="5"/>
        <v>5</v>
      </c>
      <c r="T117" t="str">
        <f t="shared" si="6"/>
        <v>5. Régua automatizada</v>
      </c>
      <c r="U117">
        <f t="shared" si="7"/>
        <v>18</v>
      </c>
      <c r="V117" t="s">
        <v>221</v>
      </c>
      <c r="W117" t="s">
        <v>207</v>
      </c>
      <c r="X117" s="13">
        <v>0.1275</v>
      </c>
    </row>
    <row r="118" spans="1:24" x14ac:dyDescent="0.25">
      <c r="A118" t="s">
        <v>381</v>
      </c>
      <c r="B118" t="s">
        <v>61</v>
      </c>
      <c r="C118" t="s">
        <v>295</v>
      </c>
      <c r="D118" t="s">
        <v>124</v>
      </c>
      <c r="E118" t="s">
        <v>75</v>
      </c>
      <c r="F118">
        <v>22</v>
      </c>
      <c r="G118" t="s">
        <v>196</v>
      </c>
      <c r="H118" t="s">
        <v>211</v>
      </c>
      <c r="I118" t="s">
        <v>205</v>
      </c>
      <c r="J118">
        <v>0</v>
      </c>
      <c r="K118">
        <v>0</v>
      </c>
      <c r="L118">
        <v>0</v>
      </c>
      <c r="M118" s="8">
        <v>2</v>
      </c>
      <c r="N118" t="s">
        <v>212</v>
      </c>
      <c r="O118" t="str">
        <f>IF(B118="SP",IF(C118="São Paulo","FRQ001","FRQ002"),VLOOKUP(B118,Premissas!$A$11:$B$28,2,FALSE))</f>
        <v>Sem franquia</v>
      </c>
      <c r="P118" t="str">
        <f t="shared" si="4"/>
        <v>Sem franquia</v>
      </c>
      <c r="Q118" s="10">
        <f>VLOOKUP(E118,Premissas!$A$32:$B$35,2,FALSE)</f>
        <v>938</v>
      </c>
      <c r="R118" s="10">
        <f>Q118*(1-Premissas!$B$5)</f>
        <v>745.24099999999999</v>
      </c>
      <c r="S118">
        <f t="shared" si="5"/>
        <v>5</v>
      </c>
      <c r="T118" t="str">
        <f t="shared" si="6"/>
        <v>5. Régua automatizada</v>
      </c>
      <c r="U118">
        <f t="shared" si="7"/>
        <v>18</v>
      </c>
      <c r="V118" t="s">
        <v>213</v>
      </c>
      <c r="W118" t="s">
        <v>207</v>
      </c>
      <c r="X118" s="13">
        <v>0.27439999999999998</v>
      </c>
    </row>
    <row r="119" spans="1:24" x14ac:dyDescent="0.25">
      <c r="A119" t="s">
        <v>382</v>
      </c>
      <c r="B119" t="s">
        <v>59</v>
      </c>
      <c r="C119" t="s">
        <v>195</v>
      </c>
      <c r="D119" t="s">
        <v>107</v>
      </c>
      <c r="E119" t="s">
        <v>72</v>
      </c>
      <c r="F119">
        <v>76</v>
      </c>
      <c r="G119" t="s">
        <v>237</v>
      </c>
      <c r="H119" t="s">
        <v>211</v>
      </c>
      <c r="I119" t="s">
        <v>205</v>
      </c>
      <c r="J119">
        <v>0</v>
      </c>
      <c r="K119">
        <v>0</v>
      </c>
      <c r="L119">
        <v>0</v>
      </c>
      <c r="M119" s="8">
        <v>3</v>
      </c>
      <c r="N119" t="s">
        <v>206</v>
      </c>
      <c r="O119" t="str">
        <f>IF(B119="SP",IF(C119="São Paulo","FRQ001","FRQ002"),VLOOKUP(B119,Premissas!$A$11:$B$28,2,FALSE))</f>
        <v>FRQ003</v>
      </c>
      <c r="P119" t="str">
        <f t="shared" si="4"/>
        <v>Própria</v>
      </c>
      <c r="Q119" s="10">
        <f>VLOOKUP(E119,Premissas!$A$32:$B$35,2,FALSE)</f>
        <v>1121</v>
      </c>
      <c r="R119" s="10">
        <f>Q119*(1-Premissas!$B$5)</f>
        <v>890.6345</v>
      </c>
      <c r="S119">
        <f t="shared" si="5"/>
        <v>4</v>
      </c>
      <c r="T119" t="str">
        <f t="shared" si="6"/>
        <v>4. Nutrir (marketing/inbound)</v>
      </c>
      <c r="U119">
        <f t="shared" si="7"/>
        <v>14</v>
      </c>
      <c r="V119" t="s">
        <v>200</v>
      </c>
      <c r="W119" t="s">
        <v>207</v>
      </c>
      <c r="X119" s="13">
        <v>0.44330000000000003</v>
      </c>
    </row>
    <row r="120" spans="1:24" x14ac:dyDescent="0.25">
      <c r="A120" t="s">
        <v>383</v>
      </c>
      <c r="B120" t="s">
        <v>33</v>
      </c>
      <c r="C120" t="s">
        <v>251</v>
      </c>
      <c r="D120" t="s">
        <v>124</v>
      </c>
      <c r="E120" t="s">
        <v>72</v>
      </c>
      <c r="F120">
        <v>34</v>
      </c>
      <c r="G120" t="s">
        <v>196</v>
      </c>
      <c r="H120" t="s">
        <v>247</v>
      </c>
      <c r="I120" t="s">
        <v>205</v>
      </c>
      <c r="J120">
        <v>0</v>
      </c>
      <c r="K120">
        <v>1</v>
      </c>
      <c r="L120">
        <v>0</v>
      </c>
      <c r="M120" s="8">
        <v>3</v>
      </c>
      <c r="N120" t="s">
        <v>206</v>
      </c>
      <c r="O120" t="str">
        <f>IF(B120="SP",IF(C120="São Paulo","FRQ001","FRQ002"),VLOOKUP(B120,Premissas!$A$11:$B$28,2,FALSE))</f>
        <v>FRQ013</v>
      </c>
      <c r="P120" t="str">
        <f t="shared" si="4"/>
        <v>Própria</v>
      </c>
      <c r="Q120" s="10">
        <f>VLOOKUP(E120,Premissas!$A$32:$B$35,2,FALSE)</f>
        <v>1121</v>
      </c>
      <c r="R120" s="10">
        <f>Q120*(1-Premissas!$B$5)</f>
        <v>890.6345</v>
      </c>
      <c r="S120">
        <f t="shared" si="5"/>
        <v>3</v>
      </c>
      <c r="T120" t="str">
        <f t="shared" si="6"/>
        <v>3. Requalificar ou encerrar lead parado</v>
      </c>
      <c r="U120">
        <f t="shared" si="7"/>
        <v>1</v>
      </c>
      <c r="V120" t="s">
        <v>200</v>
      </c>
      <c r="W120" t="s">
        <v>207</v>
      </c>
      <c r="X120" s="13">
        <v>0.37309999999999999</v>
      </c>
    </row>
    <row r="121" spans="1:24" x14ac:dyDescent="0.25">
      <c r="A121" t="s">
        <v>384</v>
      </c>
      <c r="B121" t="s">
        <v>57</v>
      </c>
      <c r="C121" t="s">
        <v>302</v>
      </c>
      <c r="D121" t="s">
        <v>113</v>
      </c>
      <c r="E121" t="s">
        <v>75</v>
      </c>
      <c r="F121">
        <v>20</v>
      </c>
      <c r="G121" t="s">
        <v>204</v>
      </c>
      <c r="H121" t="s">
        <v>226</v>
      </c>
      <c r="I121" t="s">
        <v>205</v>
      </c>
      <c r="J121">
        <v>0</v>
      </c>
      <c r="K121">
        <v>0</v>
      </c>
      <c r="L121">
        <v>0</v>
      </c>
      <c r="M121" s="8">
        <v>2</v>
      </c>
      <c r="N121" t="s">
        <v>212</v>
      </c>
      <c r="O121" t="str">
        <f>IF(B121="SP",IF(C121="São Paulo","FRQ001","FRQ002"),VLOOKUP(B121,Premissas!$A$11:$B$28,2,FALSE))</f>
        <v>FRQ005</v>
      </c>
      <c r="P121" t="str">
        <f t="shared" si="4"/>
        <v>Própria</v>
      </c>
      <c r="Q121" s="10">
        <f>VLOOKUP(E121,Premissas!$A$32:$B$35,2,FALSE)</f>
        <v>938</v>
      </c>
      <c r="R121" s="10">
        <f>Q121*(1-Premissas!$B$5)</f>
        <v>745.24099999999999</v>
      </c>
      <c r="S121">
        <f t="shared" si="5"/>
        <v>5</v>
      </c>
      <c r="T121" t="str">
        <f t="shared" si="6"/>
        <v>5. Régua automatizada</v>
      </c>
      <c r="U121">
        <f t="shared" si="7"/>
        <v>8</v>
      </c>
      <c r="V121" t="s">
        <v>213</v>
      </c>
      <c r="W121" t="s">
        <v>207</v>
      </c>
      <c r="X121" s="13">
        <v>0.20150000000000001</v>
      </c>
    </row>
    <row r="122" spans="1:24" x14ac:dyDescent="0.25">
      <c r="A122" t="s">
        <v>385</v>
      </c>
      <c r="B122" t="s">
        <v>36</v>
      </c>
      <c r="C122" t="s">
        <v>257</v>
      </c>
      <c r="D122" t="s">
        <v>120</v>
      </c>
      <c r="E122" t="s">
        <v>72</v>
      </c>
      <c r="F122">
        <v>75</v>
      </c>
      <c r="G122" t="s">
        <v>237</v>
      </c>
      <c r="H122" t="s">
        <v>211</v>
      </c>
      <c r="I122" t="s">
        <v>205</v>
      </c>
      <c r="J122">
        <v>0</v>
      </c>
      <c r="K122">
        <v>0</v>
      </c>
      <c r="L122">
        <v>1</v>
      </c>
      <c r="M122" s="8">
        <v>3</v>
      </c>
      <c r="N122" t="s">
        <v>206</v>
      </c>
      <c r="O122" t="str">
        <f>IF(B122="SP",IF(C122="São Paulo","FRQ001","FRQ002"),VLOOKUP(B122,Premissas!$A$11:$B$28,2,FALSE))</f>
        <v>FRQ010</v>
      </c>
      <c r="P122" t="str">
        <f t="shared" si="4"/>
        <v>Própria</v>
      </c>
      <c r="Q122" s="10">
        <f>VLOOKUP(E122,Premissas!$A$32:$B$35,2,FALSE)</f>
        <v>1121</v>
      </c>
      <c r="R122" s="10">
        <f>Q122*(1-Premissas!$B$5)</f>
        <v>890.6345</v>
      </c>
      <c r="S122">
        <f t="shared" si="5"/>
        <v>4</v>
      </c>
      <c r="T122" t="str">
        <f t="shared" si="6"/>
        <v>4. Nutrir (marketing/inbound)</v>
      </c>
      <c r="U122">
        <f t="shared" si="7"/>
        <v>7</v>
      </c>
      <c r="V122" t="s">
        <v>200</v>
      </c>
      <c r="W122" t="s">
        <v>207</v>
      </c>
      <c r="X122" s="13">
        <v>0.47760000000000002</v>
      </c>
    </row>
    <row r="123" spans="1:24" x14ac:dyDescent="0.25">
      <c r="A123" t="s">
        <v>386</v>
      </c>
      <c r="B123" t="s">
        <v>66</v>
      </c>
      <c r="C123" t="s">
        <v>215</v>
      </c>
      <c r="D123" t="s">
        <v>107</v>
      </c>
      <c r="E123" t="s">
        <v>72</v>
      </c>
      <c r="F123">
        <v>42</v>
      </c>
      <c r="G123" t="s">
        <v>204</v>
      </c>
      <c r="H123" t="s">
        <v>197</v>
      </c>
      <c r="I123" t="s">
        <v>231</v>
      </c>
      <c r="J123">
        <v>4</v>
      </c>
      <c r="K123">
        <v>0</v>
      </c>
      <c r="L123">
        <v>0</v>
      </c>
      <c r="M123" s="8">
        <v>5</v>
      </c>
      <c r="N123" t="s">
        <v>199</v>
      </c>
      <c r="O123" t="str">
        <f>IF(B123="SP",IF(C123="São Paulo","FRQ001","FRQ002"),VLOOKUP(B123,Premissas!$A$11:$B$28,2,FALSE))</f>
        <v>FRQ002</v>
      </c>
      <c r="P123" t="str">
        <f t="shared" si="4"/>
        <v>Própria</v>
      </c>
      <c r="Q123" s="10">
        <f>VLOOKUP(E123,Premissas!$A$32:$B$35,2,FALSE)</f>
        <v>1121</v>
      </c>
      <c r="R123" s="10">
        <f>Q123*(1-Premissas!$B$5)</f>
        <v>890.6345</v>
      </c>
      <c r="S123">
        <f t="shared" si="5"/>
        <v>1</v>
      </c>
      <c r="T123" t="str">
        <f t="shared" si="6"/>
        <v>1. Fechar (lead ativo em Reunião/Proposta)</v>
      </c>
      <c r="U123">
        <f t="shared" si="7"/>
        <v>1</v>
      </c>
      <c r="V123" t="s">
        <v>200</v>
      </c>
      <c r="W123" t="s">
        <v>232</v>
      </c>
      <c r="X123" s="13">
        <v>0.36899999999999999</v>
      </c>
    </row>
    <row r="124" spans="1:24" x14ac:dyDescent="0.25">
      <c r="A124" t="s">
        <v>387</v>
      </c>
      <c r="B124" t="s">
        <v>66</v>
      </c>
      <c r="C124" t="s">
        <v>271</v>
      </c>
      <c r="D124" t="s">
        <v>107</v>
      </c>
      <c r="E124" t="s">
        <v>72</v>
      </c>
      <c r="F124">
        <v>25</v>
      </c>
      <c r="G124" t="s">
        <v>204</v>
      </c>
      <c r="H124" t="s">
        <v>197</v>
      </c>
      <c r="I124" t="s">
        <v>231</v>
      </c>
      <c r="J124">
        <v>4</v>
      </c>
      <c r="K124">
        <v>1</v>
      </c>
      <c r="L124">
        <v>0</v>
      </c>
      <c r="M124" s="8">
        <v>5</v>
      </c>
      <c r="N124" t="s">
        <v>199</v>
      </c>
      <c r="O124" t="str">
        <f>IF(B124="SP",IF(C124="São Paulo","FRQ001","FRQ002"),VLOOKUP(B124,Premissas!$A$11:$B$28,2,FALSE))</f>
        <v>FRQ002</v>
      </c>
      <c r="P124" t="str">
        <f t="shared" si="4"/>
        <v>Própria</v>
      </c>
      <c r="Q124" s="10">
        <f>VLOOKUP(E124,Premissas!$A$32:$B$35,2,FALSE)</f>
        <v>1121</v>
      </c>
      <c r="R124" s="10">
        <f>Q124*(1-Premissas!$B$5)</f>
        <v>890.6345</v>
      </c>
      <c r="S124">
        <f t="shared" si="5"/>
        <v>1</v>
      </c>
      <c r="T124" t="str">
        <f t="shared" si="6"/>
        <v>1. Fechar (lead ativo em Reunião/Proposta)</v>
      </c>
      <c r="U124">
        <f t="shared" si="7"/>
        <v>1</v>
      </c>
      <c r="V124" t="s">
        <v>200</v>
      </c>
      <c r="W124" t="s">
        <v>232</v>
      </c>
      <c r="X124" s="13">
        <v>0.33450000000000002</v>
      </c>
    </row>
    <row r="125" spans="1:24" x14ac:dyDescent="0.25">
      <c r="A125" t="s">
        <v>388</v>
      </c>
      <c r="B125" t="s">
        <v>66</v>
      </c>
      <c r="C125" t="s">
        <v>215</v>
      </c>
      <c r="D125" t="s">
        <v>107</v>
      </c>
      <c r="E125" t="s">
        <v>75</v>
      </c>
      <c r="F125">
        <v>19</v>
      </c>
      <c r="G125" t="s">
        <v>204</v>
      </c>
      <c r="H125" t="s">
        <v>211</v>
      </c>
      <c r="I125" t="s">
        <v>205</v>
      </c>
      <c r="J125">
        <v>0</v>
      </c>
      <c r="K125">
        <v>0</v>
      </c>
      <c r="L125">
        <v>0</v>
      </c>
      <c r="M125" s="8">
        <v>2</v>
      </c>
      <c r="N125" t="s">
        <v>212</v>
      </c>
      <c r="O125" t="str">
        <f>IF(B125="SP",IF(C125="São Paulo","FRQ001","FRQ002"),VLOOKUP(B125,Premissas!$A$11:$B$28,2,FALSE))</f>
        <v>FRQ002</v>
      </c>
      <c r="P125" t="str">
        <f t="shared" si="4"/>
        <v>Própria</v>
      </c>
      <c r="Q125" s="10">
        <f>VLOOKUP(E125,Premissas!$A$32:$B$35,2,FALSE)</f>
        <v>938</v>
      </c>
      <c r="R125" s="10">
        <f>Q125*(1-Premissas!$B$5)</f>
        <v>745.24099999999999</v>
      </c>
      <c r="S125">
        <f t="shared" si="5"/>
        <v>5</v>
      </c>
      <c r="T125" t="str">
        <f t="shared" si="6"/>
        <v>5. Régua automatizada</v>
      </c>
      <c r="U125">
        <f t="shared" si="7"/>
        <v>26</v>
      </c>
      <c r="V125" t="s">
        <v>213</v>
      </c>
      <c r="W125" t="s">
        <v>207</v>
      </c>
      <c r="X125" s="13">
        <v>0.1716</v>
      </c>
    </row>
    <row r="126" spans="1:24" x14ac:dyDescent="0.25">
      <c r="A126" t="s">
        <v>389</v>
      </c>
      <c r="B126" t="s">
        <v>64</v>
      </c>
      <c r="C126" t="s">
        <v>349</v>
      </c>
      <c r="D126" t="s">
        <v>113</v>
      </c>
      <c r="E126" t="s">
        <v>75</v>
      </c>
      <c r="F126">
        <v>17</v>
      </c>
      <c r="G126" t="s">
        <v>204</v>
      </c>
      <c r="H126" t="s">
        <v>211</v>
      </c>
      <c r="I126" t="s">
        <v>205</v>
      </c>
      <c r="J126">
        <v>0</v>
      </c>
      <c r="K126">
        <v>0</v>
      </c>
      <c r="L126">
        <v>0</v>
      </c>
      <c r="M126" s="8">
        <v>2</v>
      </c>
      <c r="N126" t="s">
        <v>212</v>
      </c>
      <c r="O126" t="str">
        <f>IF(B126="SP",IF(C126="São Paulo","FRQ001","FRQ002"),VLOOKUP(B126,Premissas!$A$11:$B$28,2,FALSE))</f>
        <v>FRQ006</v>
      </c>
      <c r="P126" t="str">
        <f t="shared" si="4"/>
        <v>Própria</v>
      </c>
      <c r="Q126" s="10">
        <f>VLOOKUP(E126,Premissas!$A$32:$B$35,2,FALSE)</f>
        <v>938</v>
      </c>
      <c r="R126" s="10">
        <f>Q126*(1-Premissas!$B$5)</f>
        <v>745.24099999999999</v>
      </c>
      <c r="S126">
        <f t="shared" si="5"/>
        <v>5</v>
      </c>
      <c r="T126" t="str">
        <f t="shared" si="6"/>
        <v>5. Régua automatizada</v>
      </c>
      <c r="U126">
        <f t="shared" si="7"/>
        <v>6</v>
      </c>
      <c r="V126" t="s">
        <v>213</v>
      </c>
      <c r="W126" t="s">
        <v>207</v>
      </c>
      <c r="X126" s="13">
        <v>0.2402</v>
      </c>
    </row>
    <row r="127" spans="1:24" x14ac:dyDescent="0.25">
      <c r="A127" t="s">
        <v>390</v>
      </c>
      <c r="B127" t="s">
        <v>44</v>
      </c>
      <c r="C127" t="s">
        <v>236</v>
      </c>
      <c r="D127" t="s">
        <v>117</v>
      </c>
      <c r="E127" t="s">
        <v>72</v>
      </c>
      <c r="F127">
        <v>61</v>
      </c>
      <c r="G127" t="s">
        <v>204</v>
      </c>
      <c r="H127" t="s">
        <v>211</v>
      </c>
      <c r="I127" t="s">
        <v>205</v>
      </c>
      <c r="J127">
        <v>0</v>
      </c>
      <c r="K127">
        <v>0</v>
      </c>
      <c r="L127">
        <v>0</v>
      </c>
      <c r="M127" s="8">
        <v>3</v>
      </c>
      <c r="N127" t="s">
        <v>206</v>
      </c>
      <c r="O127" t="str">
        <f>IF(B127="SP",IF(C127="São Paulo","FRQ001","FRQ002"),VLOOKUP(B127,Premissas!$A$11:$B$28,2,FALSE))</f>
        <v>FRQ009</v>
      </c>
      <c r="P127" t="str">
        <f t="shared" si="4"/>
        <v>Própria</v>
      </c>
      <c r="Q127" s="10">
        <f>VLOOKUP(E127,Premissas!$A$32:$B$35,2,FALSE)</f>
        <v>1121</v>
      </c>
      <c r="R127" s="10">
        <f>Q127*(1-Premissas!$B$5)</f>
        <v>890.6345</v>
      </c>
      <c r="S127">
        <f t="shared" si="5"/>
        <v>4</v>
      </c>
      <c r="T127" t="str">
        <f t="shared" si="6"/>
        <v>4. Nutrir (marketing/inbound)</v>
      </c>
      <c r="U127">
        <f t="shared" si="7"/>
        <v>4</v>
      </c>
      <c r="V127" t="s">
        <v>200</v>
      </c>
      <c r="W127" t="s">
        <v>207</v>
      </c>
      <c r="X127" s="13">
        <v>0.40179999999999999</v>
      </c>
    </row>
    <row r="128" spans="1:24" x14ac:dyDescent="0.25">
      <c r="A128" t="s">
        <v>391</v>
      </c>
      <c r="B128" t="s">
        <v>66</v>
      </c>
      <c r="C128" t="s">
        <v>234</v>
      </c>
      <c r="D128" t="s">
        <v>107</v>
      </c>
      <c r="E128" t="s">
        <v>72</v>
      </c>
      <c r="F128">
        <v>29</v>
      </c>
      <c r="G128" t="s">
        <v>196</v>
      </c>
      <c r="H128" t="s">
        <v>211</v>
      </c>
      <c r="I128" t="s">
        <v>205</v>
      </c>
      <c r="J128">
        <v>0</v>
      </c>
      <c r="K128">
        <v>0</v>
      </c>
      <c r="L128">
        <v>0</v>
      </c>
      <c r="M128" s="8">
        <v>3</v>
      </c>
      <c r="N128" t="s">
        <v>206</v>
      </c>
      <c r="O128" t="str">
        <f>IF(B128="SP",IF(C128="São Paulo","FRQ001","FRQ002"),VLOOKUP(B128,Premissas!$A$11:$B$28,2,FALSE))</f>
        <v>FRQ002</v>
      </c>
      <c r="P128" t="str">
        <f t="shared" si="4"/>
        <v>Própria</v>
      </c>
      <c r="Q128" s="10">
        <f>VLOOKUP(E128,Premissas!$A$32:$B$35,2,FALSE)</f>
        <v>1121</v>
      </c>
      <c r="R128" s="10">
        <f>Q128*(1-Premissas!$B$5)</f>
        <v>890.6345</v>
      </c>
      <c r="S128">
        <f t="shared" si="5"/>
        <v>4</v>
      </c>
      <c r="T128" t="str">
        <f t="shared" si="6"/>
        <v>4. Nutrir (marketing/inbound)</v>
      </c>
      <c r="U128">
        <f t="shared" si="7"/>
        <v>9</v>
      </c>
      <c r="V128" t="s">
        <v>200</v>
      </c>
      <c r="W128" t="s">
        <v>207</v>
      </c>
      <c r="X128" s="13">
        <v>0.3387</v>
      </c>
    </row>
    <row r="129" spans="1:24" x14ac:dyDescent="0.25">
      <c r="A129" t="s">
        <v>392</v>
      </c>
      <c r="B129" t="s">
        <v>64</v>
      </c>
      <c r="C129" t="s">
        <v>230</v>
      </c>
      <c r="D129" t="s">
        <v>113</v>
      </c>
      <c r="E129" t="s">
        <v>75</v>
      </c>
      <c r="F129">
        <v>19</v>
      </c>
      <c r="G129" t="s">
        <v>219</v>
      </c>
      <c r="H129" t="s">
        <v>197</v>
      </c>
      <c r="I129" t="s">
        <v>198</v>
      </c>
      <c r="J129">
        <v>2</v>
      </c>
      <c r="K129">
        <v>1</v>
      </c>
      <c r="L129">
        <v>0</v>
      </c>
      <c r="M129" s="8">
        <v>3</v>
      </c>
      <c r="N129" t="s">
        <v>206</v>
      </c>
      <c r="O129" t="str">
        <f>IF(B129="SP",IF(C129="São Paulo","FRQ001","FRQ002"),VLOOKUP(B129,Premissas!$A$11:$B$28,2,FALSE))</f>
        <v>FRQ006</v>
      </c>
      <c r="P129" t="str">
        <f t="shared" si="4"/>
        <v>Própria</v>
      </c>
      <c r="Q129" s="10">
        <f>VLOOKUP(E129,Premissas!$A$32:$B$35,2,FALSE)</f>
        <v>938</v>
      </c>
      <c r="R129" s="10">
        <f>Q129*(1-Premissas!$B$5)</f>
        <v>745.24099999999999</v>
      </c>
      <c r="S129">
        <f t="shared" si="5"/>
        <v>3</v>
      </c>
      <c r="T129" t="str">
        <f t="shared" si="6"/>
        <v>3. Requalificar ou encerrar lead parado</v>
      </c>
      <c r="U129">
        <f t="shared" si="7"/>
        <v>4</v>
      </c>
      <c r="V129" t="s">
        <v>213</v>
      </c>
      <c r="W129" t="s">
        <v>201</v>
      </c>
      <c r="X129" s="13">
        <v>0.10929999999999999</v>
      </c>
    </row>
    <row r="130" spans="1:24" x14ac:dyDescent="0.25">
      <c r="A130" t="s">
        <v>393</v>
      </c>
      <c r="B130" t="s">
        <v>62</v>
      </c>
      <c r="C130" t="s">
        <v>264</v>
      </c>
      <c r="D130" t="s">
        <v>113</v>
      </c>
      <c r="E130" t="s">
        <v>75</v>
      </c>
      <c r="F130">
        <v>9</v>
      </c>
      <c r="G130" t="s">
        <v>196</v>
      </c>
      <c r="H130" t="s">
        <v>211</v>
      </c>
      <c r="I130" t="s">
        <v>205</v>
      </c>
      <c r="J130">
        <v>0</v>
      </c>
      <c r="K130">
        <v>0</v>
      </c>
      <c r="L130">
        <v>0</v>
      </c>
      <c r="M130" s="8">
        <v>1</v>
      </c>
      <c r="N130" t="s">
        <v>212</v>
      </c>
      <c r="O130" t="str">
        <f>IF(B130="SP",IF(C130="São Paulo","FRQ001","FRQ002"),VLOOKUP(B130,Premissas!$A$11:$B$28,2,FALSE))</f>
        <v>FRQ007</v>
      </c>
      <c r="P130" t="str">
        <f t="shared" ref="P130:P193" si="8">IF(O130="Sem franquia","Sem franquia","Própria")</f>
        <v>Própria</v>
      </c>
      <c r="Q130" s="10">
        <f>VLOOKUP(E130,Premissas!$A$32:$B$35,2,FALSE)</f>
        <v>938</v>
      </c>
      <c r="R130" s="10">
        <f>Q130*(1-Premissas!$B$5)</f>
        <v>745.24099999999999</v>
      </c>
      <c r="S130">
        <f t="shared" ref="S130:S193" si="9">IF(J130&gt;=3,1,IF(N130="Alta",2,IF(K130=1,3,IF(N130="Média",4,5))))</f>
        <v>5</v>
      </c>
      <c r="T130" t="str">
        <f t="shared" ref="T130:T193" si="10">CHOOSE(S130,"1. Fechar (lead ativo em Reunião/Proposta)","2. Prospectar tier Alta","3. Requalificar ou encerrar lead parado","4. Nutrir (marketing/inbound)","5. Régua automatizada")</f>
        <v>5. Régua automatizada</v>
      </c>
      <c r="U130">
        <f t="shared" ref="U130:U193" si="11">COUNTIFS($O$2:$O$304,O130,$S$2:$S$304,"&lt;"&amp;S130)+COUNTIFS($O$2:$O$304,O130,$S$2:$S$304,S130,$R$2:$R$304,"&gt;"&amp;R130)+1</f>
        <v>5</v>
      </c>
      <c r="V130" t="s">
        <v>221</v>
      </c>
      <c r="W130" t="s">
        <v>207</v>
      </c>
      <c r="X130" s="13">
        <v>0.24440000000000001</v>
      </c>
    </row>
    <row r="131" spans="1:24" x14ac:dyDescent="0.25">
      <c r="A131" t="s">
        <v>394</v>
      </c>
      <c r="B131" t="s">
        <v>38</v>
      </c>
      <c r="C131" t="s">
        <v>395</v>
      </c>
      <c r="D131" t="s">
        <v>120</v>
      </c>
      <c r="E131" t="s">
        <v>75</v>
      </c>
      <c r="F131">
        <v>8</v>
      </c>
      <c r="G131" t="s">
        <v>196</v>
      </c>
      <c r="H131" t="s">
        <v>211</v>
      </c>
      <c r="I131" t="s">
        <v>205</v>
      </c>
      <c r="J131">
        <v>0</v>
      </c>
      <c r="K131">
        <v>0</v>
      </c>
      <c r="L131">
        <v>0</v>
      </c>
      <c r="M131" s="8">
        <v>1</v>
      </c>
      <c r="N131" t="s">
        <v>212</v>
      </c>
      <c r="O131" t="str">
        <f>IF(B131="SP",IF(C131="São Paulo","FRQ001","FRQ002"),VLOOKUP(B131,Premissas!$A$11:$B$28,2,FALSE))</f>
        <v>FRQ012</v>
      </c>
      <c r="P131" t="str">
        <f t="shared" si="8"/>
        <v>Própria</v>
      </c>
      <c r="Q131" s="10">
        <f>VLOOKUP(E131,Premissas!$A$32:$B$35,2,FALSE)</f>
        <v>938</v>
      </c>
      <c r="R131" s="10">
        <f>Q131*(1-Premissas!$B$5)</f>
        <v>745.24099999999999</v>
      </c>
      <c r="S131">
        <f t="shared" si="9"/>
        <v>5</v>
      </c>
      <c r="T131" t="str">
        <f t="shared" si="10"/>
        <v>5. Régua automatizada</v>
      </c>
      <c r="U131">
        <f t="shared" si="11"/>
        <v>4</v>
      </c>
      <c r="V131" t="s">
        <v>221</v>
      </c>
      <c r="W131" t="s">
        <v>207</v>
      </c>
      <c r="X131" s="13">
        <v>0.24440000000000001</v>
      </c>
    </row>
    <row r="132" spans="1:24" x14ac:dyDescent="0.25">
      <c r="A132" t="s">
        <v>396</v>
      </c>
      <c r="B132" t="s">
        <v>59</v>
      </c>
      <c r="C132" t="s">
        <v>228</v>
      </c>
      <c r="D132" t="s">
        <v>107</v>
      </c>
      <c r="E132" t="s">
        <v>72</v>
      </c>
      <c r="F132">
        <v>29</v>
      </c>
      <c r="G132" t="s">
        <v>196</v>
      </c>
      <c r="H132" t="s">
        <v>226</v>
      </c>
      <c r="I132" t="s">
        <v>205</v>
      </c>
      <c r="J132">
        <v>0</v>
      </c>
      <c r="K132">
        <v>1</v>
      </c>
      <c r="L132">
        <v>0</v>
      </c>
      <c r="M132" s="8">
        <v>3</v>
      </c>
      <c r="N132" t="s">
        <v>206</v>
      </c>
      <c r="O132" t="str">
        <f>IF(B132="SP",IF(C132="São Paulo","FRQ001","FRQ002"),VLOOKUP(B132,Premissas!$A$11:$B$28,2,FALSE))</f>
        <v>FRQ003</v>
      </c>
      <c r="P132" t="str">
        <f t="shared" si="8"/>
        <v>Própria</v>
      </c>
      <c r="Q132" s="10">
        <f>VLOOKUP(E132,Premissas!$A$32:$B$35,2,FALSE)</f>
        <v>1121</v>
      </c>
      <c r="R132" s="10">
        <f>Q132*(1-Premissas!$B$5)</f>
        <v>890.6345</v>
      </c>
      <c r="S132">
        <f t="shared" si="9"/>
        <v>3</v>
      </c>
      <c r="T132" t="str">
        <f t="shared" si="10"/>
        <v>3. Requalificar ou encerrar lead parado</v>
      </c>
      <c r="U132">
        <f t="shared" si="11"/>
        <v>9</v>
      </c>
      <c r="V132" t="s">
        <v>200</v>
      </c>
      <c r="W132" t="s">
        <v>207</v>
      </c>
      <c r="X132" s="13">
        <v>0.44169999999999998</v>
      </c>
    </row>
    <row r="133" spans="1:24" x14ac:dyDescent="0.25">
      <c r="A133" t="s">
        <v>397</v>
      </c>
      <c r="B133" t="s">
        <v>59</v>
      </c>
      <c r="C133" t="s">
        <v>228</v>
      </c>
      <c r="D133" t="s">
        <v>107</v>
      </c>
      <c r="E133" t="s">
        <v>72</v>
      </c>
      <c r="F133">
        <v>77</v>
      </c>
      <c r="G133" t="s">
        <v>237</v>
      </c>
      <c r="H133" t="s">
        <v>211</v>
      </c>
      <c r="I133" t="s">
        <v>205</v>
      </c>
      <c r="J133">
        <v>0</v>
      </c>
      <c r="K133">
        <v>0</v>
      </c>
      <c r="L133">
        <v>1</v>
      </c>
      <c r="M133" s="8">
        <v>3</v>
      </c>
      <c r="N133" t="s">
        <v>206</v>
      </c>
      <c r="O133" t="str">
        <f>IF(B133="SP",IF(C133="São Paulo","FRQ001","FRQ002"),VLOOKUP(B133,Premissas!$A$11:$B$28,2,FALSE))</f>
        <v>FRQ003</v>
      </c>
      <c r="P133" t="str">
        <f t="shared" si="8"/>
        <v>Própria</v>
      </c>
      <c r="Q133" s="10">
        <f>VLOOKUP(E133,Premissas!$A$32:$B$35,2,FALSE)</f>
        <v>1121</v>
      </c>
      <c r="R133" s="10">
        <f>Q133*(1-Premissas!$B$5)</f>
        <v>890.6345</v>
      </c>
      <c r="S133">
        <f t="shared" si="9"/>
        <v>4</v>
      </c>
      <c r="T133" t="str">
        <f t="shared" si="10"/>
        <v>4. Nutrir (marketing/inbound)</v>
      </c>
      <c r="U133">
        <f t="shared" si="11"/>
        <v>14</v>
      </c>
      <c r="V133" t="s">
        <v>200</v>
      </c>
      <c r="W133" t="s">
        <v>207</v>
      </c>
      <c r="X133" s="13">
        <v>0.54620000000000002</v>
      </c>
    </row>
    <row r="134" spans="1:24" x14ac:dyDescent="0.25">
      <c r="A134" t="s">
        <v>398</v>
      </c>
      <c r="B134" t="s">
        <v>59</v>
      </c>
      <c r="C134" t="s">
        <v>228</v>
      </c>
      <c r="D134" t="s">
        <v>107</v>
      </c>
      <c r="E134" t="s">
        <v>72</v>
      </c>
      <c r="F134">
        <v>26</v>
      </c>
      <c r="G134" t="s">
        <v>204</v>
      </c>
      <c r="H134" t="s">
        <v>211</v>
      </c>
      <c r="I134" t="s">
        <v>205</v>
      </c>
      <c r="J134">
        <v>0</v>
      </c>
      <c r="K134">
        <v>0</v>
      </c>
      <c r="L134">
        <v>0</v>
      </c>
      <c r="M134" s="8">
        <v>3</v>
      </c>
      <c r="N134" t="s">
        <v>206</v>
      </c>
      <c r="O134" t="str">
        <f>IF(B134="SP",IF(C134="São Paulo","FRQ001","FRQ002"),VLOOKUP(B134,Premissas!$A$11:$B$28,2,FALSE))</f>
        <v>FRQ003</v>
      </c>
      <c r="P134" t="str">
        <f t="shared" si="8"/>
        <v>Própria</v>
      </c>
      <c r="Q134" s="10">
        <f>VLOOKUP(E134,Premissas!$A$32:$B$35,2,FALSE)</f>
        <v>1121</v>
      </c>
      <c r="R134" s="10">
        <f>Q134*(1-Premissas!$B$5)</f>
        <v>890.6345</v>
      </c>
      <c r="S134">
        <f t="shared" si="9"/>
        <v>4</v>
      </c>
      <c r="T134" t="str">
        <f t="shared" si="10"/>
        <v>4. Nutrir (marketing/inbound)</v>
      </c>
      <c r="U134">
        <f t="shared" si="11"/>
        <v>14</v>
      </c>
      <c r="V134" t="s">
        <v>200</v>
      </c>
      <c r="W134" t="s">
        <v>207</v>
      </c>
      <c r="X134" s="13">
        <v>0.36880000000000002</v>
      </c>
    </row>
    <row r="135" spans="1:24" x14ac:dyDescent="0.25">
      <c r="A135" t="s">
        <v>399</v>
      </c>
      <c r="B135" t="s">
        <v>51</v>
      </c>
      <c r="C135" t="s">
        <v>326</v>
      </c>
      <c r="D135" t="s">
        <v>117</v>
      </c>
      <c r="E135" t="s">
        <v>75</v>
      </c>
      <c r="F135">
        <v>19</v>
      </c>
      <c r="G135" t="s">
        <v>216</v>
      </c>
      <c r="H135" t="s">
        <v>211</v>
      </c>
      <c r="I135" t="s">
        <v>205</v>
      </c>
      <c r="J135">
        <v>0</v>
      </c>
      <c r="K135">
        <v>0</v>
      </c>
      <c r="L135">
        <v>0</v>
      </c>
      <c r="M135" s="8">
        <v>2</v>
      </c>
      <c r="N135" t="s">
        <v>212</v>
      </c>
      <c r="O135" t="str">
        <f>IF(B135="SP",IF(C135="São Paulo","FRQ001","FRQ002"),VLOOKUP(B135,Premissas!$A$11:$B$28,2,FALSE))</f>
        <v>Sem franquia</v>
      </c>
      <c r="P135" t="str">
        <f t="shared" si="8"/>
        <v>Sem franquia</v>
      </c>
      <c r="Q135" s="10">
        <f>VLOOKUP(E135,Premissas!$A$32:$B$35,2,FALSE)</f>
        <v>938</v>
      </c>
      <c r="R135" s="10">
        <f>Q135*(1-Premissas!$B$5)</f>
        <v>745.24099999999999</v>
      </c>
      <c r="S135">
        <f t="shared" si="9"/>
        <v>5</v>
      </c>
      <c r="T135" t="str">
        <f t="shared" si="10"/>
        <v>5. Régua automatizada</v>
      </c>
      <c r="U135">
        <f t="shared" si="11"/>
        <v>18</v>
      </c>
      <c r="V135" t="s">
        <v>213</v>
      </c>
      <c r="W135" t="s">
        <v>207</v>
      </c>
      <c r="X135" s="13">
        <v>0.12759999999999999</v>
      </c>
    </row>
    <row r="136" spans="1:24" x14ac:dyDescent="0.25">
      <c r="A136" t="s">
        <v>400</v>
      </c>
      <c r="B136" t="s">
        <v>66</v>
      </c>
      <c r="C136" t="s">
        <v>225</v>
      </c>
      <c r="D136" t="s">
        <v>107</v>
      </c>
      <c r="E136" t="s">
        <v>75</v>
      </c>
      <c r="F136">
        <v>17</v>
      </c>
      <c r="G136" t="s">
        <v>210</v>
      </c>
      <c r="H136" t="s">
        <v>197</v>
      </c>
      <c r="I136" t="s">
        <v>205</v>
      </c>
      <c r="J136">
        <v>0</v>
      </c>
      <c r="K136">
        <v>1</v>
      </c>
      <c r="L136">
        <v>0</v>
      </c>
      <c r="M136" s="8">
        <v>2</v>
      </c>
      <c r="N136" t="s">
        <v>212</v>
      </c>
      <c r="O136" t="str">
        <f>IF(B136="SP",IF(C136="São Paulo","FRQ001","FRQ002"),VLOOKUP(B136,Premissas!$A$11:$B$28,2,FALSE))</f>
        <v>FRQ002</v>
      </c>
      <c r="P136" t="str">
        <f t="shared" si="8"/>
        <v>Própria</v>
      </c>
      <c r="Q136" s="10">
        <f>VLOOKUP(E136,Premissas!$A$32:$B$35,2,FALSE)</f>
        <v>938</v>
      </c>
      <c r="R136" s="10">
        <f>Q136*(1-Premissas!$B$5)</f>
        <v>745.24099999999999</v>
      </c>
      <c r="S136">
        <f t="shared" si="9"/>
        <v>3</v>
      </c>
      <c r="T136" t="str">
        <f t="shared" si="10"/>
        <v>3. Requalificar ou encerrar lead parado</v>
      </c>
      <c r="U136">
        <f t="shared" si="11"/>
        <v>5</v>
      </c>
      <c r="V136" t="s">
        <v>213</v>
      </c>
      <c r="W136" t="s">
        <v>207</v>
      </c>
      <c r="X136" s="13">
        <v>9.64E-2</v>
      </c>
    </row>
    <row r="137" spans="1:24" x14ac:dyDescent="0.25">
      <c r="A137" t="s">
        <v>401</v>
      </c>
      <c r="B137" t="s">
        <v>42</v>
      </c>
      <c r="C137" t="s">
        <v>329</v>
      </c>
      <c r="D137" t="s">
        <v>107</v>
      </c>
      <c r="E137" t="s">
        <v>72</v>
      </c>
      <c r="F137">
        <v>22</v>
      </c>
      <c r="G137" t="s">
        <v>243</v>
      </c>
      <c r="H137" t="s">
        <v>197</v>
      </c>
      <c r="I137" t="s">
        <v>205</v>
      </c>
      <c r="J137">
        <v>0</v>
      </c>
      <c r="K137">
        <v>1</v>
      </c>
      <c r="L137">
        <v>0</v>
      </c>
      <c r="M137" s="8">
        <v>2</v>
      </c>
      <c r="N137" t="s">
        <v>212</v>
      </c>
      <c r="O137" t="str">
        <f>IF(B137="SP",IF(C137="São Paulo","FRQ001","FRQ002"),VLOOKUP(B137,Premissas!$A$11:$B$28,2,FALSE))</f>
        <v>FRQ015</v>
      </c>
      <c r="P137" t="str">
        <f t="shared" si="8"/>
        <v>Própria</v>
      </c>
      <c r="Q137" s="10">
        <f>VLOOKUP(E137,Premissas!$A$32:$B$35,2,FALSE)</f>
        <v>1121</v>
      </c>
      <c r="R137" s="10">
        <f>Q137*(1-Premissas!$B$5)</f>
        <v>890.6345</v>
      </c>
      <c r="S137">
        <f t="shared" si="9"/>
        <v>3</v>
      </c>
      <c r="T137" t="str">
        <f t="shared" si="10"/>
        <v>3. Requalificar ou encerrar lead parado</v>
      </c>
      <c r="U137">
        <f t="shared" si="11"/>
        <v>1</v>
      </c>
      <c r="V137" t="s">
        <v>213</v>
      </c>
      <c r="W137" t="s">
        <v>207</v>
      </c>
      <c r="X137" s="13">
        <v>0.42409999999999998</v>
      </c>
    </row>
    <row r="138" spans="1:24" x14ac:dyDescent="0.25">
      <c r="A138" t="s">
        <v>402</v>
      </c>
      <c r="B138" t="s">
        <v>61</v>
      </c>
      <c r="C138" t="s">
        <v>295</v>
      </c>
      <c r="D138" t="s">
        <v>124</v>
      </c>
      <c r="E138" t="s">
        <v>75</v>
      </c>
      <c r="F138">
        <v>7</v>
      </c>
      <c r="G138" t="s">
        <v>219</v>
      </c>
      <c r="H138" t="s">
        <v>211</v>
      </c>
      <c r="I138" t="s">
        <v>205</v>
      </c>
      <c r="J138">
        <v>0</v>
      </c>
      <c r="K138">
        <v>0</v>
      </c>
      <c r="L138">
        <v>0</v>
      </c>
      <c r="M138" s="8">
        <v>1</v>
      </c>
      <c r="N138" t="s">
        <v>212</v>
      </c>
      <c r="O138" t="str">
        <f>IF(B138="SP",IF(C138="São Paulo","FRQ001","FRQ002"),VLOOKUP(B138,Premissas!$A$11:$B$28,2,FALSE))</f>
        <v>Sem franquia</v>
      </c>
      <c r="P138" t="str">
        <f t="shared" si="8"/>
        <v>Sem franquia</v>
      </c>
      <c r="Q138" s="10">
        <f>VLOOKUP(E138,Premissas!$A$32:$B$35,2,FALSE)</f>
        <v>938</v>
      </c>
      <c r="R138" s="10">
        <f>Q138*(1-Premissas!$B$5)</f>
        <v>745.24099999999999</v>
      </c>
      <c r="S138">
        <f t="shared" si="9"/>
        <v>5</v>
      </c>
      <c r="T138" t="str">
        <f t="shared" si="10"/>
        <v>5. Régua automatizada</v>
      </c>
      <c r="U138">
        <f t="shared" si="11"/>
        <v>18</v>
      </c>
      <c r="V138" t="s">
        <v>221</v>
      </c>
      <c r="W138" t="s">
        <v>207</v>
      </c>
      <c r="X138" s="13">
        <v>0.1094</v>
      </c>
    </row>
    <row r="139" spans="1:24" x14ac:dyDescent="0.25">
      <c r="A139" t="s">
        <v>403</v>
      </c>
      <c r="B139" t="s">
        <v>55</v>
      </c>
      <c r="C139" t="s">
        <v>281</v>
      </c>
      <c r="D139" t="s">
        <v>120</v>
      </c>
      <c r="E139" t="s">
        <v>72</v>
      </c>
      <c r="F139">
        <v>74</v>
      </c>
      <c r="G139" t="s">
        <v>204</v>
      </c>
      <c r="H139" t="s">
        <v>211</v>
      </c>
      <c r="I139" t="s">
        <v>205</v>
      </c>
      <c r="J139">
        <v>0</v>
      </c>
      <c r="K139">
        <v>0</v>
      </c>
      <c r="L139">
        <v>1</v>
      </c>
      <c r="M139" s="8">
        <v>3</v>
      </c>
      <c r="N139" t="s">
        <v>206</v>
      </c>
      <c r="O139" t="str">
        <f>IF(B139="SP",IF(C139="São Paulo","FRQ001","FRQ002"),VLOOKUP(B139,Premissas!$A$11:$B$28,2,FALSE))</f>
        <v>FRQ011</v>
      </c>
      <c r="P139" t="str">
        <f t="shared" si="8"/>
        <v>Própria</v>
      </c>
      <c r="Q139" s="10">
        <f>VLOOKUP(E139,Premissas!$A$32:$B$35,2,FALSE)</f>
        <v>1121</v>
      </c>
      <c r="R139" s="10">
        <f>Q139*(1-Premissas!$B$5)</f>
        <v>890.6345</v>
      </c>
      <c r="S139">
        <f t="shared" si="9"/>
        <v>4</v>
      </c>
      <c r="T139" t="str">
        <f t="shared" si="10"/>
        <v>4. Nutrir (marketing/inbound)</v>
      </c>
      <c r="U139">
        <f t="shared" si="11"/>
        <v>7</v>
      </c>
      <c r="V139" t="s">
        <v>200</v>
      </c>
      <c r="W139" t="s">
        <v>207</v>
      </c>
      <c r="X139" s="13">
        <v>0.50490000000000002</v>
      </c>
    </row>
    <row r="140" spans="1:24" x14ac:dyDescent="0.25">
      <c r="A140" t="s">
        <v>404</v>
      </c>
      <c r="B140" t="s">
        <v>55</v>
      </c>
      <c r="C140" t="s">
        <v>291</v>
      </c>
      <c r="D140" t="s">
        <v>120</v>
      </c>
      <c r="E140" t="s">
        <v>75</v>
      </c>
      <c r="F140">
        <v>24</v>
      </c>
      <c r="G140" t="s">
        <v>196</v>
      </c>
      <c r="H140" t="s">
        <v>197</v>
      </c>
      <c r="I140" t="s">
        <v>220</v>
      </c>
      <c r="J140">
        <v>1</v>
      </c>
      <c r="K140">
        <v>0</v>
      </c>
      <c r="L140">
        <v>0</v>
      </c>
      <c r="M140" s="8">
        <v>3</v>
      </c>
      <c r="N140" t="s">
        <v>206</v>
      </c>
      <c r="O140" t="str">
        <f>IF(B140="SP",IF(C140="São Paulo","FRQ001","FRQ002"),VLOOKUP(B140,Premissas!$A$11:$B$28,2,FALSE))</f>
        <v>FRQ011</v>
      </c>
      <c r="P140" t="str">
        <f t="shared" si="8"/>
        <v>Própria</v>
      </c>
      <c r="Q140" s="10">
        <f>VLOOKUP(E140,Premissas!$A$32:$B$35,2,FALSE)</f>
        <v>938</v>
      </c>
      <c r="R140" s="10">
        <f>Q140*(1-Premissas!$B$5)</f>
        <v>745.24099999999999</v>
      </c>
      <c r="S140">
        <f t="shared" si="9"/>
        <v>4</v>
      </c>
      <c r="T140" t="str">
        <f t="shared" si="10"/>
        <v>4. Nutrir (marketing/inbound)</v>
      </c>
      <c r="U140">
        <f t="shared" si="11"/>
        <v>13</v>
      </c>
      <c r="V140" t="s">
        <v>213</v>
      </c>
      <c r="W140" t="s">
        <v>201</v>
      </c>
      <c r="X140" s="13">
        <v>0.20580000000000001</v>
      </c>
    </row>
    <row r="141" spans="1:24" x14ac:dyDescent="0.25">
      <c r="A141" t="s">
        <v>405</v>
      </c>
      <c r="B141" t="s">
        <v>49</v>
      </c>
      <c r="C141" t="s">
        <v>253</v>
      </c>
      <c r="D141" t="s">
        <v>107</v>
      </c>
      <c r="E141" t="s">
        <v>75</v>
      </c>
      <c r="F141">
        <v>12</v>
      </c>
      <c r="G141" t="s">
        <v>196</v>
      </c>
      <c r="H141" t="s">
        <v>211</v>
      </c>
      <c r="I141" t="s">
        <v>205</v>
      </c>
      <c r="J141">
        <v>0</v>
      </c>
      <c r="K141">
        <v>0</v>
      </c>
      <c r="L141">
        <v>0</v>
      </c>
      <c r="M141" s="8">
        <v>1</v>
      </c>
      <c r="N141" t="s">
        <v>212</v>
      </c>
      <c r="O141" t="str">
        <f>IF(B141="SP",IF(C141="São Paulo","FRQ001","FRQ002"),VLOOKUP(B141,Premissas!$A$11:$B$28,2,FALSE))</f>
        <v>FRQ004</v>
      </c>
      <c r="P141" t="str">
        <f t="shared" si="8"/>
        <v>Própria</v>
      </c>
      <c r="Q141" s="10">
        <f>VLOOKUP(E141,Premissas!$A$32:$B$35,2,FALSE)</f>
        <v>938</v>
      </c>
      <c r="R141" s="10">
        <f>Q141*(1-Premissas!$B$5)</f>
        <v>745.24099999999999</v>
      </c>
      <c r="S141">
        <f t="shared" si="9"/>
        <v>5</v>
      </c>
      <c r="T141" t="str">
        <f t="shared" si="10"/>
        <v>5. Régua automatizada</v>
      </c>
      <c r="U141">
        <f t="shared" si="11"/>
        <v>20</v>
      </c>
      <c r="V141" t="s">
        <v>221</v>
      </c>
      <c r="W141" t="s">
        <v>207</v>
      </c>
      <c r="X141" s="13">
        <v>0.1759</v>
      </c>
    </row>
    <row r="142" spans="1:24" x14ac:dyDescent="0.25">
      <c r="A142" t="s">
        <v>406</v>
      </c>
      <c r="B142" t="s">
        <v>44</v>
      </c>
      <c r="C142" t="s">
        <v>308</v>
      </c>
      <c r="D142" t="s">
        <v>117</v>
      </c>
      <c r="E142" t="s">
        <v>72</v>
      </c>
      <c r="F142">
        <v>47</v>
      </c>
      <c r="G142" t="s">
        <v>243</v>
      </c>
      <c r="H142" t="s">
        <v>197</v>
      </c>
      <c r="I142" t="s">
        <v>205</v>
      </c>
      <c r="J142">
        <v>0</v>
      </c>
      <c r="K142">
        <v>1</v>
      </c>
      <c r="L142">
        <v>0</v>
      </c>
      <c r="M142" s="8">
        <v>3</v>
      </c>
      <c r="N142" t="s">
        <v>206</v>
      </c>
      <c r="O142" t="str">
        <f>IF(B142="SP",IF(C142="São Paulo","FRQ001","FRQ002"),VLOOKUP(B142,Premissas!$A$11:$B$28,2,FALSE))</f>
        <v>FRQ009</v>
      </c>
      <c r="P142" t="str">
        <f t="shared" si="8"/>
        <v>Própria</v>
      </c>
      <c r="Q142" s="10">
        <f>VLOOKUP(E142,Premissas!$A$32:$B$35,2,FALSE)</f>
        <v>1121</v>
      </c>
      <c r="R142" s="10">
        <f>Q142*(1-Premissas!$B$5)</f>
        <v>890.6345</v>
      </c>
      <c r="S142">
        <f t="shared" si="9"/>
        <v>3</v>
      </c>
      <c r="T142" t="str">
        <f t="shared" si="10"/>
        <v>3. Requalificar ou encerrar lead parado</v>
      </c>
      <c r="U142">
        <f t="shared" si="11"/>
        <v>1</v>
      </c>
      <c r="V142" t="s">
        <v>200</v>
      </c>
      <c r="W142" t="s">
        <v>207</v>
      </c>
      <c r="X142" s="13">
        <v>0.49259999999999998</v>
      </c>
    </row>
    <row r="143" spans="1:24" x14ac:dyDescent="0.25">
      <c r="A143" t="s">
        <v>407</v>
      </c>
      <c r="B143" t="s">
        <v>53</v>
      </c>
      <c r="C143" t="s">
        <v>408</v>
      </c>
      <c r="D143" t="s">
        <v>124</v>
      </c>
      <c r="E143" t="s">
        <v>75</v>
      </c>
      <c r="F143">
        <v>9</v>
      </c>
      <c r="G143" t="s">
        <v>196</v>
      </c>
      <c r="H143" t="s">
        <v>211</v>
      </c>
      <c r="I143" t="s">
        <v>205</v>
      </c>
      <c r="J143">
        <v>0</v>
      </c>
      <c r="K143">
        <v>0</v>
      </c>
      <c r="L143">
        <v>0</v>
      </c>
      <c r="M143" s="8">
        <v>1</v>
      </c>
      <c r="N143" t="s">
        <v>212</v>
      </c>
      <c r="O143" t="str">
        <f>IF(B143="SP",IF(C143="São Paulo","FRQ001","FRQ002"),VLOOKUP(B143,Premissas!$A$11:$B$28,2,FALSE))</f>
        <v>FRQ014</v>
      </c>
      <c r="P143" t="str">
        <f t="shared" si="8"/>
        <v>Própria</v>
      </c>
      <c r="Q143" s="10">
        <f>VLOOKUP(E143,Premissas!$A$32:$B$35,2,FALSE)</f>
        <v>938</v>
      </c>
      <c r="R143" s="10">
        <f>Q143*(1-Premissas!$B$5)</f>
        <v>745.24099999999999</v>
      </c>
      <c r="S143">
        <f t="shared" si="9"/>
        <v>5</v>
      </c>
      <c r="T143" t="str">
        <f t="shared" si="10"/>
        <v>5. Régua automatizada</v>
      </c>
      <c r="U143">
        <f t="shared" si="11"/>
        <v>2</v>
      </c>
      <c r="V143" t="s">
        <v>221</v>
      </c>
      <c r="W143" t="s">
        <v>207</v>
      </c>
      <c r="X143" s="13">
        <v>0.1759</v>
      </c>
    </row>
    <row r="144" spans="1:24" x14ac:dyDescent="0.25">
      <c r="A144" t="s">
        <v>409</v>
      </c>
      <c r="B144" t="s">
        <v>38</v>
      </c>
      <c r="C144" t="s">
        <v>395</v>
      </c>
      <c r="D144" t="s">
        <v>120</v>
      </c>
      <c r="E144" t="s">
        <v>75</v>
      </c>
      <c r="F144">
        <v>25</v>
      </c>
      <c r="G144" t="s">
        <v>196</v>
      </c>
      <c r="H144" t="s">
        <v>211</v>
      </c>
      <c r="I144" t="s">
        <v>205</v>
      </c>
      <c r="J144">
        <v>0</v>
      </c>
      <c r="K144">
        <v>0</v>
      </c>
      <c r="L144">
        <v>0</v>
      </c>
      <c r="M144" s="8">
        <v>3</v>
      </c>
      <c r="N144" t="s">
        <v>206</v>
      </c>
      <c r="O144" t="str">
        <f>IF(B144="SP",IF(C144="São Paulo","FRQ001","FRQ002"),VLOOKUP(B144,Premissas!$A$11:$B$28,2,FALSE))</f>
        <v>FRQ012</v>
      </c>
      <c r="P144" t="str">
        <f t="shared" si="8"/>
        <v>Própria</v>
      </c>
      <c r="Q144" s="10">
        <f>VLOOKUP(E144,Premissas!$A$32:$B$35,2,FALSE)</f>
        <v>938</v>
      </c>
      <c r="R144" s="10">
        <f>Q144*(1-Premissas!$B$5)</f>
        <v>745.24099999999999</v>
      </c>
      <c r="S144">
        <f t="shared" si="9"/>
        <v>4</v>
      </c>
      <c r="T144" t="str">
        <f t="shared" si="10"/>
        <v>4. Nutrir (marketing/inbound)</v>
      </c>
      <c r="U144">
        <f t="shared" si="11"/>
        <v>3</v>
      </c>
      <c r="V144" t="s">
        <v>200</v>
      </c>
      <c r="W144" t="s">
        <v>207</v>
      </c>
      <c r="X144" s="13">
        <v>0.27439999999999998</v>
      </c>
    </row>
    <row r="145" spans="1:24" x14ac:dyDescent="0.25">
      <c r="A145" t="s">
        <v>410</v>
      </c>
      <c r="B145" t="s">
        <v>66</v>
      </c>
      <c r="C145" t="s">
        <v>223</v>
      </c>
      <c r="D145" t="s">
        <v>107</v>
      </c>
      <c r="E145" t="s">
        <v>75</v>
      </c>
      <c r="F145">
        <v>20</v>
      </c>
      <c r="G145" t="s">
        <v>216</v>
      </c>
      <c r="H145" t="s">
        <v>211</v>
      </c>
      <c r="I145" t="s">
        <v>205</v>
      </c>
      <c r="J145">
        <v>0</v>
      </c>
      <c r="K145">
        <v>0</v>
      </c>
      <c r="L145">
        <v>0</v>
      </c>
      <c r="M145" s="8">
        <v>2</v>
      </c>
      <c r="N145" t="s">
        <v>212</v>
      </c>
      <c r="O145" t="str">
        <f>IF(B145="SP",IF(C145="São Paulo","FRQ001","FRQ002"),VLOOKUP(B145,Premissas!$A$11:$B$28,2,FALSE))</f>
        <v>FRQ001</v>
      </c>
      <c r="P145" t="str">
        <f t="shared" si="8"/>
        <v>Própria</v>
      </c>
      <c r="Q145" s="10">
        <f>VLOOKUP(E145,Premissas!$A$32:$B$35,2,FALSE)</f>
        <v>938</v>
      </c>
      <c r="R145" s="10">
        <f>Q145*(1-Premissas!$B$5)</f>
        <v>745.24099999999999</v>
      </c>
      <c r="S145">
        <f t="shared" si="9"/>
        <v>5</v>
      </c>
      <c r="T145" t="str">
        <f t="shared" si="10"/>
        <v>5. Régua automatizada</v>
      </c>
      <c r="U145">
        <f t="shared" si="11"/>
        <v>3</v>
      </c>
      <c r="V145" t="s">
        <v>213</v>
      </c>
      <c r="W145" t="s">
        <v>207</v>
      </c>
      <c r="X145" s="13">
        <v>0.2261</v>
      </c>
    </row>
    <row r="146" spans="1:24" x14ac:dyDescent="0.25">
      <c r="A146" t="s">
        <v>411</v>
      </c>
      <c r="B146" t="s">
        <v>66</v>
      </c>
      <c r="C146" t="s">
        <v>225</v>
      </c>
      <c r="D146" t="s">
        <v>107</v>
      </c>
      <c r="E146" t="s">
        <v>75</v>
      </c>
      <c r="F146">
        <v>4</v>
      </c>
      <c r="G146" t="s">
        <v>204</v>
      </c>
      <c r="H146" t="s">
        <v>211</v>
      </c>
      <c r="I146" t="s">
        <v>205</v>
      </c>
      <c r="J146">
        <v>0</v>
      </c>
      <c r="K146">
        <v>0</v>
      </c>
      <c r="L146">
        <v>0</v>
      </c>
      <c r="M146" s="8">
        <v>1</v>
      </c>
      <c r="N146" t="s">
        <v>212</v>
      </c>
      <c r="O146" t="str">
        <f>IF(B146="SP",IF(C146="São Paulo","FRQ001","FRQ002"),VLOOKUP(B146,Premissas!$A$11:$B$28,2,FALSE))</f>
        <v>FRQ002</v>
      </c>
      <c r="P146" t="str">
        <f t="shared" si="8"/>
        <v>Própria</v>
      </c>
      <c r="Q146" s="10">
        <f>VLOOKUP(E146,Premissas!$A$32:$B$35,2,FALSE)</f>
        <v>938</v>
      </c>
      <c r="R146" s="10">
        <f>Q146*(1-Premissas!$B$5)</f>
        <v>745.24099999999999</v>
      </c>
      <c r="S146">
        <f t="shared" si="9"/>
        <v>5</v>
      </c>
      <c r="T146" t="str">
        <f t="shared" si="10"/>
        <v>5. Régua automatizada</v>
      </c>
      <c r="U146">
        <f t="shared" si="11"/>
        <v>26</v>
      </c>
      <c r="V146" t="s">
        <v>221</v>
      </c>
      <c r="W146" t="s">
        <v>207</v>
      </c>
      <c r="X146" s="13">
        <v>0.17169999999999999</v>
      </c>
    </row>
    <row r="147" spans="1:24" x14ac:dyDescent="0.25">
      <c r="A147" t="s">
        <v>412</v>
      </c>
      <c r="B147" t="s">
        <v>59</v>
      </c>
      <c r="C147" t="s">
        <v>228</v>
      </c>
      <c r="D147" t="s">
        <v>107</v>
      </c>
      <c r="E147" t="s">
        <v>75</v>
      </c>
      <c r="F147">
        <v>18</v>
      </c>
      <c r="G147" t="s">
        <v>219</v>
      </c>
      <c r="H147" t="s">
        <v>211</v>
      </c>
      <c r="I147" t="s">
        <v>205</v>
      </c>
      <c r="J147">
        <v>0</v>
      </c>
      <c r="K147">
        <v>0</v>
      </c>
      <c r="L147">
        <v>0</v>
      </c>
      <c r="M147" s="8">
        <v>2</v>
      </c>
      <c r="N147" t="s">
        <v>212</v>
      </c>
      <c r="O147" t="str">
        <f>IF(B147="SP",IF(C147="São Paulo","FRQ001","FRQ002"),VLOOKUP(B147,Premissas!$A$11:$B$28,2,FALSE))</f>
        <v>FRQ003</v>
      </c>
      <c r="P147" t="str">
        <f t="shared" si="8"/>
        <v>Própria</v>
      </c>
      <c r="Q147" s="10">
        <f>VLOOKUP(E147,Premissas!$A$32:$B$35,2,FALSE)</f>
        <v>938</v>
      </c>
      <c r="R147" s="10">
        <f>Q147*(1-Premissas!$B$5)</f>
        <v>745.24099999999999</v>
      </c>
      <c r="S147">
        <f t="shared" si="9"/>
        <v>5</v>
      </c>
      <c r="T147" t="str">
        <f t="shared" si="10"/>
        <v>5. Régua automatizada</v>
      </c>
      <c r="U147">
        <f t="shared" si="11"/>
        <v>31</v>
      </c>
      <c r="V147" t="s">
        <v>213</v>
      </c>
      <c r="W147" t="s">
        <v>207</v>
      </c>
      <c r="X147" s="13">
        <v>0.10929999999999999</v>
      </c>
    </row>
    <row r="148" spans="1:24" x14ac:dyDescent="0.25">
      <c r="A148" t="s">
        <v>413</v>
      </c>
      <c r="B148" t="s">
        <v>66</v>
      </c>
      <c r="C148" t="s">
        <v>223</v>
      </c>
      <c r="D148" t="s">
        <v>107</v>
      </c>
      <c r="E148" t="s">
        <v>75</v>
      </c>
      <c r="F148">
        <v>16</v>
      </c>
      <c r="G148" t="s">
        <v>204</v>
      </c>
      <c r="H148" t="s">
        <v>197</v>
      </c>
      <c r="I148" t="s">
        <v>205</v>
      </c>
      <c r="J148">
        <v>0</v>
      </c>
      <c r="K148">
        <v>1</v>
      </c>
      <c r="L148">
        <v>0</v>
      </c>
      <c r="M148" s="8">
        <v>2</v>
      </c>
      <c r="N148" t="s">
        <v>212</v>
      </c>
      <c r="O148" t="str">
        <f>IF(B148="SP",IF(C148="São Paulo","FRQ001","FRQ002"),VLOOKUP(B148,Premissas!$A$11:$B$28,2,FALSE))</f>
        <v>FRQ001</v>
      </c>
      <c r="P148" t="str">
        <f t="shared" si="8"/>
        <v>Própria</v>
      </c>
      <c r="Q148" s="10">
        <f>VLOOKUP(E148,Premissas!$A$32:$B$35,2,FALSE)</f>
        <v>938</v>
      </c>
      <c r="R148" s="10">
        <f>Q148*(1-Premissas!$B$5)</f>
        <v>745.24099999999999</v>
      </c>
      <c r="S148">
        <f t="shared" si="9"/>
        <v>3</v>
      </c>
      <c r="T148" t="str">
        <f t="shared" si="10"/>
        <v>3. Requalificar ou encerrar lead parado</v>
      </c>
      <c r="U148">
        <f t="shared" si="11"/>
        <v>2</v>
      </c>
      <c r="V148" t="s">
        <v>213</v>
      </c>
      <c r="W148" t="s">
        <v>207</v>
      </c>
      <c r="X148" s="13">
        <v>0.2402</v>
      </c>
    </row>
    <row r="149" spans="1:24" x14ac:dyDescent="0.25">
      <c r="A149" t="s">
        <v>414</v>
      </c>
      <c r="B149" t="s">
        <v>62</v>
      </c>
      <c r="C149" t="s">
        <v>311</v>
      </c>
      <c r="D149" t="s">
        <v>113</v>
      </c>
      <c r="E149" t="s">
        <v>75</v>
      </c>
      <c r="F149">
        <v>8</v>
      </c>
      <c r="G149" t="s">
        <v>196</v>
      </c>
      <c r="H149" t="s">
        <v>197</v>
      </c>
      <c r="I149" t="s">
        <v>220</v>
      </c>
      <c r="J149">
        <v>1</v>
      </c>
      <c r="K149">
        <v>0</v>
      </c>
      <c r="L149">
        <v>0</v>
      </c>
      <c r="M149" s="8">
        <v>2</v>
      </c>
      <c r="N149" t="s">
        <v>212</v>
      </c>
      <c r="O149" t="str">
        <f>IF(B149="SP",IF(C149="São Paulo","FRQ001","FRQ002"),VLOOKUP(B149,Premissas!$A$11:$B$28,2,FALSE))</f>
        <v>FRQ007</v>
      </c>
      <c r="P149" t="str">
        <f t="shared" si="8"/>
        <v>Própria</v>
      </c>
      <c r="Q149" s="10">
        <f>VLOOKUP(E149,Premissas!$A$32:$B$35,2,FALSE)</f>
        <v>938</v>
      </c>
      <c r="R149" s="10">
        <f>Q149*(1-Premissas!$B$5)</f>
        <v>745.24099999999999</v>
      </c>
      <c r="S149">
        <f t="shared" si="9"/>
        <v>5</v>
      </c>
      <c r="T149" t="str">
        <f t="shared" si="10"/>
        <v>5. Régua automatizada</v>
      </c>
      <c r="U149">
        <f t="shared" si="11"/>
        <v>5</v>
      </c>
      <c r="V149" t="s">
        <v>221</v>
      </c>
      <c r="W149" t="s">
        <v>201</v>
      </c>
      <c r="X149" s="13">
        <v>0.1759</v>
      </c>
    </row>
    <row r="150" spans="1:24" x14ac:dyDescent="0.25">
      <c r="A150" t="s">
        <v>415</v>
      </c>
      <c r="B150" t="s">
        <v>59</v>
      </c>
      <c r="C150" t="s">
        <v>195</v>
      </c>
      <c r="D150" t="s">
        <v>107</v>
      </c>
      <c r="E150" t="s">
        <v>75</v>
      </c>
      <c r="F150">
        <v>7</v>
      </c>
      <c r="G150" t="s">
        <v>196</v>
      </c>
      <c r="H150" t="s">
        <v>211</v>
      </c>
      <c r="I150" t="s">
        <v>205</v>
      </c>
      <c r="J150">
        <v>0</v>
      </c>
      <c r="K150">
        <v>0</v>
      </c>
      <c r="L150">
        <v>0</v>
      </c>
      <c r="M150" s="8">
        <v>1</v>
      </c>
      <c r="N150" t="s">
        <v>212</v>
      </c>
      <c r="O150" t="str">
        <f>IF(B150="SP",IF(C150="São Paulo","FRQ001","FRQ002"),VLOOKUP(B150,Premissas!$A$11:$B$28,2,FALSE))</f>
        <v>FRQ003</v>
      </c>
      <c r="P150" t="str">
        <f t="shared" si="8"/>
        <v>Própria</v>
      </c>
      <c r="Q150" s="10">
        <f>VLOOKUP(E150,Premissas!$A$32:$B$35,2,FALSE)</f>
        <v>938</v>
      </c>
      <c r="R150" s="10">
        <f>Q150*(1-Premissas!$B$5)</f>
        <v>745.24099999999999</v>
      </c>
      <c r="S150">
        <f t="shared" si="9"/>
        <v>5</v>
      </c>
      <c r="T150" t="str">
        <f t="shared" si="10"/>
        <v>5. Régua automatizada</v>
      </c>
      <c r="U150">
        <f t="shared" si="11"/>
        <v>31</v>
      </c>
      <c r="V150" t="s">
        <v>221</v>
      </c>
      <c r="W150" t="s">
        <v>207</v>
      </c>
      <c r="X150" s="13">
        <v>0.24440000000000001</v>
      </c>
    </row>
    <row r="151" spans="1:24" x14ac:dyDescent="0.25">
      <c r="A151" t="s">
        <v>416</v>
      </c>
      <c r="B151" t="s">
        <v>49</v>
      </c>
      <c r="C151" t="s">
        <v>253</v>
      </c>
      <c r="D151" t="s">
        <v>107</v>
      </c>
      <c r="E151" t="s">
        <v>72</v>
      </c>
      <c r="F151">
        <v>72</v>
      </c>
      <c r="G151" t="s">
        <v>237</v>
      </c>
      <c r="H151" t="s">
        <v>211</v>
      </c>
      <c r="I151" t="s">
        <v>205</v>
      </c>
      <c r="J151">
        <v>0</v>
      </c>
      <c r="K151">
        <v>0</v>
      </c>
      <c r="L151">
        <v>0</v>
      </c>
      <c r="M151" s="8">
        <v>3</v>
      </c>
      <c r="N151" t="s">
        <v>206</v>
      </c>
      <c r="O151" t="str">
        <f>IF(B151="SP",IF(C151="São Paulo","FRQ001","FRQ002"),VLOOKUP(B151,Premissas!$A$11:$B$28,2,FALSE))</f>
        <v>FRQ004</v>
      </c>
      <c r="P151" t="str">
        <f t="shared" si="8"/>
        <v>Própria</v>
      </c>
      <c r="Q151" s="10">
        <f>VLOOKUP(E151,Premissas!$A$32:$B$35,2,FALSE)</f>
        <v>1121</v>
      </c>
      <c r="R151" s="10">
        <f>Q151*(1-Premissas!$B$5)</f>
        <v>890.6345</v>
      </c>
      <c r="S151">
        <f t="shared" si="9"/>
        <v>4</v>
      </c>
      <c r="T151" t="str">
        <f t="shared" si="10"/>
        <v>4. Nutrir (marketing/inbound)</v>
      </c>
      <c r="U151">
        <f t="shared" si="11"/>
        <v>10</v>
      </c>
      <c r="V151" t="s">
        <v>200</v>
      </c>
      <c r="W151" t="s">
        <v>207</v>
      </c>
      <c r="X151" s="13">
        <v>0.51180000000000003</v>
      </c>
    </row>
    <row r="152" spans="1:24" x14ac:dyDescent="0.25">
      <c r="A152" t="s">
        <v>417</v>
      </c>
      <c r="B152" t="s">
        <v>59</v>
      </c>
      <c r="C152" t="s">
        <v>261</v>
      </c>
      <c r="D152" t="s">
        <v>107</v>
      </c>
      <c r="E152" t="s">
        <v>72</v>
      </c>
      <c r="F152">
        <v>63</v>
      </c>
      <c r="G152" t="s">
        <v>216</v>
      </c>
      <c r="H152" t="s">
        <v>211</v>
      </c>
      <c r="I152" t="s">
        <v>205</v>
      </c>
      <c r="J152">
        <v>0</v>
      </c>
      <c r="K152">
        <v>0</v>
      </c>
      <c r="L152">
        <v>0</v>
      </c>
      <c r="M152" s="8">
        <v>3</v>
      </c>
      <c r="N152" t="s">
        <v>206</v>
      </c>
      <c r="O152" t="str">
        <f>IF(B152="SP",IF(C152="São Paulo","FRQ001","FRQ002"),VLOOKUP(B152,Premissas!$A$11:$B$28,2,FALSE))</f>
        <v>FRQ003</v>
      </c>
      <c r="P152" t="str">
        <f t="shared" si="8"/>
        <v>Própria</v>
      </c>
      <c r="Q152" s="10">
        <f>VLOOKUP(E152,Premissas!$A$32:$B$35,2,FALSE)</f>
        <v>1121</v>
      </c>
      <c r="R152" s="10">
        <f>Q152*(1-Premissas!$B$5)</f>
        <v>890.6345</v>
      </c>
      <c r="S152">
        <f t="shared" si="9"/>
        <v>4</v>
      </c>
      <c r="T152" t="str">
        <f t="shared" si="10"/>
        <v>4. Nutrir (marketing/inbound)</v>
      </c>
      <c r="U152">
        <f t="shared" si="11"/>
        <v>14</v>
      </c>
      <c r="V152" t="s">
        <v>200</v>
      </c>
      <c r="W152" t="s">
        <v>207</v>
      </c>
      <c r="X152" s="13">
        <v>0.35770000000000002</v>
      </c>
    </row>
    <row r="153" spans="1:24" x14ac:dyDescent="0.25">
      <c r="A153" t="s">
        <v>418</v>
      </c>
      <c r="B153" t="s">
        <v>40</v>
      </c>
      <c r="C153" t="s">
        <v>351</v>
      </c>
      <c r="D153" t="s">
        <v>117</v>
      </c>
      <c r="E153" t="s">
        <v>75</v>
      </c>
      <c r="F153">
        <v>5</v>
      </c>
      <c r="G153" t="s">
        <v>196</v>
      </c>
      <c r="H153" t="s">
        <v>197</v>
      </c>
      <c r="I153" t="s">
        <v>205</v>
      </c>
      <c r="J153">
        <v>0</v>
      </c>
      <c r="K153">
        <v>0</v>
      </c>
      <c r="L153">
        <v>0</v>
      </c>
      <c r="M153" s="8">
        <v>1</v>
      </c>
      <c r="N153" t="s">
        <v>212</v>
      </c>
      <c r="O153" t="str">
        <f>IF(B153="SP",IF(C153="São Paulo","FRQ001","FRQ002"),VLOOKUP(B153,Premissas!$A$11:$B$28,2,FALSE))</f>
        <v>FRQ008</v>
      </c>
      <c r="P153" t="str">
        <f t="shared" si="8"/>
        <v>Própria</v>
      </c>
      <c r="Q153" s="10">
        <f>VLOOKUP(E153,Premissas!$A$32:$B$35,2,FALSE)</f>
        <v>938</v>
      </c>
      <c r="R153" s="10">
        <f>Q153*(1-Premissas!$B$5)</f>
        <v>745.24099999999999</v>
      </c>
      <c r="S153">
        <f t="shared" si="9"/>
        <v>5</v>
      </c>
      <c r="T153" t="str">
        <f t="shared" si="10"/>
        <v>5. Régua automatizada</v>
      </c>
      <c r="U153">
        <f t="shared" si="11"/>
        <v>6</v>
      </c>
      <c r="V153" t="s">
        <v>221</v>
      </c>
      <c r="W153" t="s">
        <v>207</v>
      </c>
      <c r="X153" s="13">
        <v>0.24440000000000001</v>
      </c>
    </row>
    <row r="154" spans="1:24" x14ac:dyDescent="0.25">
      <c r="A154" t="s">
        <v>419</v>
      </c>
      <c r="B154" t="s">
        <v>59</v>
      </c>
      <c r="C154" t="s">
        <v>195</v>
      </c>
      <c r="D154" t="s">
        <v>107</v>
      </c>
      <c r="E154" t="s">
        <v>75</v>
      </c>
      <c r="F154">
        <v>24</v>
      </c>
      <c r="G154" t="s">
        <v>216</v>
      </c>
      <c r="H154" t="s">
        <v>211</v>
      </c>
      <c r="I154" t="s">
        <v>205</v>
      </c>
      <c r="J154">
        <v>0</v>
      </c>
      <c r="K154">
        <v>0</v>
      </c>
      <c r="L154">
        <v>0</v>
      </c>
      <c r="M154" s="8">
        <v>2</v>
      </c>
      <c r="N154" t="s">
        <v>212</v>
      </c>
      <c r="O154" t="str">
        <f>IF(B154="SP",IF(C154="São Paulo","FRQ001","FRQ002"),VLOOKUP(B154,Premissas!$A$11:$B$28,2,FALSE))</f>
        <v>FRQ003</v>
      </c>
      <c r="P154" t="str">
        <f t="shared" si="8"/>
        <v>Própria</v>
      </c>
      <c r="Q154" s="10">
        <f>VLOOKUP(E154,Premissas!$A$32:$B$35,2,FALSE)</f>
        <v>938</v>
      </c>
      <c r="R154" s="10">
        <f>Q154*(1-Premissas!$B$5)</f>
        <v>745.24099999999999</v>
      </c>
      <c r="S154">
        <f t="shared" si="9"/>
        <v>5</v>
      </c>
      <c r="T154" t="str">
        <f t="shared" si="10"/>
        <v>5. Régua automatizada</v>
      </c>
      <c r="U154">
        <f t="shared" si="11"/>
        <v>31</v>
      </c>
      <c r="V154" t="s">
        <v>213</v>
      </c>
      <c r="W154" t="s">
        <v>207</v>
      </c>
      <c r="X154" s="13">
        <v>0.1575</v>
      </c>
    </row>
    <row r="155" spans="1:24" x14ac:dyDescent="0.25">
      <c r="A155" t="s">
        <v>420</v>
      </c>
      <c r="B155" t="s">
        <v>49</v>
      </c>
      <c r="C155" t="s">
        <v>218</v>
      </c>
      <c r="D155" t="s">
        <v>107</v>
      </c>
      <c r="E155" t="s">
        <v>72</v>
      </c>
      <c r="F155">
        <v>59</v>
      </c>
      <c r="G155" t="s">
        <v>196</v>
      </c>
      <c r="H155" t="s">
        <v>197</v>
      </c>
      <c r="I155" t="s">
        <v>205</v>
      </c>
      <c r="J155">
        <v>0</v>
      </c>
      <c r="K155">
        <v>1</v>
      </c>
      <c r="L155">
        <v>1</v>
      </c>
      <c r="M155" s="8">
        <v>3</v>
      </c>
      <c r="N155" t="s">
        <v>206</v>
      </c>
      <c r="O155" t="str">
        <f>IF(B155="SP",IF(C155="São Paulo","FRQ001","FRQ002"),VLOOKUP(B155,Premissas!$A$11:$B$28,2,FALSE))</f>
        <v>FRQ004</v>
      </c>
      <c r="P155" t="str">
        <f t="shared" si="8"/>
        <v>Própria</v>
      </c>
      <c r="Q155" s="10">
        <f>VLOOKUP(E155,Premissas!$A$32:$B$35,2,FALSE)</f>
        <v>1121</v>
      </c>
      <c r="R155" s="10">
        <f>Q155*(1-Premissas!$B$5)</f>
        <v>890.6345</v>
      </c>
      <c r="S155">
        <f t="shared" si="9"/>
        <v>3</v>
      </c>
      <c r="T155" t="str">
        <f t="shared" si="10"/>
        <v>3. Requalificar ou encerrar lead parado</v>
      </c>
      <c r="U155">
        <f t="shared" si="11"/>
        <v>4</v>
      </c>
      <c r="V155" t="s">
        <v>200</v>
      </c>
      <c r="W155" t="s">
        <v>207</v>
      </c>
      <c r="X155" s="13">
        <v>0.4405</v>
      </c>
    </row>
    <row r="156" spans="1:24" x14ac:dyDescent="0.25">
      <c r="A156" t="s">
        <v>421</v>
      </c>
      <c r="B156" t="s">
        <v>55</v>
      </c>
      <c r="C156" t="s">
        <v>281</v>
      </c>
      <c r="D156" t="s">
        <v>120</v>
      </c>
      <c r="E156" t="s">
        <v>75</v>
      </c>
      <c r="F156">
        <v>15</v>
      </c>
      <c r="G156" t="s">
        <v>210</v>
      </c>
      <c r="H156" t="s">
        <v>197</v>
      </c>
      <c r="I156" t="s">
        <v>205</v>
      </c>
      <c r="J156">
        <v>0</v>
      </c>
      <c r="K156">
        <v>1</v>
      </c>
      <c r="L156">
        <v>0</v>
      </c>
      <c r="M156" s="8">
        <v>2</v>
      </c>
      <c r="N156" t="s">
        <v>212</v>
      </c>
      <c r="O156" t="str">
        <f>IF(B156="SP",IF(C156="São Paulo","FRQ001","FRQ002"),VLOOKUP(B156,Premissas!$A$11:$B$28,2,FALSE))</f>
        <v>FRQ011</v>
      </c>
      <c r="P156" t="str">
        <f t="shared" si="8"/>
        <v>Própria</v>
      </c>
      <c r="Q156" s="10">
        <f>VLOOKUP(E156,Premissas!$A$32:$B$35,2,FALSE)</f>
        <v>938</v>
      </c>
      <c r="R156" s="10">
        <f>Q156*(1-Premissas!$B$5)</f>
        <v>745.24099999999999</v>
      </c>
      <c r="S156">
        <f t="shared" si="9"/>
        <v>3</v>
      </c>
      <c r="T156" t="str">
        <f t="shared" si="10"/>
        <v>3. Requalificar ou encerrar lead parado</v>
      </c>
      <c r="U156">
        <f t="shared" si="11"/>
        <v>3</v>
      </c>
      <c r="V156" t="s">
        <v>213</v>
      </c>
      <c r="W156" t="s">
        <v>207</v>
      </c>
      <c r="X156" s="13">
        <v>0.16489999999999999</v>
      </c>
    </row>
    <row r="157" spans="1:24" x14ac:dyDescent="0.25">
      <c r="A157" t="s">
        <v>422</v>
      </c>
      <c r="B157" t="s">
        <v>36</v>
      </c>
      <c r="C157" t="s">
        <v>371</v>
      </c>
      <c r="D157" t="s">
        <v>120</v>
      </c>
      <c r="E157" t="s">
        <v>72</v>
      </c>
      <c r="F157">
        <v>43</v>
      </c>
      <c r="G157" t="s">
        <v>237</v>
      </c>
      <c r="H157" t="s">
        <v>197</v>
      </c>
      <c r="I157" t="s">
        <v>205</v>
      </c>
      <c r="J157">
        <v>0</v>
      </c>
      <c r="K157">
        <v>1</v>
      </c>
      <c r="L157">
        <v>0</v>
      </c>
      <c r="M157" s="8">
        <v>3</v>
      </c>
      <c r="N157" t="s">
        <v>206</v>
      </c>
      <c r="O157" t="str">
        <f>IF(B157="SP",IF(C157="São Paulo","FRQ001","FRQ002"),VLOOKUP(B157,Premissas!$A$11:$B$28,2,FALSE))</f>
        <v>FRQ010</v>
      </c>
      <c r="P157" t="str">
        <f t="shared" si="8"/>
        <v>Própria</v>
      </c>
      <c r="Q157" s="10">
        <f>VLOOKUP(E157,Premissas!$A$32:$B$35,2,FALSE)</f>
        <v>1121</v>
      </c>
      <c r="R157" s="10">
        <f>Q157*(1-Premissas!$B$5)</f>
        <v>890.6345</v>
      </c>
      <c r="S157">
        <f t="shared" si="9"/>
        <v>3</v>
      </c>
      <c r="T157" t="str">
        <f t="shared" si="10"/>
        <v>3. Requalificar ou encerrar lead parado</v>
      </c>
      <c r="U157">
        <f t="shared" si="11"/>
        <v>2</v>
      </c>
      <c r="V157" t="s">
        <v>200</v>
      </c>
      <c r="W157" t="s">
        <v>207</v>
      </c>
      <c r="X157" s="13">
        <v>0.4788</v>
      </c>
    </row>
    <row r="158" spans="1:24" x14ac:dyDescent="0.25">
      <c r="A158" t="s">
        <v>423</v>
      </c>
      <c r="B158" t="s">
        <v>64</v>
      </c>
      <c r="C158" t="s">
        <v>255</v>
      </c>
      <c r="D158" t="s">
        <v>113</v>
      </c>
      <c r="E158" t="s">
        <v>75</v>
      </c>
      <c r="F158">
        <v>3</v>
      </c>
      <c r="G158" t="s">
        <v>196</v>
      </c>
      <c r="H158" t="s">
        <v>211</v>
      </c>
      <c r="I158" t="s">
        <v>205</v>
      </c>
      <c r="J158">
        <v>0</v>
      </c>
      <c r="K158">
        <v>0</v>
      </c>
      <c r="L158">
        <v>0</v>
      </c>
      <c r="M158" s="8">
        <v>1</v>
      </c>
      <c r="N158" t="s">
        <v>212</v>
      </c>
      <c r="O158" t="str">
        <f>IF(B158="SP",IF(C158="São Paulo","FRQ001","FRQ002"),VLOOKUP(B158,Premissas!$A$11:$B$28,2,FALSE))</f>
        <v>FRQ006</v>
      </c>
      <c r="P158" t="str">
        <f t="shared" si="8"/>
        <v>Própria</v>
      </c>
      <c r="Q158" s="10">
        <f>VLOOKUP(E158,Premissas!$A$32:$B$35,2,FALSE)</f>
        <v>938</v>
      </c>
      <c r="R158" s="10">
        <f>Q158*(1-Premissas!$B$5)</f>
        <v>745.24099999999999</v>
      </c>
      <c r="S158">
        <f t="shared" si="9"/>
        <v>5</v>
      </c>
      <c r="T158" t="str">
        <f t="shared" si="10"/>
        <v>5. Régua automatizada</v>
      </c>
      <c r="U158">
        <f t="shared" si="11"/>
        <v>6</v>
      </c>
      <c r="V158" t="s">
        <v>221</v>
      </c>
      <c r="W158" t="s">
        <v>207</v>
      </c>
      <c r="X158" s="13">
        <v>0.1759</v>
      </c>
    </row>
    <row r="159" spans="1:24" x14ac:dyDescent="0.25">
      <c r="A159" t="s">
        <v>424</v>
      </c>
      <c r="B159" t="s">
        <v>59</v>
      </c>
      <c r="C159" t="s">
        <v>228</v>
      </c>
      <c r="D159" t="s">
        <v>107</v>
      </c>
      <c r="E159" t="s">
        <v>72</v>
      </c>
      <c r="F159">
        <v>74</v>
      </c>
      <c r="G159" t="s">
        <v>196</v>
      </c>
      <c r="H159" t="s">
        <v>211</v>
      </c>
      <c r="I159" t="s">
        <v>205</v>
      </c>
      <c r="J159">
        <v>0</v>
      </c>
      <c r="K159">
        <v>0</v>
      </c>
      <c r="L159">
        <v>0</v>
      </c>
      <c r="M159" s="8">
        <v>3</v>
      </c>
      <c r="N159" t="s">
        <v>206</v>
      </c>
      <c r="O159" t="str">
        <f>IF(B159="SP",IF(C159="São Paulo","FRQ001","FRQ002"),VLOOKUP(B159,Premissas!$A$11:$B$28,2,FALSE))</f>
        <v>FRQ003</v>
      </c>
      <c r="P159" t="str">
        <f t="shared" si="8"/>
        <v>Própria</v>
      </c>
      <c r="Q159" s="10">
        <f>VLOOKUP(E159,Premissas!$A$32:$B$35,2,FALSE)</f>
        <v>1121</v>
      </c>
      <c r="R159" s="10">
        <f>Q159*(1-Premissas!$B$5)</f>
        <v>890.6345</v>
      </c>
      <c r="S159">
        <f t="shared" si="9"/>
        <v>4</v>
      </c>
      <c r="T159" t="str">
        <f t="shared" si="10"/>
        <v>4. Nutrir (marketing/inbound)</v>
      </c>
      <c r="U159">
        <f t="shared" si="11"/>
        <v>14</v>
      </c>
      <c r="V159" t="s">
        <v>200</v>
      </c>
      <c r="W159" t="s">
        <v>207</v>
      </c>
      <c r="X159" s="13">
        <v>0.40610000000000002</v>
      </c>
    </row>
    <row r="160" spans="1:24" x14ac:dyDescent="0.25">
      <c r="A160" t="s">
        <v>425</v>
      </c>
      <c r="B160" t="s">
        <v>55</v>
      </c>
      <c r="C160" t="s">
        <v>291</v>
      </c>
      <c r="D160" t="s">
        <v>120</v>
      </c>
      <c r="E160" t="s">
        <v>72</v>
      </c>
      <c r="F160">
        <v>69</v>
      </c>
      <c r="G160" t="s">
        <v>196</v>
      </c>
      <c r="H160" t="s">
        <v>211</v>
      </c>
      <c r="I160" t="s">
        <v>205</v>
      </c>
      <c r="J160">
        <v>0</v>
      </c>
      <c r="K160">
        <v>0</v>
      </c>
      <c r="L160">
        <v>0</v>
      </c>
      <c r="M160" s="8">
        <v>3</v>
      </c>
      <c r="N160" t="s">
        <v>206</v>
      </c>
      <c r="O160" t="str">
        <f>IF(B160="SP",IF(C160="São Paulo","FRQ001","FRQ002"),VLOOKUP(B160,Premissas!$A$11:$B$28,2,FALSE))</f>
        <v>FRQ011</v>
      </c>
      <c r="P160" t="str">
        <f t="shared" si="8"/>
        <v>Própria</v>
      </c>
      <c r="Q160" s="10">
        <f>VLOOKUP(E160,Premissas!$A$32:$B$35,2,FALSE)</f>
        <v>1121</v>
      </c>
      <c r="R160" s="10">
        <f>Q160*(1-Premissas!$B$5)</f>
        <v>890.6345</v>
      </c>
      <c r="S160">
        <f t="shared" si="9"/>
        <v>4</v>
      </c>
      <c r="T160" t="str">
        <f t="shared" si="10"/>
        <v>4. Nutrir (marketing/inbound)</v>
      </c>
      <c r="U160">
        <f t="shared" si="11"/>
        <v>7</v>
      </c>
      <c r="V160" t="s">
        <v>200</v>
      </c>
      <c r="W160" t="s">
        <v>207</v>
      </c>
      <c r="X160" s="13">
        <v>0.47460000000000002</v>
      </c>
    </row>
    <row r="161" spans="1:24" x14ac:dyDescent="0.25">
      <c r="A161" t="s">
        <v>426</v>
      </c>
      <c r="B161" t="s">
        <v>36</v>
      </c>
      <c r="C161" t="s">
        <v>257</v>
      </c>
      <c r="D161" t="s">
        <v>120</v>
      </c>
      <c r="E161" t="s">
        <v>72</v>
      </c>
      <c r="F161">
        <v>44</v>
      </c>
      <c r="G161" t="s">
        <v>196</v>
      </c>
      <c r="H161" t="s">
        <v>226</v>
      </c>
      <c r="I161" t="s">
        <v>205</v>
      </c>
      <c r="J161">
        <v>0</v>
      </c>
      <c r="K161">
        <v>1</v>
      </c>
      <c r="L161">
        <v>0</v>
      </c>
      <c r="M161" s="8">
        <v>3</v>
      </c>
      <c r="N161" t="s">
        <v>206</v>
      </c>
      <c r="O161" t="str">
        <f>IF(B161="SP",IF(C161="São Paulo","FRQ001","FRQ002"),VLOOKUP(B161,Premissas!$A$11:$B$28,2,FALSE))</f>
        <v>FRQ010</v>
      </c>
      <c r="P161" t="str">
        <f t="shared" si="8"/>
        <v>Própria</v>
      </c>
      <c r="Q161" s="10">
        <f>VLOOKUP(E161,Premissas!$A$32:$B$35,2,FALSE)</f>
        <v>1121</v>
      </c>
      <c r="R161" s="10">
        <f>Q161*(1-Premissas!$B$5)</f>
        <v>890.6345</v>
      </c>
      <c r="S161">
        <f t="shared" si="9"/>
        <v>3</v>
      </c>
      <c r="T161" t="str">
        <f t="shared" si="10"/>
        <v>3. Requalificar ou encerrar lead parado</v>
      </c>
      <c r="U161">
        <f t="shared" si="11"/>
        <v>2</v>
      </c>
      <c r="V161" t="s">
        <v>200</v>
      </c>
      <c r="W161" t="s">
        <v>207</v>
      </c>
      <c r="X161" s="13">
        <v>0.37309999999999999</v>
      </c>
    </row>
    <row r="162" spans="1:24" x14ac:dyDescent="0.25">
      <c r="A162" t="s">
        <v>427</v>
      </c>
      <c r="B162" t="s">
        <v>55</v>
      </c>
      <c r="C162" t="s">
        <v>291</v>
      </c>
      <c r="D162" t="s">
        <v>120</v>
      </c>
      <c r="E162" t="s">
        <v>75</v>
      </c>
      <c r="F162">
        <v>10</v>
      </c>
      <c r="G162" t="s">
        <v>219</v>
      </c>
      <c r="H162" t="s">
        <v>197</v>
      </c>
      <c r="I162" t="s">
        <v>205</v>
      </c>
      <c r="J162">
        <v>0</v>
      </c>
      <c r="K162">
        <v>1</v>
      </c>
      <c r="L162">
        <v>0</v>
      </c>
      <c r="M162" s="8">
        <v>1</v>
      </c>
      <c r="N162" t="s">
        <v>212</v>
      </c>
      <c r="O162" t="str">
        <f>IF(B162="SP",IF(C162="São Paulo","FRQ001","FRQ002"),VLOOKUP(B162,Premissas!$A$11:$B$28,2,FALSE))</f>
        <v>FRQ011</v>
      </c>
      <c r="P162" t="str">
        <f t="shared" si="8"/>
        <v>Própria</v>
      </c>
      <c r="Q162" s="10">
        <f>VLOOKUP(E162,Premissas!$A$32:$B$35,2,FALSE)</f>
        <v>938</v>
      </c>
      <c r="R162" s="10">
        <f>Q162*(1-Premissas!$B$5)</f>
        <v>745.24099999999999</v>
      </c>
      <c r="S162">
        <f t="shared" si="9"/>
        <v>3</v>
      </c>
      <c r="T162" t="str">
        <f t="shared" si="10"/>
        <v>3. Requalificar ou encerrar lead parado</v>
      </c>
      <c r="U162">
        <f t="shared" si="11"/>
        <v>3</v>
      </c>
      <c r="V162" t="s">
        <v>221</v>
      </c>
      <c r="W162" t="s">
        <v>207</v>
      </c>
      <c r="X162" s="13">
        <v>0.1779</v>
      </c>
    </row>
    <row r="163" spans="1:24" x14ac:dyDescent="0.25">
      <c r="A163" t="s">
        <v>428</v>
      </c>
      <c r="B163" t="s">
        <v>66</v>
      </c>
      <c r="C163" t="s">
        <v>215</v>
      </c>
      <c r="D163" t="s">
        <v>107</v>
      </c>
      <c r="E163" t="s">
        <v>75</v>
      </c>
      <c r="F163">
        <v>17</v>
      </c>
      <c r="G163" t="s">
        <v>219</v>
      </c>
      <c r="H163" t="s">
        <v>211</v>
      </c>
      <c r="I163" t="s">
        <v>205</v>
      </c>
      <c r="J163">
        <v>0</v>
      </c>
      <c r="K163">
        <v>0</v>
      </c>
      <c r="L163">
        <v>0</v>
      </c>
      <c r="M163" s="8">
        <v>2</v>
      </c>
      <c r="N163" t="s">
        <v>212</v>
      </c>
      <c r="O163" t="str">
        <f>IF(B163="SP",IF(C163="São Paulo","FRQ001","FRQ002"),VLOOKUP(B163,Premissas!$A$11:$B$28,2,FALSE))</f>
        <v>FRQ002</v>
      </c>
      <c r="P163" t="str">
        <f t="shared" si="8"/>
        <v>Própria</v>
      </c>
      <c r="Q163" s="10">
        <f>VLOOKUP(E163,Premissas!$A$32:$B$35,2,FALSE)</f>
        <v>938</v>
      </c>
      <c r="R163" s="10">
        <f>Q163*(1-Premissas!$B$5)</f>
        <v>745.24099999999999</v>
      </c>
      <c r="S163">
        <f t="shared" si="9"/>
        <v>5</v>
      </c>
      <c r="T163" t="str">
        <f t="shared" si="10"/>
        <v>5. Régua automatizada</v>
      </c>
      <c r="U163">
        <f t="shared" si="11"/>
        <v>26</v>
      </c>
      <c r="V163" t="s">
        <v>213</v>
      </c>
      <c r="W163" t="s">
        <v>207</v>
      </c>
      <c r="X163" s="13">
        <v>0.10929999999999999</v>
      </c>
    </row>
    <row r="164" spans="1:24" x14ac:dyDescent="0.25">
      <c r="A164" t="s">
        <v>429</v>
      </c>
      <c r="B164" t="s">
        <v>59</v>
      </c>
      <c r="C164" t="s">
        <v>261</v>
      </c>
      <c r="D164" t="s">
        <v>107</v>
      </c>
      <c r="E164" t="s">
        <v>75</v>
      </c>
      <c r="F164">
        <v>14</v>
      </c>
      <c r="G164" t="s">
        <v>216</v>
      </c>
      <c r="H164" t="s">
        <v>211</v>
      </c>
      <c r="I164" t="s">
        <v>205</v>
      </c>
      <c r="J164">
        <v>0</v>
      </c>
      <c r="K164">
        <v>0</v>
      </c>
      <c r="L164">
        <v>0</v>
      </c>
      <c r="M164" s="8">
        <v>1</v>
      </c>
      <c r="N164" t="s">
        <v>212</v>
      </c>
      <c r="O164" t="str">
        <f>IF(B164="SP",IF(C164="São Paulo","FRQ001","FRQ002"),VLOOKUP(B164,Premissas!$A$11:$B$28,2,FALSE))</f>
        <v>FRQ003</v>
      </c>
      <c r="P164" t="str">
        <f t="shared" si="8"/>
        <v>Própria</v>
      </c>
      <c r="Q164" s="10">
        <f>VLOOKUP(E164,Premissas!$A$32:$B$35,2,FALSE)</f>
        <v>938</v>
      </c>
      <c r="R164" s="10">
        <f>Q164*(1-Premissas!$B$5)</f>
        <v>745.24099999999999</v>
      </c>
      <c r="S164">
        <f t="shared" si="9"/>
        <v>5</v>
      </c>
      <c r="T164" t="str">
        <f t="shared" si="10"/>
        <v>5. Régua automatizada</v>
      </c>
      <c r="U164">
        <f t="shared" si="11"/>
        <v>31</v>
      </c>
      <c r="V164" t="s">
        <v>221</v>
      </c>
      <c r="W164" t="s">
        <v>207</v>
      </c>
      <c r="X164" s="13">
        <v>0.12759999999999999</v>
      </c>
    </row>
    <row r="165" spans="1:24" x14ac:dyDescent="0.25">
      <c r="A165" t="s">
        <v>430</v>
      </c>
      <c r="B165" t="s">
        <v>40</v>
      </c>
      <c r="C165" t="s">
        <v>351</v>
      </c>
      <c r="D165" t="s">
        <v>117</v>
      </c>
      <c r="E165" t="s">
        <v>75</v>
      </c>
      <c r="F165">
        <v>11</v>
      </c>
      <c r="G165" t="s">
        <v>216</v>
      </c>
      <c r="H165" t="s">
        <v>211</v>
      </c>
      <c r="I165" t="s">
        <v>205</v>
      </c>
      <c r="J165">
        <v>0</v>
      </c>
      <c r="K165">
        <v>0</v>
      </c>
      <c r="L165">
        <v>0</v>
      </c>
      <c r="M165" s="8">
        <v>1</v>
      </c>
      <c r="N165" t="s">
        <v>212</v>
      </c>
      <c r="O165" t="str">
        <f>IF(B165="SP",IF(C165="São Paulo","FRQ001","FRQ002"),VLOOKUP(B165,Premissas!$A$11:$B$28,2,FALSE))</f>
        <v>FRQ008</v>
      </c>
      <c r="P165" t="str">
        <f t="shared" si="8"/>
        <v>Própria</v>
      </c>
      <c r="Q165" s="10">
        <f>VLOOKUP(E165,Premissas!$A$32:$B$35,2,FALSE)</f>
        <v>938</v>
      </c>
      <c r="R165" s="10">
        <f>Q165*(1-Premissas!$B$5)</f>
        <v>745.24099999999999</v>
      </c>
      <c r="S165">
        <f t="shared" si="9"/>
        <v>5</v>
      </c>
      <c r="T165" t="str">
        <f t="shared" si="10"/>
        <v>5. Régua automatizada</v>
      </c>
      <c r="U165">
        <f t="shared" si="11"/>
        <v>6</v>
      </c>
      <c r="V165" t="s">
        <v>221</v>
      </c>
      <c r="W165" t="s">
        <v>207</v>
      </c>
      <c r="X165" s="13">
        <v>0.12759999999999999</v>
      </c>
    </row>
    <row r="166" spans="1:24" x14ac:dyDescent="0.25">
      <c r="A166" t="s">
        <v>431</v>
      </c>
      <c r="B166" t="s">
        <v>55</v>
      </c>
      <c r="C166" t="s">
        <v>333</v>
      </c>
      <c r="D166" t="s">
        <v>120</v>
      </c>
      <c r="E166" t="s">
        <v>72</v>
      </c>
      <c r="F166">
        <v>39</v>
      </c>
      <c r="G166" t="s">
        <v>196</v>
      </c>
      <c r="H166" t="s">
        <v>226</v>
      </c>
      <c r="I166" t="s">
        <v>198</v>
      </c>
      <c r="J166">
        <v>2</v>
      </c>
      <c r="K166">
        <v>0</v>
      </c>
      <c r="L166">
        <v>0</v>
      </c>
      <c r="M166" s="8">
        <v>4</v>
      </c>
      <c r="N166" t="s">
        <v>199</v>
      </c>
      <c r="O166" t="str">
        <f>IF(B166="SP",IF(C166="São Paulo","FRQ001","FRQ002"),VLOOKUP(B166,Premissas!$A$11:$B$28,2,FALSE))</f>
        <v>FRQ011</v>
      </c>
      <c r="P166" t="str">
        <f t="shared" si="8"/>
        <v>Própria</v>
      </c>
      <c r="Q166" s="10">
        <f>VLOOKUP(E166,Premissas!$A$32:$B$35,2,FALSE)</f>
        <v>1121</v>
      </c>
      <c r="R166" s="10">
        <f>Q166*(1-Premissas!$B$5)</f>
        <v>890.6345</v>
      </c>
      <c r="S166">
        <f t="shared" si="9"/>
        <v>2</v>
      </c>
      <c r="T166" t="str">
        <f t="shared" si="10"/>
        <v>2. Prospectar tier Alta</v>
      </c>
      <c r="U166">
        <f t="shared" si="11"/>
        <v>2</v>
      </c>
      <c r="V166" t="s">
        <v>200</v>
      </c>
      <c r="W166" t="s">
        <v>201</v>
      </c>
      <c r="X166" s="13">
        <v>0.34839999999999999</v>
      </c>
    </row>
    <row r="167" spans="1:24" x14ac:dyDescent="0.25">
      <c r="A167" t="s">
        <v>432</v>
      </c>
      <c r="B167" t="s">
        <v>49</v>
      </c>
      <c r="C167" t="s">
        <v>239</v>
      </c>
      <c r="D167" t="s">
        <v>107</v>
      </c>
      <c r="E167" t="s">
        <v>72</v>
      </c>
      <c r="F167">
        <v>29</v>
      </c>
      <c r="G167" t="s">
        <v>204</v>
      </c>
      <c r="H167" t="s">
        <v>211</v>
      </c>
      <c r="I167" t="s">
        <v>205</v>
      </c>
      <c r="J167">
        <v>0</v>
      </c>
      <c r="K167">
        <v>0</v>
      </c>
      <c r="L167">
        <v>0</v>
      </c>
      <c r="M167" s="8">
        <v>3</v>
      </c>
      <c r="N167" t="s">
        <v>206</v>
      </c>
      <c r="O167" t="str">
        <f>IF(B167="SP",IF(C167="São Paulo","FRQ001","FRQ002"),VLOOKUP(B167,Premissas!$A$11:$B$28,2,FALSE))</f>
        <v>FRQ004</v>
      </c>
      <c r="P167" t="str">
        <f t="shared" si="8"/>
        <v>Própria</v>
      </c>
      <c r="Q167" s="10">
        <f>VLOOKUP(E167,Premissas!$A$32:$B$35,2,FALSE)</f>
        <v>1121</v>
      </c>
      <c r="R167" s="10">
        <f>Q167*(1-Premissas!$B$5)</f>
        <v>890.6345</v>
      </c>
      <c r="S167">
        <f t="shared" si="9"/>
        <v>4</v>
      </c>
      <c r="T167" t="str">
        <f t="shared" si="10"/>
        <v>4. Nutrir (marketing/inbound)</v>
      </c>
      <c r="U167">
        <f t="shared" si="11"/>
        <v>10</v>
      </c>
      <c r="V167" t="s">
        <v>200</v>
      </c>
      <c r="W167" t="s">
        <v>207</v>
      </c>
      <c r="X167" s="13">
        <v>0.36880000000000002</v>
      </c>
    </row>
    <row r="168" spans="1:24" x14ac:dyDescent="0.25">
      <c r="A168" t="s">
        <v>433</v>
      </c>
      <c r="B168" t="s">
        <v>62</v>
      </c>
      <c r="C168" t="s">
        <v>264</v>
      </c>
      <c r="D168" t="s">
        <v>113</v>
      </c>
      <c r="E168" t="s">
        <v>75</v>
      </c>
      <c r="F168">
        <v>4</v>
      </c>
      <c r="G168" t="s">
        <v>204</v>
      </c>
      <c r="H168" t="s">
        <v>211</v>
      </c>
      <c r="I168" t="s">
        <v>205</v>
      </c>
      <c r="J168">
        <v>0</v>
      </c>
      <c r="K168">
        <v>0</v>
      </c>
      <c r="L168">
        <v>0</v>
      </c>
      <c r="M168" s="8">
        <v>1</v>
      </c>
      <c r="N168" t="s">
        <v>212</v>
      </c>
      <c r="O168" t="str">
        <f>IF(B168="SP",IF(C168="São Paulo","FRQ001","FRQ002"),VLOOKUP(B168,Premissas!$A$11:$B$28,2,FALSE))</f>
        <v>FRQ007</v>
      </c>
      <c r="P168" t="str">
        <f t="shared" si="8"/>
        <v>Própria</v>
      </c>
      <c r="Q168" s="10">
        <f>VLOOKUP(E168,Premissas!$A$32:$B$35,2,FALSE)</f>
        <v>938</v>
      </c>
      <c r="R168" s="10">
        <f>Q168*(1-Premissas!$B$5)</f>
        <v>745.24099999999999</v>
      </c>
      <c r="S168">
        <f t="shared" si="9"/>
        <v>5</v>
      </c>
      <c r="T168" t="str">
        <f t="shared" si="10"/>
        <v>5. Régua automatizada</v>
      </c>
      <c r="U168">
        <f t="shared" si="11"/>
        <v>5</v>
      </c>
      <c r="V168" t="s">
        <v>221</v>
      </c>
      <c r="W168" t="s">
        <v>207</v>
      </c>
      <c r="X168" s="13">
        <v>0.17169999999999999</v>
      </c>
    </row>
    <row r="169" spans="1:24" x14ac:dyDescent="0.25">
      <c r="A169" t="s">
        <v>434</v>
      </c>
      <c r="B169" t="s">
        <v>36</v>
      </c>
      <c r="C169" t="s">
        <v>257</v>
      </c>
      <c r="D169" t="s">
        <v>120</v>
      </c>
      <c r="E169" t="s">
        <v>75</v>
      </c>
      <c r="F169">
        <v>5</v>
      </c>
      <c r="G169" t="s">
        <v>196</v>
      </c>
      <c r="H169" t="s">
        <v>211</v>
      </c>
      <c r="I169" t="s">
        <v>205</v>
      </c>
      <c r="J169">
        <v>0</v>
      </c>
      <c r="K169">
        <v>0</v>
      </c>
      <c r="L169">
        <v>0</v>
      </c>
      <c r="M169" s="8">
        <v>1</v>
      </c>
      <c r="N169" t="s">
        <v>212</v>
      </c>
      <c r="O169" t="str">
        <f>IF(B169="SP",IF(C169="São Paulo","FRQ001","FRQ002"),VLOOKUP(B169,Premissas!$A$11:$B$28,2,FALSE))</f>
        <v>FRQ010</v>
      </c>
      <c r="P169" t="str">
        <f t="shared" si="8"/>
        <v>Própria</v>
      </c>
      <c r="Q169" s="10">
        <f>VLOOKUP(E169,Premissas!$A$32:$B$35,2,FALSE)</f>
        <v>938</v>
      </c>
      <c r="R169" s="10">
        <f>Q169*(1-Premissas!$B$5)</f>
        <v>745.24099999999999</v>
      </c>
      <c r="S169">
        <f t="shared" si="9"/>
        <v>5</v>
      </c>
      <c r="T169" t="str">
        <f t="shared" si="10"/>
        <v>5. Régua automatizada</v>
      </c>
      <c r="U169">
        <f t="shared" si="11"/>
        <v>10</v>
      </c>
      <c r="V169" t="s">
        <v>221</v>
      </c>
      <c r="W169" t="s">
        <v>207</v>
      </c>
      <c r="X169" s="13">
        <v>0.24440000000000001</v>
      </c>
    </row>
    <row r="170" spans="1:24" x14ac:dyDescent="0.25">
      <c r="A170" t="s">
        <v>435</v>
      </c>
      <c r="B170" t="s">
        <v>66</v>
      </c>
      <c r="C170" t="s">
        <v>234</v>
      </c>
      <c r="D170" t="s">
        <v>107</v>
      </c>
      <c r="E170" t="s">
        <v>75</v>
      </c>
      <c r="F170">
        <v>22</v>
      </c>
      <c r="G170" t="s">
        <v>196</v>
      </c>
      <c r="H170" t="s">
        <v>211</v>
      </c>
      <c r="I170" t="s">
        <v>205</v>
      </c>
      <c r="J170">
        <v>0</v>
      </c>
      <c r="K170">
        <v>0</v>
      </c>
      <c r="L170">
        <v>0</v>
      </c>
      <c r="M170" s="8">
        <v>2</v>
      </c>
      <c r="N170" t="s">
        <v>212</v>
      </c>
      <c r="O170" t="str">
        <f>IF(B170="SP",IF(C170="São Paulo","FRQ001","FRQ002"),VLOOKUP(B170,Premissas!$A$11:$B$28,2,FALSE))</f>
        <v>FRQ002</v>
      </c>
      <c r="P170" t="str">
        <f t="shared" si="8"/>
        <v>Própria</v>
      </c>
      <c r="Q170" s="10">
        <f>VLOOKUP(E170,Premissas!$A$32:$B$35,2,FALSE)</f>
        <v>938</v>
      </c>
      <c r="R170" s="10">
        <f>Q170*(1-Premissas!$B$5)</f>
        <v>745.24099999999999</v>
      </c>
      <c r="S170">
        <f t="shared" si="9"/>
        <v>5</v>
      </c>
      <c r="T170" t="str">
        <f t="shared" si="10"/>
        <v>5. Régua automatizada</v>
      </c>
      <c r="U170">
        <f t="shared" si="11"/>
        <v>26</v>
      </c>
      <c r="V170" t="s">
        <v>213</v>
      </c>
      <c r="W170" t="s">
        <v>207</v>
      </c>
      <c r="X170" s="13">
        <v>0.20569999999999999</v>
      </c>
    </row>
    <row r="171" spans="1:24" x14ac:dyDescent="0.25">
      <c r="A171" t="s">
        <v>436</v>
      </c>
      <c r="B171" t="s">
        <v>59</v>
      </c>
      <c r="C171" t="s">
        <v>269</v>
      </c>
      <c r="D171" t="s">
        <v>107</v>
      </c>
      <c r="E171" t="s">
        <v>75</v>
      </c>
      <c r="F171">
        <v>17</v>
      </c>
      <c r="G171" t="s">
        <v>219</v>
      </c>
      <c r="H171" t="s">
        <v>211</v>
      </c>
      <c r="I171" t="s">
        <v>205</v>
      </c>
      <c r="J171">
        <v>0</v>
      </c>
      <c r="K171">
        <v>0</v>
      </c>
      <c r="L171">
        <v>0</v>
      </c>
      <c r="M171" s="8">
        <v>2</v>
      </c>
      <c r="N171" t="s">
        <v>212</v>
      </c>
      <c r="O171" t="str">
        <f>IF(B171="SP",IF(C171="São Paulo","FRQ001","FRQ002"),VLOOKUP(B171,Premissas!$A$11:$B$28,2,FALSE))</f>
        <v>FRQ003</v>
      </c>
      <c r="P171" t="str">
        <f t="shared" si="8"/>
        <v>Própria</v>
      </c>
      <c r="Q171" s="10">
        <f>VLOOKUP(E171,Premissas!$A$32:$B$35,2,FALSE)</f>
        <v>938</v>
      </c>
      <c r="R171" s="10">
        <f>Q171*(1-Premissas!$B$5)</f>
        <v>745.24099999999999</v>
      </c>
      <c r="S171">
        <f t="shared" si="9"/>
        <v>5</v>
      </c>
      <c r="T171" t="str">
        <f t="shared" si="10"/>
        <v>5. Régua automatizada</v>
      </c>
      <c r="U171">
        <f t="shared" si="11"/>
        <v>31</v>
      </c>
      <c r="V171" t="s">
        <v>213</v>
      </c>
      <c r="W171" t="s">
        <v>207</v>
      </c>
      <c r="X171" s="13">
        <v>0.1094</v>
      </c>
    </row>
    <row r="172" spans="1:24" x14ac:dyDescent="0.25">
      <c r="A172" t="s">
        <v>437</v>
      </c>
      <c r="B172" t="s">
        <v>40</v>
      </c>
      <c r="C172" t="s">
        <v>351</v>
      </c>
      <c r="D172" t="s">
        <v>117</v>
      </c>
      <c r="E172" t="s">
        <v>75</v>
      </c>
      <c r="F172">
        <v>10</v>
      </c>
      <c r="G172" t="s">
        <v>196</v>
      </c>
      <c r="H172" t="s">
        <v>226</v>
      </c>
      <c r="I172" t="s">
        <v>205</v>
      </c>
      <c r="J172">
        <v>0</v>
      </c>
      <c r="K172">
        <v>1</v>
      </c>
      <c r="L172">
        <v>0</v>
      </c>
      <c r="M172" s="8">
        <v>1</v>
      </c>
      <c r="N172" t="s">
        <v>212</v>
      </c>
      <c r="O172" t="str">
        <f>IF(B172="SP",IF(C172="São Paulo","FRQ001","FRQ002"),VLOOKUP(B172,Premissas!$A$11:$B$28,2,FALSE))</f>
        <v>FRQ008</v>
      </c>
      <c r="P172" t="str">
        <f t="shared" si="8"/>
        <v>Própria</v>
      </c>
      <c r="Q172" s="10">
        <f>VLOOKUP(E172,Premissas!$A$32:$B$35,2,FALSE)</f>
        <v>938</v>
      </c>
      <c r="R172" s="10">
        <f>Q172*(1-Premissas!$B$5)</f>
        <v>745.24099999999999</v>
      </c>
      <c r="S172">
        <f t="shared" si="9"/>
        <v>3</v>
      </c>
      <c r="T172" t="str">
        <f t="shared" si="10"/>
        <v>3. Requalificar ou encerrar lead parado</v>
      </c>
      <c r="U172">
        <f t="shared" si="11"/>
        <v>2</v>
      </c>
      <c r="V172" t="s">
        <v>221</v>
      </c>
      <c r="W172" t="s">
        <v>207</v>
      </c>
      <c r="X172" s="13">
        <v>0.24440000000000001</v>
      </c>
    </row>
    <row r="173" spans="1:24" x14ac:dyDescent="0.25">
      <c r="A173" t="s">
        <v>438</v>
      </c>
      <c r="B173" t="s">
        <v>36</v>
      </c>
      <c r="C173" t="s">
        <v>322</v>
      </c>
      <c r="D173" t="s">
        <v>120</v>
      </c>
      <c r="E173" t="s">
        <v>75</v>
      </c>
      <c r="F173">
        <v>4</v>
      </c>
      <c r="G173" t="s">
        <v>204</v>
      </c>
      <c r="H173" t="s">
        <v>211</v>
      </c>
      <c r="I173" t="s">
        <v>205</v>
      </c>
      <c r="J173">
        <v>0</v>
      </c>
      <c r="K173">
        <v>0</v>
      </c>
      <c r="L173">
        <v>0</v>
      </c>
      <c r="M173" s="8">
        <v>1</v>
      </c>
      <c r="N173" t="s">
        <v>212</v>
      </c>
      <c r="O173" t="str">
        <f>IF(B173="SP",IF(C173="São Paulo","FRQ001","FRQ002"),VLOOKUP(B173,Premissas!$A$11:$B$28,2,FALSE))</f>
        <v>FRQ010</v>
      </c>
      <c r="P173" t="str">
        <f t="shared" si="8"/>
        <v>Própria</v>
      </c>
      <c r="Q173" s="10">
        <f>VLOOKUP(E173,Premissas!$A$32:$B$35,2,FALSE)</f>
        <v>938</v>
      </c>
      <c r="R173" s="10">
        <f>Q173*(1-Premissas!$B$5)</f>
        <v>745.24099999999999</v>
      </c>
      <c r="S173">
        <f t="shared" si="9"/>
        <v>5</v>
      </c>
      <c r="T173" t="str">
        <f t="shared" si="10"/>
        <v>5. Régua automatizada</v>
      </c>
      <c r="U173">
        <f t="shared" si="11"/>
        <v>10</v>
      </c>
      <c r="V173" t="s">
        <v>221</v>
      </c>
      <c r="W173" t="s">
        <v>207</v>
      </c>
      <c r="X173" s="13">
        <v>0.2402</v>
      </c>
    </row>
    <row r="174" spans="1:24" x14ac:dyDescent="0.25">
      <c r="A174" t="s">
        <v>439</v>
      </c>
      <c r="B174" t="s">
        <v>36</v>
      </c>
      <c r="C174" t="s">
        <v>322</v>
      </c>
      <c r="D174" t="s">
        <v>120</v>
      </c>
      <c r="E174" t="s">
        <v>75</v>
      </c>
      <c r="F174">
        <v>15</v>
      </c>
      <c r="G174" t="s">
        <v>204</v>
      </c>
      <c r="H174" t="s">
        <v>226</v>
      </c>
      <c r="I174" t="s">
        <v>205</v>
      </c>
      <c r="J174">
        <v>0</v>
      </c>
      <c r="K174">
        <v>0</v>
      </c>
      <c r="L174">
        <v>0</v>
      </c>
      <c r="M174" s="8">
        <v>2</v>
      </c>
      <c r="N174" t="s">
        <v>212</v>
      </c>
      <c r="O174" t="str">
        <f>IF(B174="SP",IF(C174="São Paulo","FRQ001","FRQ002"),VLOOKUP(B174,Premissas!$A$11:$B$28,2,FALSE))</f>
        <v>FRQ010</v>
      </c>
      <c r="P174" t="str">
        <f t="shared" si="8"/>
        <v>Própria</v>
      </c>
      <c r="Q174" s="10">
        <f>VLOOKUP(E174,Premissas!$A$32:$B$35,2,FALSE)</f>
        <v>938</v>
      </c>
      <c r="R174" s="10">
        <f>Q174*(1-Premissas!$B$5)</f>
        <v>745.24099999999999</v>
      </c>
      <c r="S174">
        <f t="shared" si="9"/>
        <v>5</v>
      </c>
      <c r="T174" t="str">
        <f t="shared" si="10"/>
        <v>5. Régua automatizada</v>
      </c>
      <c r="U174">
        <f t="shared" si="11"/>
        <v>10</v>
      </c>
      <c r="V174" t="s">
        <v>213</v>
      </c>
      <c r="W174" t="s">
        <v>207</v>
      </c>
      <c r="X174" s="13">
        <v>0.2402</v>
      </c>
    </row>
    <row r="175" spans="1:24" x14ac:dyDescent="0.25">
      <c r="A175" t="s">
        <v>440</v>
      </c>
      <c r="B175" t="s">
        <v>40</v>
      </c>
      <c r="C175" t="s">
        <v>351</v>
      </c>
      <c r="D175" t="s">
        <v>117</v>
      </c>
      <c r="E175" t="s">
        <v>75</v>
      </c>
      <c r="F175">
        <v>10</v>
      </c>
      <c r="G175" t="s">
        <v>204</v>
      </c>
      <c r="H175" t="s">
        <v>211</v>
      </c>
      <c r="I175" t="s">
        <v>205</v>
      </c>
      <c r="J175">
        <v>0</v>
      </c>
      <c r="K175">
        <v>0</v>
      </c>
      <c r="L175">
        <v>0</v>
      </c>
      <c r="M175" s="8">
        <v>1</v>
      </c>
      <c r="N175" t="s">
        <v>212</v>
      </c>
      <c r="O175" t="str">
        <f>IF(B175="SP",IF(C175="São Paulo","FRQ001","FRQ002"),VLOOKUP(B175,Premissas!$A$11:$B$28,2,FALSE))</f>
        <v>FRQ008</v>
      </c>
      <c r="P175" t="str">
        <f t="shared" si="8"/>
        <v>Própria</v>
      </c>
      <c r="Q175" s="10">
        <f>VLOOKUP(E175,Premissas!$A$32:$B$35,2,FALSE)</f>
        <v>938</v>
      </c>
      <c r="R175" s="10">
        <f>Q175*(1-Premissas!$B$5)</f>
        <v>745.24099999999999</v>
      </c>
      <c r="S175">
        <f t="shared" si="9"/>
        <v>5</v>
      </c>
      <c r="T175" t="str">
        <f t="shared" si="10"/>
        <v>5. Régua automatizada</v>
      </c>
      <c r="U175">
        <f t="shared" si="11"/>
        <v>6</v>
      </c>
      <c r="V175" t="s">
        <v>221</v>
      </c>
      <c r="W175" t="s">
        <v>207</v>
      </c>
      <c r="X175" s="13">
        <v>0.2402</v>
      </c>
    </row>
    <row r="176" spans="1:24" x14ac:dyDescent="0.25">
      <c r="A176" t="s">
        <v>441</v>
      </c>
      <c r="B176" t="s">
        <v>36</v>
      </c>
      <c r="C176" t="s">
        <v>322</v>
      </c>
      <c r="D176" t="s">
        <v>120</v>
      </c>
      <c r="E176" t="s">
        <v>75</v>
      </c>
      <c r="F176">
        <v>7</v>
      </c>
      <c r="G176" t="s">
        <v>196</v>
      </c>
      <c r="H176" t="s">
        <v>226</v>
      </c>
      <c r="I176" t="s">
        <v>205</v>
      </c>
      <c r="J176">
        <v>0</v>
      </c>
      <c r="K176">
        <v>0</v>
      </c>
      <c r="L176">
        <v>0</v>
      </c>
      <c r="M176" s="8">
        <v>1</v>
      </c>
      <c r="N176" t="s">
        <v>212</v>
      </c>
      <c r="O176" t="str">
        <f>IF(B176="SP",IF(C176="São Paulo","FRQ001","FRQ002"),VLOOKUP(B176,Premissas!$A$11:$B$28,2,FALSE))</f>
        <v>FRQ010</v>
      </c>
      <c r="P176" t="str">
        <f t="shared" si="8"/>
        <v>Própria</v>
      </c>
      <c r="Q176" s="10">
        <f>VLOOKUP(E176,Premissas!$A$32:$B$35,2,FALSE)</f>
        <v>938</v>
      </c>
      <c r="R176" s="10">
        <f>Q176*(1-Premissas!$B$5)</f>
        <v>745.24099999999999</v>
      </c>
      <c r="S176">
        <f t="shared" si="9"/>
        <v>5</v>
      </c>
      <c r="T176" t="str">
        <f t="shared" si="10"/>
        <v>5. Régua automatizada</v>
      </c>
      <c r="U176">
        <f t="shared" si="11"/>
        <v>10</v>
      </c>
      <c r="V176" t="s">
        <v>221</v>
      </c>
      <c r="W176" t="s">
        <v>207</v>
      </c>
      <c r="X176" s="13">
        <v>0.1759</v>
      </c>
    </row>
    <row r="177" spans="1:24" x14ac:dyDescent="0.25">
      <c r="A177" t="s">
        <v>442</v>
      </c>
      <c r="B177" t="s">
        <v>59</v>
      </c>
      <c r="C177" t="s">
        <v>195</v>
      </c>
      <c r="D177" t="s">
        <v>107</v>
      </c>
      <c r="E177" t="s">
        <v>75</v>
      </c>
      <c r="F177">
        <v>19</v>
      </c>
      <c r="G177" t="s">
        <v>216</v>
      </c>
      <c r="H177" t="s">
        <v>197</v>
      </c>
      <c r="I177" t="s">
        <v>205</v>
      </c>
      <c r="J177">
        <v>0</v>
      </c>
      <c r="K177">
        <v>0</v>
      </c>
      <c r="L177">
        <v>0</v>
      </c>
      <c r="M177" s="8">
        <v>2</v>
      </c>
      <c r="N177" t="s">
        <v>212</v>
      </c>
      <c r="O177" t="str">
        <f>IF(B177="SP",IF(C177="São Paulo","FRQ001","FRQ002"),VLOOKUP(B177,Premissas!$A$11:$B$28,2,FALSE))</f>
        <v>FRQ003</v>
      </c>
      <c r="P177" t="str">
        <f t="shared" si="8"/>
        <v>Própria</v>
      </c>
      <c r="Q177" s="10">
        <f>VLOOKUP(E177,Premissas!$A$32:$B$35,2,FALSE)</f>
        <v>938</v>
      </c>
      <c r="R177" s="10">
        <f>Q177*(1-Premissas!$B$5)</f>
        <v>745.24099999999999</v>
      </c>
      <c r="S177">
        <f t="shared" si="9"/>
        <v>5</v>
      </c>
      <c r="T177" t="str">
        <f t="shared" si="10"/>
        <v>5. Régua automatizada</v>
      </c>
      <c r="U177">
        <f t="shared" si="11"/>
        <v>31</v>
      </c>
      <c r="V177" t="s">
        <v>213</v>
      </c>
      <c r="W177" t="s">
        <v>207</v>
      </c>
      <c r="X177" s="13">
        <v>0.12759999999999999</v>
      </c>
    </row>
    <row r="178" spans="1:24" x14ac:dyDescent="0.25">
      <c r="A178" t="s">
        <v>443</v>
      </c>
      <c r="B178" t="s">
        <v>36</v>
      </c>
      <c r="C178" t="s">
        <v>371</v>
      </c>
      <c r="D178" t="s">
        <v>120</v>
      </c>
      <c r="E178" t="s">
        <v>75</v>
      </c>
      <c r="F178">
        <v>12</v>
      </c>
      <c r="G178" t="s">
        <v>216</v>
      </c>
      <c r="H178" t="s">
        <v>197</v>
      </c>
      <c r="I178" t="s">
        <v>198</v>
      </c>
      <c r="J178">
        <v>2</v>
      </c>
      <c r="K178">
        <v>0</v>
      </c>
      <c r="L178">
        <v>0</v>
      </c>
      <c r="M178" s="8">
        <v>2</v>
      </c>
      <c r="N178" t="s">
        <v>212</v>
      </c>
      <c r="O178" t="str">
        <f>IF(B178="SP",IF(C178="São Paulo","FRQ001","FRQ002"),VLOOKUP(B178,Premissas!$A$11:$B$28,2,FALSE))</f>
        <v>FRQ010</v>
      </c>
      <c r="P178" t="str">
        <f t="shared" si="8"/>
        <v>Própria</v>
      </c>
      <c r="Q178" s="10">
        <f>VLOOKUP(E178,Premissas!$A$32:$B$35,2,FALSE)</f>
        <v>938</v>
      </c>
      <c r="R178" s="10">
        <f>Q178*(1-Premissas!$B$5)</f>
        <v>745.24099999999999</v>
      </c>
      <c r="S178">
        <f t="shared" si="9"/>
        <v>5</v>
      </c>
      <c r="T178" t="str">
        <f t="shared" si="10"/>
        <v>5. Régua automatizada</v>
      </c>
      <c r="U178">
        <f t="shared" si="11"/>
        <v>10</v>
      </c>
      <c r="V178" t="s">
        <v>221</v>
      </c>
      <c r="W178" t="s">
        <v>201</v>
      </c>
      <c r="X178" s="13">
        <v>0.19620000000000001</v>
      </c>
    </row>
    <row r="179" spans="1:24" x14ac:dyDescent="0.25">
      <c r="A179" t="s">
        <v>444</v>
      </c>
      <c r="B179" t="s">
        <v>59</v>
      </c>
      <c r="C179" t="s">
        <v>269</v>
      </c>
      <c r="D179" t="s">
        <v>107</v>
      </c>
      <c r="E179" t="s">
        <v>74</v>
      </c>
      <c r="F179">
        <v>247</v>
      </c>
      <c r="G179" t="s">
        <v>237</v>
      </c>
      <c r="H179" t="s">
        <v>197</v>
      </c>
      <c r="I179" t="s">
        <v>205</v>
      </c>
      <c r="J179">
        <v>0</v>
      </c>
      <c r="K179">
        <v>1</v>
      </c>
      <c r="L179">
        <v>1</v>
      </c>
      <c r="M179" s="8">
        <v>3</v>
      </c>
      <c r="N179" t="s">
        <v>206</v>
      </c>
      <c r="O179" t="str">
        <f>IF(B179="SP",IF(C179="São Paulo","FRQ001","FRQ002"),VLOOKUP(B179,Premissas!$A$11:$B$28,2,FALSE))</f>
        <v>FRQ003</v>
      </c>
      <c r="P179" t="str">
        <f t="shared" si="8"/>
        <v>Própria</v>
      </c>
      <c r="Q179" s="10">
        <f>VLOOKUP(E179,Premissas!$A$32:$B$35,2,FALSE)</f>
        <v>1052</v>
      </c>
      <c r="R179" s="10">
        <f>Q179*(1-Premissas!$B$5)</f>
        <v>835.81399999999996</v>
      </c>
      <c r="S179">
        <f t="shared" si="9"/>
        <v>3</v>
      </c>
      <c r="T179" t="str">
        <f t="shared" si="10"/>
        <v>3. Requalificar ou encerrar lead parado</v>
      </c>
      <c r="U179">
        <f t="shared" si="11"/>
        <v>10</v>
      </c>
      <c r="V179" t="s">
        <v>200</v>
      </c>
      <c r="W179" t="s">
        <v>207</v>
      </c>
      <c r="X179" s="13">
        <v>0.65590000000000004</v>
      </c>
    </row>
    <row r="180" spans="1:24" x14ac:dyDescent="0.25">
      <c r="A180" t="s">
        <v>445</v>
      </c>
      <c r="B180" t="s">
        <v>40</v>
      </c>
      <c r="C180" t="s">
        <v>351</v>
      </c>
      <c r="D180" t="s">
        <v>117</v>
      </c>
      <c r="E180" t="s">
        <v>72</v>
      </c>
      <c r="F180">
        <v>55</v>
      </c>
      <c r="G180" t="s">
        <v>196</v>
      </c>
      <c r="H180" t="s">
        <v>197</v>
      </c>
      <c r="I180" t="s">
        <v>205</v>
      </c>
      <c r="J180">
        <v>0</v>
      </c>
      <c r="K180">
        <v>1</v>
      </c>
      <c r="L180">
        <v>1</v>
      </c>
      <c r="M180" s="8">
        <v>3</v>
      </c>
      <c r="N180" t="s">
        <v>206</v>
      </c>
      <c r="O180" t="str">
        <f>IF(B180="SP",IF(C180="São Paulo","FRQ001","FRQ002"),VLOOKUP(B180,Premissas!$A$11:$B$28,2,FALSE))</f>
        <v>FRQ008</v>
      </c>
      <c r="P180" t="str">
        <f t="shared" si="8"/>
        <v>Própria</v>
      </c>
      <c r="Q180" s="10">
        <f>VLOOKUP(E180,Premissas!$A$32:$B$35,2,FALSE)</f>
        <v>1121</v>
      </c>
      <c r="R180" s="10">
        <f>Q180*(1-Premissas!$B$5)</f>
        <v>890.6345</v>
      </c>
      <c r="S180">
        <f t="shared" si="9"/>
        <v>3</v>
      </c>
      <c r="T180" t="str">
        <f t="shared" si="10"/>
        <v>3. Requalificar ou encerrar lead parado</v>
      </c>
      <c r="U180">
        <f t="shared" si="11"/>
        <v>1</v>
      </c>
      <c r="V180" t="s">
        <v>200</v>
      </c>
      <c r="W180" t="s">
        <v>207</v>
      </c>
      <c r="X180" s="13">
        <v>0.4405</v>
      </c>
    </row>
    <row r="181" spans="1:24" x14ac:dyDescent="0.25">
      <c r="A181" t="s">
        <v>446</v>
      </c>
      <c r="B181" t="s">
        <v>59</v>
      </c>
      <c r="C181" t="s">
        <v>261</v>
      </c>
      <c r="D181" t="s">
        <v>107</v>
      </c>
      <c r="E181" t="s">
        <v>75</v>
      </c>
      <c r="F181">
        <v>12</v>
      </c>
      <c r="G181" t="s">
        <v>196</v>
      </c>
      <c r="H181" t="s">
        <v>197</v>
      </c>
      <c r="I181" t="s">
        <v>283</v>
      </c>
      <c r="J181">
        <v>3</v>
      </c>
      <c r="K181">
        <v>0</v>
      </c>
      <c r="L181">
        <v>0</v>
      </c>
      <c r="M181" s="8">
        <v>3</v>
      </c>
      <c r="N181" t="s">
        <v>206</v>
      </c>
      <c r="O181" t="str">
        <f>IF(B181="SP",IF(C181="São Paulo","FRQ001","FRQ002"),VLOOKUP(B181,Premissas!$A$11:$B$28,2,FALSE))</f>
        <v>FRQ003</v>
      </c>
      <c r="P181" t="str">
        <f t="shared" si="8"/>
        <v>Própria</v>
      </c>
      <c r="Q181" s="10">
        <f>VLOOKUP(E181,Premissas!$A$32:$B$35,2,FALSE)</f>
        <v>938</v>
      </c>
      <c r="R181" s="10">
        <f>Q181*(1-Premissas!$B$5)</f>
        <v>745.24099999999999</v>
      </c>
      <c r="S181">
        <f t="shared" si="9"/>
        <v>1</v>
      </c>
      <c r="T181" t="str">
        <f t="shared" si="10"/>
        <v>1. Fechar (lead ativo em Reunião/Proposta)</v>
      </c>
      <c r="U181">
        <f t="shared" si="11"/>
        <v>2</v>
      </c>
      <c r="V181" t="s">
        <v>221</v>
      </c>
      <c r="W181" t="s">
        <v>232</v>
      </c>
      <c r="X181" s="13">
        <v>0.1757</v>
      </c>
    </row>
    <row r="182" spans="1:24" x14ac:dyDescent="0.25">
      <c r="A182" t="s">
        <v>447</v>
      </c>
      <c r="B182" t="s">
        <v>36</v>
      </c>
      <c r="C182" t="s">
        <v>257</v>
      </c>
      <c r="D182" t="s">
        <v>120</v>
      </c>
      <c r="E182" t="s">
        <v>72</v>
      </c>
      <c r="F182">
        <v>33</v>
      </c>
      <c r="G182" t="s">
        <v>204</v>
      </c>
      <c r="H182" t="s">
        <v>197</v>
      </c>
      <c r="I182" t="s">
        <v>205</v>
      </c>
      <c r="J182">
        <v>0</v>
      </c>
      <c r="K182">
        <v>0</v>
      </c>
      <c r="L182">
        <v>0</v>
      </c>
      <c r="M182" s="8">
        <v>3</v>
      </c>
      <c r="N182" t="s">
        <v>206</v>
      </c>
      <c r="O182" t="str">
        <f>IF(B182="SP",IF(C182="São Paulo","FRQ001","FRQ002"),VLOOKUP(B182,Premissas!$A$11:$B$28,2,FALSE))</f>
        <v>FRQ010</v>
      </c>
      <c r="P182" t="str">
        <f t="shared" si="8"/>
        <v>Própria</v>
      </c>
      <c r="Q182" s="10">
        <f>VLOOKUP(E182,Premissas!$A$32:$B$35,2,FALSE)</f>
        <v>1121</v>
      </c>
      <c r="R182" s="10">
        <f>Q182*(1-Premissas!$B$5)</f>
        <v>890.6345</v>
      </c>
      <c r="S182">
        <f t="shared" si="9"/>
        <v>4</v>
      </c>
      <c r="T182" t="str">
        <f t="shared" si="10"/>
        <v>4. Nutrir (marketing/inbound)</v>
      </c>
      <c r="U182">
        <f t="shared" si="11"/>
        <v>7</v>
      </c>
      <c r="V182" t="s">
        <v>200</v>
      </c>
      <c r="W182" t="s">
        <v>207</v>
      </c>
      <c r="X182" s="13">
        <v>0.33450000000000002</v>
      </c>
    </row>
    <row r="183" spans="1:24" x14ac:dyDescent="0.25">
      <c r="A183" t="s">
        <v>448</v>
      </c>
      <c r="B183" t="s">
        <v>59</v>
      </c>
      <c r="C183" t="s">
        <v>269</v>
      </c>
      <c r="D183" t="s">
        <v>107</v>
      </c>
      <c r="E183" t="s">
        <v>75</v>
      </c>
      <c r="F183">
        <v>10</v>
      </c>
      <c r="G183" t="s">
        <v>204</v>
      </c>
      <c r="H183" t="s">
        <v>211</v>
      </c>
      <c r="I183" t="s">
        <v>205</v>
      </c>
      <c r="J183">
        <v>0</v>
      </c>
      <c r="K183">
        <v>0</v>
      </c>
      <c r="L183">
        <v>0</v>
      </c>
      <c r="M183" s="8">
        <v>1</v>
      </c>
      <c r="N183" t="s">
        <v>212</v>
      </c>
      <c r="O183" t="str">
        <f>IF(B183="SP",IF(C183="São Paulo","FRQ001","FRQ002"),VLOOKUP(B183,Premissas!$A$11:$B$28,2,FALSE))</f>
        <v>FRQ003</v>
      </c>
      <c r="P183" t="str">
        <f t="shared" si="8"/>
        <v>Própria</v>
      </c>
      <c r="Q183" s="10">
        <f>VLOOKUP(E183,Premissas!$A$32:$B$35,2,FALSE)</f>
        <v>938</v>
      </c>
      <c r="R183" s="10">
        <f>Q183*(1-Premissas!$B$5)</f>
        <v>745.24099999999999</v>
      </c>
      <c r="S183">
        <f t="shared" si="9"/>
        <v>5</v>
      </c>
      <c r="T183" t="str">
        <f t="shared" si="10"/>
        <v>5. Régua automatizada</v>
      </c>
      <c r="U183">
        <f t="shared" si="11"/>
        <v>31</v>
      </c>
      <c r="V183" t="s">
        <v>221</v>
      </c>
      <c r="W183" t="s">
        <v>207</v>
      </c>
      <c r="X183" s="13">
        <v>0.2402</v>
      </c>
    </row>
    <row r="184" spans="1:24" x14ac:dyDescent="0.25">
      <c r="A184" t="s">
        <v>449</v>
      </c>
      <c r="B184" t="s">
        <v>57</v>
      </c>
      <c r="C184" t="s">
        <v>315</v>
      </c>
      <c r="D184" t="s">
        <v>113</v>
      </c>
      <c r="E184" t="s">
        <v>75</v>
      </c>
      <c r="F184">
        <v>4</v>
      </c>
      <c r="G184" t="s">
        <v>219</v>
      </c>
      <c r="H184" t="s">
        <v>211</v>
      </c>
      <c r="I184" t="s">
        <v>205</v>
      </c>
      <c r="J184">
        <v>0</v>
      </c>
      <c r="K184">
        <v>0</v>
      </c>
      <c r="L184">
        <v>0</v>
      </c>
      <c r="M184" s="8">
        <v>1</v>
      </c>
      <c r="N184" t="s">
        <v>212</v>
      </c>
      <c r="O184" t="str">
        <f>IF(B184="SP",IF(C184="São Paulo","FRQ001","FRQ002"),VLOOKUP(B184,Premissas!$A$11:$B$28,2,FALSE))</f>
        <v>FRQ005</v>
      </c>
      <c r="P184" t="str">
        <f t="shared" si="8"/>
        <v>Própria</v>
      </c>
      <c r="Q184" s="10">
        <f>VLOOKUP(E184,Premissas!$A$32:$B$35,2,FALSE)</f>
        <v>938</v>
      </c>
      <c r="R184" s="10">
        <f>Q184*(1-Premissas!$B$5)</f>
        <v>745.24099999999999</v>
      </c>
      <c r="S184">
        <f t="shared" si="9"/>
        <v>5</v>
      </c>
      <c r="T184" t="str">
        <f t="shared" si="10"/>
        <v>5. Régua automatizada</v>
      </c>
      <c r="U184">
        <f t="shared" si="11"/>
        <v>8</v>
      </c>
      <c r="V184" t="s">
        <v>221</v>
      </c>
      <c r="W184" t="s">
        <v>207</v>
      </c>
      <c r="X184" s="13">
        <v>0.1779</v>
      </c>
    </row>
    <row r="185" spans="1:24" x14ac:dyDescent="0.25">
      <c r="A185" t="s">
        <v>450</v>
      </c>
      <c r="B185" t="s">
        <v>38</v>
      </c>
      <c r="C185" t="s">
        <v>286</v>
      </c>
      <c r="D185" t="s">
        <v>120</v>
      </c>
      <c r="E185" t="s">
        <v>75</v>
      </c>
      <c r="F185">
        <v>20</v>
      </c>
      <c r="G185" t="s">
        <v>204</v>
      </c>
      <c r="H185" t="s">
        <v>211</v>
      </c>
      <c r="I185" t="s">
        <v>205</v>
      </c>
      <c r="J185">
        <v>0</v>
      </c>
      <c r="K185">
        <v>0</v>
      </c>
      <c r="L185">
        <v>0</v>
      </c>
      <c r="M185" s="8">
        <v>2</v>
      </c>
      <c r="N185" t="s">
        <v>212</v>
      </c>
      <c r="O185" t="str">
        <f>IF(B185="SP",IF(C185="São Paulo","FRQ001","FRQ002"),VLOOKUP(B185,Premissas!$A$11:$B$28,2,FALSE))</f>
        <v>FRQ012</v>
      </c>
      <c r="P185" t="str">
        <f t="shared" si="8"/>
        <v>Própria</v>
      </c>
      <c r="Q185" s="10">
        <f>VLOOKUP(E185,Premissas!$A$32:$B$35,2,FALSE)</f>
        <v>938</v>
      </c>
      <c r="R185" s="10">
        <f>Q185*(1-Premissas!$B$5)</f>
        <v>745.24099999999999</v>
      </c>
      <c r="S185">
        <f t="shared" si="9"/>
        <v>5</v>
      </c>
      <c r="T185" t="str">
        <f t="shared" si="10"/>
        <v>5. Régua automatizada</v>
      </c>
      <c r="U185">
        <f t="shared" si="11"/>
        <v>4</v>
      </c>
      <c r="V185" t="s">
        <v>213</v>
      </c>
      <c r="W185" t="s">
        <v>207</v>
      </c>
      <c r="X185" s="13">
        <v>0.2702</v>
      </c>
    </row>
    <row r="186" spans="1:24" x14ac:dyDescent="0.25">
      <c r="A186" t="s">
        <v>451</v>
      </c>
      <c r="B186" t="s">
        <v>66</v>
      </c>
      <c r="C186" t="s">
        <v>215</v>
      </c>
      <c r="D186" t="s">
        <v>107</v>
      </c>
      <c r="E186" t="s">
        <v>75</v>
      </c>
      <c r="F186">
        <v>21</v>
      </c>
      <c r="G186" t="s">
        <v>204</v>
      </c>
      <c r="H186" t="s">
        <v>211</v>
      </c>
      <c r="I186" t="s">
        <v>205</v>
      </c>
      <c r="J186">
        <v>0</v>
      </c>
      <c r="K186">
        <v>0</v>
      </c>
      <c r="L186">
        <v>0</v>
      </c>
      <c r="M186" s="8">
        <v>2</v>
      </c>
      <c r="N186" t="s">
        <v>212</v>
      </c>
      <c r="O186" t="str">
        <f>IF(B186="SP",IF(C186="São Paulo","FRQ001","FRQ002"),VLOOKUP(B186,Premissas!$A$11:$B$28,2,FALSE))</f>
        <v>FRQ002</v>
      </c>
      <c r="P186" t="str">
        <f t="shared" si="8"/>
        <v>Própria</v>
      </c>
      <c r="Q186" s="10">
        <f>VLOOKUP(E186,Premissas!$A$32:$B$35,2,FALSE)</f>
        <v>938</v>
      </c>
      <c r="R186" s="10">
        <f>Q186*(1-Premissas!$B$5)</f>
        <v>745.24099999999999</v>
      </c>
      <c r="S186">
        <f t="shared" si="9"/>
        <v>5</v>
      </c>
      <c r="T186" t="str">
        <f t="shared" si="10"/>
        <v>5. Régua automatizada</v>
      </c>
      <c r="U186">
        <f t="shared" si="11"/>
        <v>26</v>
      </c>
      <c r="V186" t="s">
        <v>213</v>
      </c>
      <c r="W186" t="s">
        <v>207</v>
      </c>
      <c r="X186" s="13">
        <v>0.2702</v>
      </c>
    </row>
    <row r="187" spans="1:24" x14ac:dyDescent="0.25">
      <c r="A187" t="s">
        <v>452</v>
      </c>
      <c r="B187" t="s">
        <v>33</v>
      </c>
      <c r="C187" t="s">
        <v>453</v>
      </c>
      <c r="D187" t="s">
        <v>124</v>
      </c>
      <c r="E187" t="s">
        <v>75</v>
      </c>
      <c r="F187">
        <v>23</v>
      </c>
      <c r="G187" t="s">
        <v>204</v>
      </c>
      <c r="H187" t="s">
        <v>226</v>
      </c>
      <c r="I187" t="s">
        <v>205</v>
      </c>
      <c r="J187">
        <v>0</v>
      </c>
      <c r="K187">
        <v>0</v>
      </c>
      <c r="L187">
        <v>0</v>
      </c>
      <c r="M187" s="8">
        <v>2</v>
      </c>
      <c r="N187" t="s">
        <v>212</v>
      </c>
      <c r="O187" t="str">
        <f>IF(B187="SP",IF(C187="São Paulo","FRQ001","FRQ002"),VLOOKUP(B187,Premissas!$A$11:$B$28,2,FALSE))</f>
        <v>FRQ013</v>
      </c>
      <c r="P187" t="str">
        <f t="shared" si="8"/>
        <v>Própria</v>
      </c>
      <c r="Q187" s="10">
        <f>VLOOKUP(E187,Premissas!$A$32:$B$35,2,FALSE)</f>
        <v>938</v>
      </c>
      <c r="R187" s="10">
        <f>Q187*(1-Premissas!$B$5)</f>
        <v>745.24099999999999</v>
      </c>
      <c r="S187">
        <f t="shared" si="9"/>
        <v>5</v>
      </c>
      <c r="T187" t="str">
        <f t="shared" si="10"/>
        <v>5. Régua automatizada</v>
      </c>
      <c r="U187">
        <f t="shared" si="11"/>
        <v>5</v>
      </c>
      <c r="V187" t="s">
        <v>213</v>
      </c>
      <c r="W187" t="s">
        <v>207</v>
      </c>
      <c r="X187" s="13">
        <v>0.2702</v>
      </c>
    </row>
    <row r="188" spans="1:24" x14ac:dyDescent="0.25">
      <c r="A188" t="s">
        <v>454</v>
      </c>
      <c r="B188" t="s">
        <v>59</v>
      </c>
      <c r="C188" t="s">
        <v>269</v>
      </c>
      <c r="D188" t="s">
        <v>107</v>
      </c>
      <c r="E188" t="s">
        <v>72</v>
      </c>
      <c r="F188">
        <v>69</v>
      </c>
      <c r="G188" t="s">
        <v>216</v>
      </c>
      <c r="H188" t="s">
        <v>211</v>
      </c>
      <c r="I188" t="s">
        <v>205</v>
      </c>
      <c r="J188">
        <v>0</v>
      </c>
      <c r="K188">
        <v>0</v>
      </c>
      <c r="L188">
        <v>0</v>
      </c>
      <c r="M188" s="8">
        <v>3</v>
      </c>
      <c r="N188" t="s">
        <v>206</v>
      </c>
      <c r="O188" t="str">
        <f>IF(B188="SP",IF(C188="São Paulo","FRQ001","FRQ002"),VLOOKUP(B188,Premissas!$A$11:$B$28,2,FALSE))</f>
        <v>FRQ003</v>
      </c>
      <c r="P188" t="str">
        <f t="shared" si="8"/>
        <v>Própria</v>
      </c>
      <c r="Q188" s="10">
        <f>VLOOKUP(E188,Premissas!$A$32:$B$35,2,FALSE)</f>
        <v>1121</v>
      </c>
      <c r="R188" s="10">
        <f>Q188*(1-Premissas!$B$5)</f>
        <v>890.6345</v>
      </c>
      <c r="S188">
        <f t="shared" si="9"/>
        <v>4</v>
      </c>
      <c r="T188" t="str">
        <f t="shared" si="10"/>
        <v>4. Nutrir (marketing/inbound)</v>
      </c>
      <c r="U188">
        <f t="shared" si="11"/>
        <v>14</v>
      </c>
      <c r="V188" t="s">
        <v>200</v>
      </c>
      <c r="W188" t="s">
        <v>207</v>
      </c>
      <c r="X188" s="13">
        <v>0.3921</v>
      </c>
    </row>
    <row r="189" spans="1:24" x14ac:dyDescent="0.25">
      <c r="A189" t="s">
        <v>455</v>
      </c>
      <c r="B189" t="s">
        <v>52</v>
      </c>
      <c r="C189" t="s">
        <v>203</v>
      </c>
      <c r="D189" t="s">
        <v>117</v>
      </c>
      <c r="E189" t="s">
        <v>75</v>
      </c>
      <c r="F189">
        <v>4</v>
      </c>
      <c r="G189" t="s">
        <v>219</v>
      </c>
      <c r="H189" t="s">
        <v>197</v>
      </c>
      <c r="I189" t="s">
        <v>220</v>
      </c>
      <c r="J189">
        <v>1</v>
      </c>
      <c r="K189">
        <v>0</v>
      </c>
      <c r="L189">
        <v>0</v>
      </c>
      <c r="M189" s="8">
        <v>2</v>
      </c>
      <c r="N189" t="s">
        <v>212</v>
      </c>
      <c r="O189" t="str">
        <f>IF(B189="SP",IF(C189="São Paulo","FRQ001","FRQ002"),VLOOKUP(B189,Premissas!$A$11:$B$28,2,FALSE))</f>
        <v>Sem franquia</v>
      </c>
      <c r="P189" t="str">
        <f t="shared" si="8"/>
        <v>Sem franquia</v>
      </c>
      <c r="Q189" s="10">
        <f>VLOOKUP(E189,Premissas!$A$32:$B$35,2,FALSE)</f>
        <v>938</v>
      </c>
      <c r="R189" s="10">
        <f>Q189*(1-Premissas!$B$5)</f>
        <v>745.24099999999999</v>
      </c>
      <c r="S189">
        <f t="shared" si="9"/>
        <v>5</v>
      </c>
      <c r="T189" t="str">
        <f t="shared" si="10"/>
        <v>5. Régua automatizada</v>
      </c>
      <c r="U189">
        <f t="shared" si="11"/>
        <v>18</v>
      </c>
      <c r="V189" t="s">
        <v>221</v>
      </c>
      <c r="W189" t="s">
        <v>201</v>
      </c>
      <c r="X189" s="13">
        <v>0.1094</v>
      </c>
    </row>
    <row r="190" spans="1:24" x14ac:dyDescent="0.25">
      <c r="A190" t="s">
        <v>456</v>
      </c>
      <c r="B190" t="s">
        <v>59</v>
      </c>
      <c r="C190" t="s">
        <v>269</v>
      </c>
      <c r="D190" t="s">
        <v>107</v>
      </c>
      <c r="E190" t="s">
        <v>72</v>
      </c>
      <c r="F190">
        <v>59</v>
      </c>
      <c r="G190" t="s">
        <v>204</v>
      </c>
      <c r="H190" t="s">
        <v>211</v>
      </c>
      <c r="I190" t="s">
        <v>205</v>
      </c>
      <c r="J190">
        <v>0</v>
      </c>
      <c r="K190">
        <v>0</v>
      </c>
      <c r="L190">
        <v>0</v>
      </c>
      <c r="M190" s="8">
        <v>3</v>
      </c>
      <c r="N190" t="s">
        <v>206</v>
      </c>
      <c r="O190" t="str">
        <f>IF(B190="SP",IF(C190="São Paulo","FRQ001","FRQ002"),VLOOKUP(B190,Premissas!$A$11:$B$28,2,FALSE))</f>
        <v>FRQ003</v>
      </c>
      <c r="P190" t="str">
        <f t="shared" si="8"/>
        <v>Própria</v>
      </c>
      <c r="Q190" s="10">
        <f>VLOOKUP(E190,Premissas!$A$32:$B$35,2,FALSE)</f>
        <v>1121</v>
      </c>
      <c r="R190" s="10">
        <f>Q190*(1-Premissas!$B$5)</f>
        <v>890.6345</v>
      </c>
      <c r="S190">
        <f t="shared" si="9"/>
        <v>4</v>
      </c>
      <c r="T190" t="str">
        <f t="shared" si="10"/>
        <v>4. Nutrir (marketing/inbound)</v>
      </c>
      <c r="U190">
        <f t="shared" si="11"/>
        <v>14</v>
      </c>
      <c r="V190" t="s">
        <v>200</v>
      </c>
      <c r="W190" t="s">
        <v>207</v>
      </c>
      <c r="X190" s="13">
        <v>0.40189999999999998</v>
      </c>
    </row>
    <row r="191" spans="1:24" x14ac:dyDescent="0.25">
      <c r="A191" t="s">
        <v>457</v>
      </c>
      <c r="B191" t="s">
        <v>62</v>
      </c>
      <c r="C191" t="s">
        <v>458</v>
      </c>
      <c r="D191" t="s">
        <v>113</v>
      </c>
      <c r="E191" t="s">
        <v>75</v>
      </c>
      <c r="F191">
        <v>23</v>
      </c>
      <c r="G191" t="s">
        <v>216</v>
      </c>
      <c r="H191" t="s">
        <v>211</v>
      </c>
      <c r="I191" t="s">
        <v>205</v>
      </c>
      <c r="J191">
        <v>0</v>
      </c>
      <c r="K191">
        <v>0</v>
      </c>
      <c r="L191">
        <v>0</v>
      </c>
      <c r="M191" s="8">
        <v>2</v>
      </c>
      <c r="N191" t="s">
        <v>212</v>
      </c>
      <c r="O191" t="str">
        <f>IF(B191="SP",IF(C191="São Paulo","FRQ001","FRQ002"),VLOOKUP(B191,Premissas!$A$11:$B$28,2,FALSE))</f>
        <v>FRQ007</v>
      </c>
      <c r="P191" t="str">
        <f t="shared" si="8"/>
        <v>Própria</v>
      </c>
      <c r="Q191" s="10">
        <f>VLOOKUP(E191,Premissas!$A$32:$B$35,2,FALSE)</f>
        <v>938</v>
      </c>
      <c r="R191" s="10">
        <f>Q191*(1-Premissas!$B$5)</f>
        <v>745.24099999999999</v>
      </c>
      <c r="S191">
        <f t="shared" si="9"/>
        <v>5</v>
      </c>
      <c r="T191" t="str">
        <f t="shared" si="10"/>
        <v>5. Régua automatizada</v>
      </c>
      <c r="U191">
        <f t="shared" si="11"/>
        <v>5</v>
      </c>
      <c r="V191" t="s">
        <v>213</v>
      </c>
      <c r="W191" t="s">
        <v>207</v>
      </c>
      <c r="X191" s="13">
        <v>0.1575</v>
      </c>
    </row>
    <row r="192" spans="1:24" x14ac:dyDescent="0.25">
      <c r="A192" t="s">
        <v>459</v>
      </c>
      <c r="B192" t="s">
        <v>66</v>
      </c>
      <c r="C192" t="s">
        <v>215</v>
      </c>
      <c r="D192" t="s">
        <v>107</v>
      </c>
      <c r="E192" t="s">
        <v>75</v>
      </c>
      <c r="F192">
        <v>7</v>
      </c>
      <c r="G192" t="s">
        <v>196</v>
      </c>
      <c r="H192" t="s">
        <v>211</v>
      </c>
      <c r="I192" t="s">
        <v>205</v>
      </c>
      <c r="J192">
        <v>0</v>
      </c>
      <c r="K192">
        <v>0</v>
      </c>
      <c r="L192">
        <v>0</v>
      </c>
      <c r="M192" s="8">
        <v>1</v>
      </c>
      <c r="N192" t="s">
        <v>212</v>
      </c>
      <c r="O192" t="str">
        <f>IF(B192="SP",IF(C192="São Paulo","FRQ001","FRQ002"),VLOOKUP(B192,Premissas!$A$11:$B$28,2,FALSE))</f>
        <v>FRQ002</v>
      </c>
      <c r="P192" t="str">
        <f t="shared" si="8"/>
        <v>Própria</v>
      </c>
      <c r="Q192" s="10">
        <f>VLOOKUP(E192,Premissas!$A$32:$B$35,2,FALSE)</f>
        <v>938</v>
      </c>
      <c r="R192" s="10">
        <f>Q192*(1-Premissas!$B$5)</f>
        <v>745.24099999999999</v>
      </c>
      <c r="S192">
        <f t="shared" si="9"/>
        <v>5</v>
      </c>
      <c r="T192" t="str">
        <f t="shared" si="10"/>
        <v>5. Régua automatizada</v>
      </c>
      <c r="U192">
        <f t="shared" si="11"/>
        <v>26</v>
      </c>
      <c r="V192" t="s">
        <v>221</v>
      </c>
      <c r="W192" t="s">
        <v>207</v>
      </c>
      <c r="X192" s="13">
        <v>0.24440000000000001</v>
      </c>
    </row>
    <row r="193" spans="1:24" x14ac:dyDescent="0.25">
      <c r="A193" t="s">
        <v>460</v>
      </c>
      <c r="B193" t="s">
        <v>44</v>
      </c>
      <c r="C193" t="s">
        <v>209</v>
      </c>
      <c r="D193" t="s">
        <v>117</v>
      </c>
      <c r="E193" t="s">
        <v>75</v>
      </c>
      <c r="F193">
        <v>18</v>
      </c>
      <c r="G193" t="s">
        <v>204</v>
      </c>
      <c r="H193" t="s">
        <v>211</v>
      </c>
      <c r="I193" t="s">
        <v>205</v>
      </c>
      <c r="J193">
        <v>0</v>
      </c>
      <c r="K193">
        <v>0</v>
      </c>
      <c r="L193">
        <v>0</v>
      </c>
      <c r="M193" s="8">
        <v>2</v>
      </c>
      <c r="N193" t="s">
        <v>212</v>
      </c>
      <c r="O193" t="str">
        <f>IF(B193="SP",IF(C193="São Paulo","FRQ001","FRQ002"),VLOOKUP(B193,Premissas!$A$11:$B$28,2,FALSE))</f>
        <v>FRQ009</v>
      </c>
      <c r="P193" t="str">
        <f t="shared" si="8"/>
        <v>Própria</v>
      </c>
      <c r="Q193" s="10">
        <f>VLOOKUP(E193,Premissas!$A$32:$B$35,2,FALSE)</f>
        <v>938</v>
      </c>
      <c r="R193" s="10">
        <f>Q193*(1-Premissas!$B$5)</f>
        <v>745.24099999999999</v>
      </c>
      <c r="S193">
        <f t="shared" si="9"/>
        <v>5</v>
      </c>
      <c r="T193" t="str">
        <f t="shared" si="10"/>
        <v>5. Régua automatizada</v>
      </c>
      <c r="U193">
        <f t="shared" si="11"/>
        <v>6</v>
      </c>
      <c r="V193" t="s">
        <v>213</v>
      </c>
      <c r="W193" t="s">
        <v>207</v>
      </c>
      <c r="X193" s="13">
        <v>0.17169999999999999</v>
      </c>
    </row>
    <row r="194" spans="1:24" x14ac:dyDescent="0.25">
      <c r="A194" t="s">
        <v>461</v>
      </c>
      <c r="B194" t="s">
        <v>49</v>
      </c>
      <c r="C194" t="s">
        <v>218</v>
      </c>
      <c r="D194" t="s">
        <v>107</v>
      </c>
      <c r="E194" t="s">
        <v>75</v>
      </c>
      <c r="F194">
        <v>10</v>
      </c>
      <c r="G194" t="s">
        <v>219</v>
      </c>
      <c r="H194" t="s">
        <v>197</v>
      </c>
      <c r="I194" t="s">
        <v>205</v>
      </c>
      <c r="J194">
        <v>0</v>
      </c>
      <c r="K194">
        <v>0</v>
      </c>
      <c r="L194">
        <v>0</v>
      </c>
      <c r="M194" s="8">
        <v>1</v>
      </c>
      <c r="N194" t="s">
        <v>212</v>
      </c>
      <c r="O194" t="str">
        <f>IF(B194="SP",IF(C194="São Paulo","FRQ001","FRQ002"),VLOOKUP(B194,Premissas!$A$11:$B$28,2,FALSE))</f>
        <v>FRQ004</v>
      </c>
      <c r="P194" t="str">
        <f t="shared" ref="P194:P257" si="12">IF(O194="Sem franquia","Sem franquia","Própria")</f>
        <v>Própria</v>
      </c>
      <c r="Q194" s="10">
        <f>VLOOKUP(E194,Premissas!$A$32:$B$35,2,FALSE)</f>
        <v>938</v>
      </c>
      <c r="R194" s="10">
        <f>Q194*(1-Premissas!$B$5)</f>
        <v>745.24099999999999</v>
      </c>
      <c r="S194">
        <f t="shared" ref="S194:S257" si="13">IF(J194&gt;=3,1,IF(N194="Alta",2,IF(K194=1,3,IF(N194="Média",4,5))))</f>
        <v>5</v>
      </c>
      <c r="T194" t="str">
        <f t="shared" ref="T194:T257" si="14">CHOOSE(S194,"1. Fechar (lead ativo em Reunião/Proposta)","2. Prospectar tier Alta","3. Requalificar ou encerrar lead parado","4. Nutrir (marketing/inbound)","5. Régua automatizada")</f>
        <v>5. Régua automatizada</v>
      </c>
      <c r="U194">
        <f t="shared" ref="U194:U257" si="15">COUNTIFS($O$2:$O$304,O194,$S$2:$S$304,"&lt;"&amp;S194)+COUNTIFS($O$2:$O$304,O194,$S$2:$S$304,S194,$R$2:$R$304,"&gt;"&amp;R194)+1</f>
        <v>20</v>
      </c>
      <c r="V194" t="s">
        <v>221</v>
      </c>
      <c r="W194" t="s">
        <v>207</v>
      </c>
      <c r="X194" s="13">
        <v>0.1779</v>
      </c>
    </row>
    <row r="195" spans="1:24" x14ac:dyDescent="0.25">
      <c r="A195" t="s">
        <v>462</v>
      </c>
      <c r="B195" t="s">
        <v>59</v>
      </c>
      <c r="C195" t="s">
        <v>269</v>
      </c>
      <c r="D195" t="s">
        <v>107</v>
      </c>
      <c r="E195" t="s">
        <v>75</v>
      </c>
      <c r="F195">
        <v>17</v>
      </c>
      <c r="G195" t="s">
        <v>196</v>
      </c>
      <c r="H195" t="s">
        <v>211</v>
      </c>
      <c r="I195" t="s">
        <v>205</v>
      </c>
      <c r="J195">
        <v>0</v>
      </c>
      <c r="K195">
        <v>0</v>
      </c>
      <c r="L195">
        <v>0</v>
      </c>
      <c r="M195" s="8">
        <v>2</v>
      </c>
      <c r="N195" t="s">
        <v>212</v>
      </c>
      <c r="O195" t="str">
        <f>IF(B195="SP",IF(C195="São Paulo","FRQ001","FRQ002"),VLOOKUP(B195,Premissas!$A$11:$B$28,2,FALSE))</f>
        <v>FRQ003</v>
      </c>
      <c r="P195" t="str">
        <f t="shared" si="12"/>
        <v>Própria</v>
      </c>
      <c r="Q195" s="10">
        <f>VLOOKUP(E195,Premissas!$A$32:$B$35,2,FALSE)</f>
        <v>938</v>
      </c>
      <c r="R195" s="10">
        <f>Q195*(1-Premissas!$B$5)</f>
        <v>745.24099999999999</v>
      </c>
      <c r="S195">
        <f t="shared" si="13"/>
        <v>5</v>
      </c>
      <c r="T195" t="str">
        <f t="shared" si="14"/>
        <v>5. Régua automatizada</v>
      </c>
      <c r="U195">
        <f t="shared" si="15"/>
        <v>31</v>
      </c>
      <c r="V195" t="s">
        <v>213</v>
      </c>
      <c r="W195" t="s">
        <v>207</v>
      </c>
      <c r="X195" s="13">
        <v>0.1757</v>
      </c>
    </row>
    <row r="196" spans="1:24" x14ac:dyDescent="0.25">
      <c r="A196" t="s">
        <v>463</v>
      </c>
      <c r="B196" t="s">
        <v>36</v>
      </c>
      <c r="C196" t="s">
        <v>371</v>
      </c>
      <c r="D196" t="s">
        <v>120</v>
      </c>
      <c r="E196" t="s">
        <v>75</v>
      </c>
      <c r="F196">
        <v>4</v>
      </c>
      <c r="G196" t="s">
        <v>219</v>
      </c>
      <c r="H196" t="s">
        <v>211</v>
      </c>
      <c r="I196" t="s">
        <v>205</v>
      </c>
      <c r="J196">
        <v>0</v>
      </c>
      <c r="K196">
        <v>0</v>
      </c>
      <c r="L196">
        <v>0</v>
      </c>
      <c r="M196" s="8">
        <v>1</v>
      </c>
      <c r="N196" t="s">
        <v>212</v>
      </c>
      <c r="O196" t="str">
        <f>IF(B196="SP",IF(C196="São Paulo","FRQ001","FRQ002"),VLOOKUP(B196,Premissas!$A$11:$B$28,2,FALSE))</f>
        <v>FRQ010</v>
      </c>
      <c r="P196" t="str">
        <f t="shared" si="12"/>
        <v>Própria</v>
      </c>
      <c r="Q196" s="10">
        <f>VLOOKUP(E196,Premissas!$A$32:$B$35,2,FALSE)</f>
        <v>938</v>
      </c>
      <c r="R196" s="10">
        <f>Q196*(1-Premissas!$B$5)</f>
        <v>745.24099999999999</v>
      </c>
      <c r="S196">
        <f t="shared" si="13"/>
        <v>5</v>
      </c>
      <c r="T196" t="str">
        <f t="shared" si="14"/>
        <v>5. Régua automatizada</v>
      </c>
      <c r="U196">
        <f t="shared" si="15"/>
        <v>10</v>
      </c>
      <c r="V196" t="s">
        <v>221</v>
      </c>
      <c r="W196" t="s">
        <v>207</v>
      </c>
      <c r="X196" s="13">
        <v>0.1094</v>
      </c>
    </row>
    <row r="197" spans="1:24" x14ac:dyDescent="0.25">
      <c r="A197" t="s">
        <v>464</v>
      </c>
      <c r="B197" t="s">
        <v>52</v>
      </c>
      <c r="C197" t="s">
        <v>203</v>
      </c>
      <c r="D197" t="s">
        <v>117</v>
      </c>
      <c r="E197" t="s">
        <v>75</v>
      </c>
      <c r="F197">
        <v>20</v>
      </c>
      <c r="G197" t="s">
        <v>196</v>
      </c>
      <c r="H197" t="s">
        <v>197</v>
      </c>
      <c r="I197" t="s">
        <v>231</v>
      </c>
      <c r="J197">
        <v>4</v>
      </c>
      <c r="K197">
        <v>0</v>
      </c>
      <c r="L197">
        <v>0</v>
      </c>
      <c r="M197" s="8">
        <v>4</v>
      </c>
      <c r="N197" t="s">
        <v>199</v>
      </c>
      <c r="O197" t="str">
        <f>IF(B197="SP",IF(C197="São Paulo","FRQ001","FRQ002"),VLOOKUP(B197,Premissas!$A$11:$B$28,2,FALSE))</f>
        <v>Sem franquia</v>
      </c>
      <c r="P197" t="str">
        <f t="shared" si="12"/>
        <v>Sem franquia</v>
      </c>
      <c r="Q197" s="10">
        <f>VLOOKUP(E197,Premissas!$A$32:$B$35,2,FALSE)</f>
        <v>938</v>
      </c>
      <c r="R197" s="10">
        <f>Q197*(1-Premissas!$B$5)</f>
        <v>745.24099999999999</v>
      </c>
      <c r="S197">
        <f t="shared" si="13"/>
        <v>1</v>
      </c>
      <c r="T197" t="str">
        <f t="shared" si="14"/>
        <v>1. Fechar (lead ativo em Reunião/Proposta)</v>
      </c>
      <c r="U197">
        <f t="shared" si="15"/>
        <v>1</v>
      </c>
      <c r="V197" t="s">
        <v>213</v>
      </c>
      <c r="W197" t="s">
        <v>232</v>
      </c>
      <c r="X197" s="13">
        <v>0.20580000000000001</v>
      </c>
    </row>
    <row r="198" spans="1:24" x14ac:dyDescent="0.25">
      <c r="A198" t="s">
        <v>465</v>
      </c>
      <c r="B198" t="s">
        <v>59</v>
      </c>
      <c r="C198" t="s">
        <v>228</v>
      </c>
      <c r="D198" t="s">
        <v>107</v>
      </c>
      <c r="E198" t="s">
        <v>75</v>
      </c>
      <c r="F198">
        <v>16</v>
      </c>
      <c r="G198" t="s">
        <v>219</v>
      </c>
      <c r="H198" t="s">
        <v>197</v>
      </c>
      <c r="I198" t="s">
        <v>231</v>
      </c>
      <c r="J198">
        <v>4</v>
      </c>
      <c r="K198">
        <v>0</v>
      </c>
      <c r="L198">
        <v>0</v>
      </c>
      <c r="M198" s="8">
        <v>4</v>
      </c>
      <c r="N198" t="s">
        <v>199</v>
      </c>
      <c r="O198" t="str">
        <f>IF(B198="SP",IF(C198="São Paulo","FRQ001","FRQ002"),VLOOKUP(B198,Premissas!$A$11:$B$28,2,FALSE))</f>
        <v>FRQ003</v>
      </c>
      <c r="P198" t="str">
        <f t="shared" si="12"/>
        <v>Própria</v>
      </c>
      <c r="Q198" s="10">
        <f>VLOOKUP(E198,Premissas!$A$32:$B$35,2,FALSE)</f>
        <v>938</v>
      </c>
      <c r="R198" s="10">
        <f>Q198*(1-Premissas!$B$5)</f>
        <v>745.24099999999999</v>
      </c>
      <c r="S198">
        <f t="shared" si="13"/>
        <v>1</v>
      </c>
      <c r="T198" t="str">
        <f t="shared" si="14"/>
        <v>1. Fechar (lead ativo em Reunião/Proposta)</v>
      </c>
      <c r="U198">
        <f t="shared" si="15"/>
        <v>2</v>
      </c>
      <c r="V198" t="s">
        <v>213</v>
      </c>
      <c r="W198" t="s">
        <v>232</v>
      </c>
      <c r="X198" s="13">
        <v>0.1094</v>
      </c>
    </row>
    <row r="199" spans="1:24" x14ac:dyDescent="0.25">
      <c r="A199" t="s">
        <v>466</v>
      </c>
      <c r="B199" t="s">
        <v>59</v>
      </c>
      <c r="C199" t="s">
        <v>269</v>
      </c>
      <c r="D199" t="s">
        <v>107</v>
      </c>
      <c r="E199" t="s">
        <v>75</v>
      </c>
      <c r="F199">
        <v>16</v>
      </c>
      <c r="G199" t="s">
        <v>204</v>
      </c>
      <c r="H199" t="s">
        <v>197</v>
      </c>
      <c r="I199" t="s">
        <v>205</v>
      </c>
      <c r="J199">
        <v>0</v>
      </c>
      <c r="K199">
        <v>0</v>
      </c>
      <c r="L199">
        <v>0</v>
      </c>
      <c r="M199" s="8">
        <v>2</v>
      </c>
      <c r="N199" t="s">
        <v>212</v>
      </c>
      <c r="O199" t="str">
        <f>IF(B199="SP",IF(C199="São Paulo","FRQ001","FRQ002"),VLOOKUP(B199,Premissas!$A$11:$B$28,2,FALSE))</f>
        <v>FRQ003</v>
      </c>
      <c r="P199" t="str">
        <f t="shared" si="12"/>
        <v>Própria</v>
      </c>
      <c r="Q199" s="10">
        <f>VLOOKUP(E199,Premissas!$A$32:$B$35,2,FALSE)</f>
        <v>938</v>
      </c>
      <c r="R199" s="10">
        <f>Q199*(1-Premissas!$B$5)</f>
        <v>745.24099999999999</v>
      </c>
      <c r="S199">
        <f t="shared" si="13"/>
        <v>5</v>
      </c>
      <c r="T199" t="str">
        <f t="shared" si="14"/>
        <v>5. Régua automatizada</v>
      </c>
      <c r="U199">
        <f t="shared" si="15"/>
        <v>31</v>
      </c>
      <c r="V199" t="s">
        <v>213</v>
      </c>
      <c r="W199" t="s">
        <v>207</v>
      </c>
      <c r="X199" s="13">
        <v>0.17169999999999999</v>
      </c>
    </row>
    <row r="200" spans="1:24" x14ac:dyDescent="0.25">
      <c r="A200" t="s">
        <v>467</v>
      </c>
      <c r="B200" t="s">
        <v>49</v>
      </c>
      <c r="C200" t="s">
        <v>266</v>
      </c>
      <c r="D200" t="s">
        <v>107</v>
      </c>
      <c r="E200" t="s">
        <v>72</v>
      </c>
      <c r="F200">
        <v>32</v>
      </c>
      <c r="G200" t="s">
        <v>237</v>
      </c>
      <c r="H200" t="s">
        <v>197</v>
      </c>
      <c r="I200" t="s">
        <v>205</v>
      </c>
      <c r="J200">
        <v>0</v>
      </c>
      <c r="K200">
        <v>1</v>
      </c>
      <c r="L200">
        <v>0</v>
      </c>
      <c r="M200" s="8">
        <v>3</v>
      </c>
      <c r="N200" t="s">
        <v>206</v>
      </c>
      <c r="O200" t="str">
        <f>IF(B200="SP",IF(C200="São Paulo","FRQ001","FRQ002"),VLOOKUP(B200,Premissas!$A$11:$B$28,2,FALSE))</f>
        <v>FRQ004</v>
      </c>
      <c r="P200" t="str">
        <f t="shared" si="12"/>
        <v>Própria</v>
      </c>
      <c r="Q200" s="10">
        <f>VLOOKUP(E200,Premissas!$A$32:$B$35,2,FALSE)</f>
        <v>1121</v>
      </c>
      <c r="R200" s="10">
        <f>Q200*(1-Premissas!$B$5)</f>
        <v>890.6345</v>
      </c>
      <c r="S200">
        <f t="shared" si="13"/>
        <v>3</v>
      </c>
      <c r="T200" t="str">
        <f t="shared" si="14"/>
        <v>3. Requalificar ou encerrar lead parado</v>
      </c>
      <c r="U200">
        <f t="shared" si="15"/>
        <v>4</v>
      </c>
      <c r="V200" t="s">
        <v>200</v>
      </c>
      <c r="W200" t="s">
        <v>207</v>
      </c>
      <c r="X200" s="13">
        <v>0.37569999999999998</v>
      </c>
    </row>
    <row r="201" spans="1:24" x14ac:dyDescent="0.25">
      <c r="A201" t="s">
        <v>468</v>
      </c>
      <c r="B201" t="s">
        <v>49</v>
      </c>
      <c r="C201" t="s">
        <v>266</v>
      </c>
      <c r="D201" t="s">
        <v>107</v>
      </c>
      <c r="E201" t="s">
        <v>72</v>
      </c>
      <c r="F201">
        <v>64</v>
      </c>
      <c r="G201" t="s">
        <v>196</v>
      </c>
      <c r="H201" t="s">
        <v>197</v>
      </c>
      <c r="I201" t="s">
        <v>220</v>
      </c>
      <c r="J201">
        <v>1</v>
      </c>
      <c r="K201">
        <v>1</v>
      </c>
      <c r="L201">
        <v>1</v>
      </c>
      <c r="M201" s="8">
        <v>4</v>
      </c>
      <c r="N201" t="s">
        <v>199</v>
      </c>
      <c r="O201" t="str">
        <f>IF(B201="SP",IF(C201="São Paulo","FRQ001","FRQ002"),VLOOKUP(B201,Premissas!$A$11:$B$28,2,FALSE))</f>
        <v>FRQ004</v>
      </c>
      <c r="P201" t="str">
        <f t="shared" si="12"/>
        <v>Própria</v>
      </c>
      <c r="Q201" s="10">
        <f>VLOOKUP(E201,Premissas!$A$32:$B$35,2,FALSE)</f>
        <v>1121</v>
      </c>
      <c r="R201" s="10">
        <f>Q201*(1-Premissas!$B$5)</f>
        <v>890.6345</v>
      </c>
      <c r="S201">
        <f t="shared" si="13"/>
        <v>2</v>
      </c>
      <c r="T201" t="str">
        <f t="shared" si="14"/>
        <v>2. Prospectar tier Alta</v>
      </c>
      <c r="U201">
        <f t="shared" si="15"/>
        <v>3</v>
      </c>
      <c r="V201" t="s">
        <v>200</v>
      </c>
      <c r="W201" t="s">
        <v>201</v>
      </c>
      <c r="X201" s="13">
        <v>0.5091</v>
      </c>
    </row>
    <row r="202" spans="1:24" x14ac:dyDescent="0.25">
      <c r="A202" t="s">
        <v>469</v>
      </c>
      <c r="B202" t="s">
        <v>59</v>
      </c>
      <c r="C202" t="s">
        <v>228</v>
      </c>
      <c r="D202" t="s">
        <v>107</v>
      </c>
      <c r="E202" t="s">
        <v>75</v>
      </c>
      <c r="F202">
        <v>10</v>
      </c>
      <c r="G202" t="s">
        <v>210</v>
      </c>
      <c r="H202" t="s">
        <v>211</v>
      </c>
      <c r="I202" t="s">
        <v>205</v>
      </c>
      <c r="J202">
        <v>0</v>
      </c>
      <c r="K202">
        <v>0</v>
      </c>
      <c r="L202">
        <v>0</v>
      </c>
      <c r="M202" s="8">
        <v>1</v>
      </c>
      <c r="N202" t="s">
        <v>212</v>
      </c>
      <c r="O202" t="str">
        <f>IF(B202="SP",IF(C202="São Paulo","FRQ001","FRQ002"),VLOOKUP(B202,Premissas!$A$11:$B$28,2,FALSE))</f>
        <v>FRQ003</v>
      </c>
      <c r="P202" t="str">
        <f t="shared" si="12"/>
        <v>Própria</v>
      </c>
      <c r="Q202" s="10">
        <f>VLOOKUP(E202,Premissas!$A$32:$B$35,2,FALSE)</f>
        <v>938</v>
      </c>
      <c r="R202" s="10">
        <f>Q202*(1-Premissas!$B$5)</f>
        <v>745.24099999999999</v>
      </c>
      <c r="S202">
        <f t="shared" si="13"/>
        <v>5</v>
      </c>
      <c r="T202" t="str">
        <f t="shared" si="14"/>
        <v>5. Régua automatizada</v>
      </c>
      <c r="U202">
        <f t="shared" si="15"/>
        <v>31</v>
      </c>
      <c r="V202" t="s">
        <v>221</v>
      </c>
      <c r="W202" t="s">
        <v>207</v>
      </c>
      <c r="X202" s="13">
        <v>0.16489999999999999</v>
      </c>
    </row>
    <row r="203" spans="1:24" x14ac:dyDescent="0.25">
      <c r="A203" t="s">
        <v>470</v>
      </c>
      <c r="B203" t="s">
        <v>46</v>
      </c>
      <c r="C203" t="s">
        <v>279</v>
      </c>
      <c r="D203" t="s">
        <v>120</v>
      </c>
      <c r="E203" t="s">
        <v>72</v>
      </c>
      <c r="F203">
        <v>57</v>
      </c>
      <c r="G203" t="s">
        <v>243</v>
      </c>
      <c r="H203" t="s">
        <v>197</v>
      </c>
      <c r="I203" t="s">
        <v>205</v>
      </c>
      <c r="J203">
        <v>0</v>
      </c>
      <c r="K203">
        <v>1</v>
      </c>
      <c r="L203">
        <v>1</v>
      </c>
      <c r="M203" s="8">
        <v>3</v>
      </c>
      <c r="N203" t="s">
        <v>206</v>
      </c>
      <c r="O203" t="str">
        <f>IF(B203="SP",IF(C203="São Paulo","FRQ001","FRQ002"),VLOOKUP(B203,Premissas!$A$11:$B$28,2,FALSE))</f>
        <v>Sem franquia</v>
      </c>
      <c r="P203" t="str">
        <f t="shared" si="12"/>
        <v>Sem franquia</v>
      </c>
      <c r="Q203" s="10">
        <f>VLOOKUP(E203,Premissas!$A$32:$B$35,2,FALSE)</f>
        <v>1121</v>
      </c>
      <c r="R203" s="10">
        <f>Q203*(1-Premissas!$B$5)</f>
        <v>890.6345</v>
      </c>
      <c r="S203">
        <f t="shared" si="13"/>
        <v>3</v>
      </c>
      <c r="T203" t="str">
        <f t="shared" si="14"/>
        <v>3. Requalificar ou encerrar lead parado</v>
      </c>
      <c r="U203">
        <f t="shared" si="15"/>
        <v>6</v>
      </c>
      <c r="V203" t="s">
        <v>200</v>
      </c>
      <c r="W203" t="s">
        <v>207</v>
      </c>
      <c r="X203" s="13">
        <v>0.49130000000000001</v>
      </c>
    </row>
    <row r="204" spans="1:24" x14ac:dyDescent="0.25">
      <c r="A204" t="s">
        <v>471</v>
      </c>
      <c r="B204" t="s">
        <v>55</v>
      </c>
      <c r="C204" t="s">
        <v>291</v>
      </c>
      <c r="D204" t="s">
        <v>120</v>
      </c>
      <c r="E204" t="s">
        <v>72</v>
      </c>
      <c r="F204">
        <v>25</v>
      </c>
      <c r="G204" t="s">
        <v>196</v>
      </c>
      <c r="H204" t="s">
        <v>211</v>
      </c>
      <c r="I204" t="s">
        <v>205</v>
      </c>
      <c r="J204">
        <v>0</v>
      </c>
      <c r="K204">
        <v>0</v>
      </c>
      <c r="L204">
        <v>0</v>
      </c>
      <c r="M204" s="8">
        <v>3</v>
      </c>
      <c r="N204" t="s">
        <v>206</v>
      </c>
      <c r="O204" t="str">
        <f>IF(B204="SP",IF(C204="São Paulo","FRQ001","FRQ002"),VLOOKUP(B204,Premissas!$A$11:$B$28,2,FALSE))</f>
        <v>FRQ011</v>
      </c>
      <c r="P204" t="str">
        <f t="shared" si="12"/>
        <v>Própria</v>
      </c>
      <c r="Q204" s="10">
        <f>VLOOKUP(E204,Premissas!$A$32:$B$35,2,FALSE)</f>
        <v>1121</v>
      </c>
      <c r="R204" s="10">
        <f>Q204*(1-Premissas!$B$5)</f>
        <v>890.6345</v>
      </c>
      <c r="S204">
        <f t="shared" si="13"/>
        <v>4</v>
      </c>
      <c r="T204" t="str">
        <f t="shared" si="14"/>
        <v>4. Nutrir (marketing/inbound)</v>
      </c>
      <c r="U204">
        <f t="shared" si="15"/>
        <v>7</v>
      </c>
      <c r="V204" t="s">
        <v>200</v>
      </c>
      <c r="W204" t="s">
        <v>207</v>
      </c>
      <c r="X204" s="13">
        <v>0.3387</v>
      </c>
    </row>
    <row r="205" spans="1:24" x14ac:dyDescent="0.25">
      <c r="A205" t="s">
        <v>472</v>
      </c>
      <c r="B205" t="s">
        <v>59</v>
      </c>
      <c r="C205" t="s">
        <v>228</v>
      </c>
      <c r="D205" t="s">
        <v>107</v>
      </c>
      <c r="E205" t="s">
        <v>72</v>
      </c>
      <c r="F205">
        <v>62</v>
      </c>
      <c r="G205" t="s">
        <v>204</v>
      </c>
      <c r="H205" t="s">
        <v>211</v>
      </c>
      <c r="I205" t="s">
        <v>205</v>
      </c>
      <c r="J205">
        <v>0</v>
      </c>
      <c r="K205">
        <v>0</v>
      </c>
      <c r="L205">
        <v>0</v>
      </c>
      <c r="M205" s="8">
        <v>3</v>
      </c>
      <c r="N205" t="s">
        <v>206</v>
      </c>
      <c r="O205" t="str">
        <f>IF(B205="SP",IF(C205="São Paulo","FRQ001","FRQ002"),VLOOKUP(B205,Premissas!$A$11:$B$28,2,FALSE))</f>
        <v>FRQ003</v>
      </c>
      <c r="P205" t="str">
        <f t="shared" si="12"/>
        <v>Própria</v>
      </c>
      <c r="Q205" s="10">
        <f>VLOOKUP(E205,Premissas!$A$32:$B$35,2,FALSE)</f>
        <v>1121</v>
      </c>
      <c r="R205" s="10">
        <f>Q205*(1-Premissas!$B$5)</f>
        <v>890.6345</v>
      </c>
      <c r="S205">
        <f t="shared" si="13"/>
        <v>4</v>
      </c>
      <c r="T205" t="str">
        <f t="shared" si="14"/>
        <v>4. Nutrir (marketing/inbound)</v>
      </c>
      <c r="U205">
        <f t="shared" si="15"/>
        <v>14</v>
      </c>
      <c r="V205" t="s">
        <v>200</v>
      </c>
      <c r="W205" t="s">
        <v>207</v>
      </c>
      <c r="X205" s="13">
        <v>0.40189999999999998</v>
      </c>
    </row>
    <row r="206" spans="1:24" x14ac:dyDescent="0.25">
      <c r="A206" t="s">
        <v>473</v>
      </c>
      <c r="B206" t="s">
        <v>66</v>
      </c>
      <c r="C206" t="s">
        <v>215</v>
      </c>
      <c r="D206" t="s">
        <v>107</v>
      </c>
      <c r="E206" t="s">
        <v>75</v>
      </c>
      <c r="F206">
        <v>20</v>
      </c>
      <c r="G206" t="s">
        <v>210</v>
      </c>
      <c r="H206" t="s">
        <v>211</v>
      </c>
      <c r="I206" t="s">
        <v>205</v>
      </c>
      <c r="J206">
        <v>0</v>
      </c>
      <c r="K206">
        <v>0</v>
      </c>
      <c r="L206">
        <v>0</v>
      </c>
      <c r="M206" s="8">
        <v>2</v>
      </c>
      <c r="N206" t="s">
        <v>212</v>
      </c>
      <c r="O206" t="str">
        <f>IF(B206="SP",IF(C206="São Paulo","FRQ001","FRQ002"),VLOOKUP(B206,Premissas!$A$11:$B$28,2,FALSE))</f>
        <v>FRQ002</v>
      </c>
      <c r="P206" t="str">
        <f t="shared" si="12"/>
        <v>Própria</v>
      </c>
      <c r="Q206" s="10">
        <f>VLOOKUP(E206,Premissas!$A$32:$B$35,2,FALSE)</f>
        <v>938</v>
      </c>
      <c r="R206" s="10">
        <f>Q206*(1-Premissas!$B$5)</f>
        <v>745.24099999999999</v>
      </c>
      <c r="S206">
        <f t="shared" si="13"/>
        <v>5</v>
      </c>
      <c r="T206" t="str">
        <f t="shared" si="14"/>
        <v>5. Régua automatizada</v>
      </c>
      <c r="U206">
        <f t="shared" si="15"/>
        <v>26</v>
      </c>
      <c r="V206" t="s">
        <v>213</v>
      </c>
      <c r="W206" t="s">
        <v>207</v>
      </c>
      <c r="X206" s="13">
        <v>0.12620000000000001</v>
      </c>
    </row>
    <row r="207" spans="1:24" x14ac:dyDescent="0.25">
      <c r="A207" t="s">
        <v>474</v>
      </c>
      <c r="B207" t="s">
        <v>42</v>
      </c>
      <c r="C207" t="s">
        <v>378</v>
      </c>
      <c r="D207" t="s">
        <v>107</v>
      </c>
      <c r="E207" t="s">
        <v>75</v>
      </c>
      <c r="F207">
        <v>24</v>
      </c>
      <c r="G207" t="s">
        <v>216</v>
      </c>
      <c r="H207" t="s">
        <v>211</v>
      </c>
      <c r="I207" t="s">
        <v>205</v>
      </c>
      <c r="J207">
        <v>0</v>
      </c>
      <c r="K207">
        <v>0</v>
      </c>
      <c r="L207">
        <v>0</v>
      </c>
      <c r="M207" s="8">
        <v>2</v>
      </c>
      <c r="N207" t="s">
        <v>212</v>
      </c>
      <c r="O207" t="str">
        <f>IF(B207="SP",IF(C207="São Paulo","FRQ001","FRQ002"),VLOOKUP(B207,Premissas!$A$11:$B$28,2,FALSE))</f>
        <v>FRQ015</v>
      </c>
      <c r="P207" t="str">
        <f t="shared" si="12"/>
        <v>Própria</v>
      </c>
      <c r="Q207" s="10">
        <f>VLOOKUP(E207,Premissas!$A$32:$B$35,2,FALSE)</f>
        <v>938</v>
      </c>
      <c r="R207" s="10">
        <f>Q207*(1-Premissas!$B$5)</f>
        <v>745.24099999999999</v>
      </c>
      <c r="S207">
        <f t="shared" si="13"/>
        <v>5</v>
      </c>
      <c r="T207" t="str">
        <f t="shared" si="14"/>
        <v>5. Régua automatizada</v>
      </c>
      <c r="U207">
        <f t="shared" si="15"/>
        <v>8</v>
      </c>
      <c r="V207" t="s">
        <v>213</v>
      </c>
      <c r="W207" t="s">
        <v>207</v>
      </c>
      <c r="X207" s="13">
        <v>0.2261</v>
      </c>
    </row>
    <row r="208" spans="1:24" x14ac:dyDescent="0.25">
      <c r="A208" t="s">
        <v>475</v>
      </c>
      <c r="B208" t="s">
        <v>42</v>
      </c>
      <c r="C208" t="s">
        <v>329</v>
      </c>
      <c r="D208" t="s">
        <v>107</v>
      </c>
      <c r="E208" t="s">
        <v>75</v>
      </c>
      <c r="F208">
        <v>22</v>
      </c>
      <c r="G208" t="s">
        <v>204</v>
      </c>
      <c r="H208" t="s">
        <v>211</v>
      </c>
      <c r="I208" t="s">
        <v>205</v>
      </c>
      <c r="J208">
        <v>0</v>
      </c>
      <c r="K208">
        <v>0</v>
      </c>
      <c r="L208">
        <v>0</v>
      </c>
      <c r="M208" s="8">
        <v>2</v>
      </c>
      <c r="N208" t="s">
        <v>212</v>
      </c>
      <c r="O208" t="str">
        <f>IF(B208="SP",IF(C208="São Paulo","FRQ001","FRQ002"),VLOOKUP(B208,Premissas!$A$11:$B$28,2,FALSE))</f>
        <v>FRQ015</v>
      </c>
      <c r="P208" t="str">
        <f t="shared" si="12"/>
        <v>Própria</v>
      </c>
      <c r="Q208" s="10">
        <f>VLOOKUP(E208,Premissas!$A$32:$B$35,2,FALSE)</f>
        <v>938</v>
      </c>
      <c r="R208" s="10">
        <f>Q208*(1-Premissas!$B$5)</f>
        <v>745.24099999999999</v>
      </c>
      <c r="S208">
        <f t="shared" si="13"/>
        <v>5</v>
      </c>
      <c r="T208" t="str">
        <f t="shared" si="14"/>
        <v>5. Régua automatizada</v>
      </c>
      <c r="U208">
        <f t="shared" si="15"/>
        <v>8</v>
      </c>
      <c r="V208" t="s">
        <v>213</v>
      </c>
      <c r="W208" t="s">
        <v>207</v>
      </c>
      <c r="X208" s="13">
        <v>0.20150000000000001</v>
      </c>
    </row>
    <row r="209" spans="1:24" x14ac:dyDescent="0.25">
      <c r="A209" t="s">
        <v>476</v>
      </c>
      <c r="B209" t="s">
        <v>42</v>
      </c>
      <c r="C209" t="s">
        <v>378</v>
      </c>
      <c r="D209" t="s">
        <v>107</v>
      </c>
      <c r="E209" t="s">
        <v>72</v>
      </c>
      <c r="F209">
        <v>20</v>
      </c>
      <c r="G209" t="s">
        <v>237</v>
      </c>
      <c r="H209" t="s">
        <v>226</v>
      </c>
      <c r="I209" t="s">
        <v>205</v>
      </c>
      <c r="J209">
        <v>0</v>
      </c>
      <c r="K209">
        <v>1</v>
      </c>
      <c r="L209">
        <v>0</v>
      </c>
      <c r="M209" s="8">
        <v>2</v>
      </c>
      <c r="N209" t="s">
        <v>212</v>
      </c>
      <c r="O209" t="str">
        <f>IF(B209="SP",IF(C209="São Paulo","FRQ001","FRQ002"),VLOOKUP(B209,Premissas!$A$11:$B$28,2,FALSE))</f>
        <v>FRQ015</v>
      </c>
      <c r="P209" t="str">
        <f t="shared" si="12"/>
        <v>Própria</v>
      </c>
      <c r="Q209" s="10">
        <f>VLOOKUP(E209,Premissas!$A$32:$B$35,2,FALSE)</f>
        <v>1121</v>
      </c>
      <c r="R209" s="10">
        <f>Q209*(1-Premissas!$B$5)</f>
        <v>890.6345</v>
      </c>
      <c r="S209">
        <f t="shared" si="13"/>
        <v>3</v>
      </c>
      <c r="T209" t="str">
        <f t="shared" si="14"/>
        <v>3. Requalificar ou encerrar lead parado</v>
      </c>
      <c r="U209">
        <f t="shared" si="15"/>
        <v>1</v>
      </c>
      <c r="V209" t="s">
        <v>213</v>
      </c>
      <c r="W209" t="s">
        <v>207</v>
      </c>
      <c r="X209" s="13">
        <v>0.4103</v>
      </c>
    </row>
    <row r="210" spans="1:24" x14ac:dyDescent="0.25">
      <c r="A210" t="s">
        <v>477</v>
      </c>
      <c r="B210" t="s">
        <v>55</v>
      </c>
      <c r="C210" t="s">
        <v>281</v>
      </c>
      <c r="D210" t="s">
        <v>120</v>
      </c>
      <c r="E210" t="s">
        <v>72</v>
      </c>
      <c r="F210">
        <v>24</v>
      </c>
      <c r="G210" t="s">
        <v>204</v>
      </c>
      <c r="H210" t="s">
        <v>197</v>
      </c>
      <c r="I210" t="s">
        <v>205</v>
      </c>
      <c r="J210">
        <v>0</v>
      </c>
      <c r="K210">
        <v>0</v>
      </c>
      <c r="L210">
        <v>0</v>
      </c>
      <c r="M210" s="8">
        <v>2</v>
      </c>
      <c r="N210" t="s">
        <v>212</v>
      </c>
      <c r="O210" t="str">
        <f>IF(B210="SP",IF(C210="São Paulo","FRQ001","FRQ002"),VLOOKUP(B210,Premissas!$A$11:$B$28,2,FALSE))</f>
        <v>FRQ011</v>
      </c>
      <c r="P210" t="str">
        <f t="shared" si="12"/>
        <v>Própria</v>
      </c>
      <c r="Q210" s="10">
        <f>VLOOKUP(E210,Premissas!$A$32:$B$35,2,FALSE)</f>
        <v>1121</v>
      </c>
      <c r="R210" s="10">
        <f>Q210*(1-Premissas!$B$5)</f>
        <v>890.6345</v>
      </c>
      <c r="S210">
        <f t="shared" si="13"/>
        <v>5</v>
      </c>
      <c r="T210" t="str">
        <f t="shared" si="14"/>
        <v>5. Régua automatizada</v>
      </c>
      <c r="U210">
        <f t="shared" si="15"/>
        <v>14</v>
      </c>
      <c r="V210" t="s">
        <v>213</v>
      </c>
      <c r="W210" t="s">
        <v>207</v>
      </c>
      <c r="X210" s="13">
        <v>0.33439999999999998</v>
      </c>
    </row>
    <row r="211" spans="1:24" x14ac:dyDescent="0.25">
      <c r="A211" t="s">
        <v>478</v>
      </c>
      <c r="B211" t="s">
        <v>40</v>
      </c>
      <c r="C211" t="s">
        <v>351</v>
      </c>
      <c r="D211" t="s">
        <v>117</v>
      </c>
      <c r="E211" t="s">
        <v>75</v>
      </c>
      <c r="F211">
        <v>9</v>
      </c>
      <c r="G211" t="s">
        <v>204</v>
      </c>
      <c r="H211" t="s">
        <v>211</v>
      </c>
      <c r="I211" t="s">
        <v>205</v>
      </c>
      <c r="J211">
        <v>0</v>
      </c>
      <c r="K211">
        <v>0</v>
      </c>
      <c r="L211">
        <v>0</v>
      </c>
      <c r="M211" s="8">
        <v>1</v>
      </c>
      <c r="N211" t="s">
        <v>212</v>
      </c>
      <c r="O211" t="str">
        <f>IF(B211="SP",IF(C211="São Paulo","FRQ001","FRQ002"),VLOOKUP(B211,Premissas!$A$11:$B$28,2,FALSE))</f>
        <v>FRQ008</v>
      </c>
      <c r="P211" t="str">
        <f t="shared" si="12"/>
        <v>Própria</v>
      </c>
      <c r="Q211" s="10">
        <f>VLOOKUP(E211,Premissas!$A$32:$B$35,2,FALSE)</f>
        <v>938</v>
      </c>
      <c r="R211" s="10">
        <f>Q211*(1-Premissas!$B$5)</f>
        <v>745.24099999999999</v>
      </c>
      <c r="S211">
        <f t="shared" si="13"/>
        <v>5</v>
      </c>
      <c r="T211" t="str">
        <f t="shared" si="14"/>
        <v>5. Régua automatizada</v>
      </c>
      <c r="U211">
        <f t="shared" si="15"/>
        <v>6</v>
      </c>
      <c r="V211" t="s">
        <v>221</v>
      </c>
      <c r="W211" t="s">
        <v>207</v>
      </c>
      <c r="X211" s="13">
        <v>0.2402</v>
      </c>
    </row>
    <row r="212" spans="1:24" x14ac:dyDescent="0.25">
      <c r="A212" t="s">
        <v>479</v>
      </c>
      <c r="B212" t="s">
        <v>66</v>
      </c>
      <c r="C212" t="s">
        <v>242</v>
      </c>
      <c r="D212" t="s">
        <v>107</v>
      </c>
      <c r="E212" t="s">
        <v>75</v>
      </c>
      <c r="F212">
        <v>21</v>
      </c>
      <c r="G212" t="s">
        <v>219</v>
      </c>
      <c r="H212" t="s">
        <v>211</v>
      </c>
      <c r="I212" t="s">
        <v>205</v>
      </c>
      <c r="J212">
        <v>0</v>
      </c>
      <c r="K212">
        <v>0</v>
      </c>
      <c r="L212">
        <v>0</v>
      </c>
      <c r="M212" s="8">
        <v>2</v>
      </c>
      <c r="N212" t="s">
        <v>212</v>
      </c>
      <c r="O212" t="str">
        <f>IF(B212="SP",IF(C212="São Paulo","FRQ001","FRQ002"),VLOOKUP(B212,Premissas!$A$11:$B$28,2,FALSE))</f>
        <v>FRQ002</v>
      </c>
      <c r="P212" t="str">
        <f t="shared" si="12"/>
        <v>Própria</v>
      </c>
      <c r="Q212" s="10">
        <f>VLOOKUP(E212,Premissas!$A$32:$B$35,2,FALSE)</f>
        <v>938</v>
      </c>
      <c r="R212" s="10">
        <f>Q212*(1-Premissas!$B$5)</f>
        <v>745.24099999999999</v>
      </c>
      <c r="S212">
        <f t="shared" si="13"/>
        <v>5</v>
      </c>
      <c r="T212" t="str">
        <f t="shared" si="14"/>
        <v>5. Régua automatizada</v>
      </c>
      <c r="U212">
        <f t="shared" si="15"/>
        <v>26</v>
      </c>
      <c r="V212" t="s">
        <v>213</v>
      </c>
      <c r="W212" t="s">
        <v>207</v>
      </c>
      <c r="X212" s="13">
        <v>0.2079</v>
      </c>
    </row>
    <row r="213" spans="1:24" x14ac:dyDescent="0.25">
      <c r="A213" t="s">
        <v>480</v>
      </c>
      <c r="B213" t="s">
        <v>66</v>
      </c>
      <c r="C213" t="s">
        <v>234</v>
      </c>
      <c r="D213" t="s">
        <v>107</v>
      </c>
      <c r="E213" t="s">
        <v>72</v>
      </c>
      <c r="F213">
        <v>42</v>
      </c>
      <c r="G213" t="s">
        <v>196</v>
      </c>
      <c r="H213" t="s">
        <v>211</v>
      </c>
      <c r="I213" t="s">
        <v>205</v>
      </c>
      <c r="J213">
        <v>0</v>
      </c>
      <c r="K213">
        <v>0</v>
      </c>
      <c r="L213">
        <v>0</v>
      </c>
      <c r="M213" s="8">
        <v>3</v>
      </c>
      <c r="N213" t="s">
        <v>206</v>
      </c>
      <c r="O213" t="str">
        <f>IF(B213="SP",IF(C213="São Paulo","FRQ001","FRQ002"),VLOOKUP(B213,Premissas!$A$11:$B$28,2,FALSE))</f>
        <v>FRQ002</v>
      </c>
      <c r="P213" t="str">
        <f t="shared" si="12"/>
        <v>Própria</v>
      </c>
      <c r="Q213" s="10">
        <f>VLOOKUP(E213,Premissas!$A$32:$B$35,2,FALSE)</f>
        <v>1121</v>
      </c>
      <c r="R213" s="10">
        <f>Q213*(1-Premissas!$B$5)</f>
        <v>890.6345</v>
      </c>
      <c r="S213">
        <f t="shared" si="13"/>
        <v>4</v>
      </c>
      <c r="T213" t="str">
        <f t="shared" si="14"/>
        <v>4. Nutrir (marketing/inbound)</v>
      </c>
      <c r="U213">
        <f t="shared" si="15"/>
        <v>9</v>
      </c>
      <c r="V213" t="s">
        <v>200</v>
      </c>
      <c r="W213" t="s">
        <v>207</v>
      </c>
      <c r="X213" s="13">
        <v>0.373</v>
      </c>
    </row>
    <row r="214" spans="1:24" x14ac:dyDescent="0.25">
      <c r="A214" t="s">
        <v>481</v>
      </c>
      <c r="B214" t="s">
        <v>57</v>
      </c>
      <c r="C214" t="s">
        <v>315</v>
      </c>
      <c r="D214" t="s">
        <v>113</v>
      </c>
      <c r="E214" t="s">
        <v>75</v>
      </c>
      <c r="F214">
        <v>18</v>
      </c>
      <c r="G214" t="s">
        <v>196</v>
      </c>
      <c r="H214" t="s">
        <v>211</v>
      </c>
      <c r="I214" t="s">
        <v>205</v>
      </c>
      <c r="J214">
        <v>0</v>
      </c>
      <c r="K214">
        <v>0</v>
      </c>
      <c r="L214">
        <v>0</v>
      </c>
      <c r="M214" s="8">
        <v>2</v>
      </c>
      <c r="N214" t="s">
        <v>212</v>
      </c>
      <c r="O214" t="str">
        <f>IF(B214="SP",IF(C214="São Paulo","FRQ001","FRQ002"),VLOOKUP(B214,Premissas!$A$11:$B$28,2,FALSE))</f>
        <v>FRQ005</v>
      </c>
      <c r="P214" t="str">
        <f t="shared" si="12"/>
        <v>Própria</v>
      </c>
      <c r="Q214" s="10">
        <f>VLOOKUP(E214,Premissas!$A$32:$B$35,2,FALSE)</f>
        <v>938</v>
      </c>
      <c r="R214" s="10">
        <f>Q214*(1-Premissas!$B$5)</f>
        <v>745.24099999999999</v>
      </c>
      <c r="S214">
        <f t="shared" si="13"/>
        <v>5</v>
      </c>
      <c r="T214" t="str">
        <f t="shared" si="14"/>
        <v>5. Régua automatizada</v>
      </c>
      <c r="U214">
        <f t="shared" si="15"/>
        <v>8</v>
      </c>
      <c r="V214" t="s">
        <v>213</v>
      </c>
      <c r="W214" t="s">
        <v>207</v>
      </c>
      <c r="X214" s="13">
        <v>0.24440000000000001</v>
      </c>
    </row>
    <row r="215" spans="1:24" x14ac:dyDescent="0.25">
      <c r="A215" t="s">
        <v>482</v>
      </c>
      <c r="B215" t="s">
        <v>59</v>
      </c>
      <c r="C215" t="s">
        <v>228</v>
      </c>
      <c r="D215" t="s">
        <v>107</v>
      </c>
      <c r="E215" t="s">
        <v>75</v>
      </c>
      <c r="F215">
        <v>13</v>
      </c>
      <c r="G215" t="s">
        <v>216</v>
      </c>
      <c r="H215" t="s">
        <v>211</v>
      </c>
      <c r="I215" t="s">
        <v>205</v>
      </c>
      <c r="J215">
        <v>0</v>
      </c>
      <c r="K215">
        <v>0</v>
      </c>
      <c r="L215">
        <v>0</v>
      </c>
      <c r="M215" s="8">
        <v>1</v>
      </c>
      <c r="N215" t="s">
        <v>212</v>
      </c>
      <c r="O215" t="str">
        <f>IF(B215="SP",IF(C215="São Paulo","FRQ001","FRQ002"),VLOOKUP(B215,Premissas!$A$11:$B$28,2,FALSE))</f>
        <v>FRQ003</v>
      </c>
      <c r="P215" t="str">
        <f t="shared" si="12"/>
        <v>Própria</v>
      </c>
      <c r="Q215" s="10">
        <f>VLOOKUP(E215,Premissas!$A$32:$B$35,2,FALSE)</f>
        <v>938</v>
      </c>
      <c r="R215" s="10">
        <f>Q215*(1-Premissas!$B$5)</f>
        <v>745.24099999999999</v>
      </c>
      <c r="S215">
        <f t="shared" si="13"/>
        <v>5</v>
      </c>
      <c r="T215" t="str">
        <f t="shared" si="14"/>
        <v>5. Régua automatizada</v>
      </c>
      <c r="U215">
        <f t="shared" si="15"/>
        <v>31</v>
      </c>
      <c r="V215" t="s">
        <v>221</v>
      </c>
      <c r="W215" t="s">
        <v>207</v>
      </c>
      <c r="X215" s="13">
        <v>0.12759999999999999</v>
      </c>
    </row>
    <row r="216" spans="1:24" x14ac:dyDescent="0.25">
      <c r="A216" t="s">
        <v>483</v>
      </c>
      <c r="B216" t="s">
        <v>36</v>
      </c>
      <c r="C216" t="s">
        <v>322</v>
      </c>
      <c r="D216" t="s">
        <v>120</v>
      </c>
      <c r="E216" t="s">
        <v>75</v>
      </c>
      <c r="F216">
        <v>12</v>
      </c>
      <c r="G216" t="s">
        <v>219</v>
      </c>
      <c r="H216" t="s">
        <v>211</v>
      </c>
      <c r="I216" t="s">
        <v>205</v>
      </c>
      <c r="J216">
        <v>0</v>
      </c>
      <c r="K216">
        <v>0</v>
      </c>
      <c r="L216">
        <v>0</v>
      </c>
      <c r="M216" s="8">
        <v>1</v>
      </c>
      <c r="N216" t="s">
        <v>212</v>
      </c>
      <c r="O216" t="str">
        <f>IF(B216="SP",IF(C216="São Paulo","FRQ001","FRQ002"),VLOOKUP(B216,Premissas!$A$11:$B$28,2,FALSE))</f>
        <v>FRQ010</v>
      </c>
      <c r="P216" t="str">
        <f t="shared" si="12"/>
        <v>Própria</v>
      </c>
      <c r="Q216" s="10">
        <f>VLOOKUP(E216,Premissas!$A$32:$B$35,2,FALSE)</f>
        <v>938</v>
      </c>
      <c r="R216" s="10">
        <f>Q216*(1-Premissas!$B$5)</f>
        <v>745.24099999999999</v>
      </c>
      <c r="S216">
        <f t="shared" si="13"/>
        <v>5</v>
      </c>
      <c r="T216" t="str">
        <f t="shared" si="14"/>
        <v>5. Régua automatizada</v>
      </c>
      <c r="U216">
        <f t="shared" si="15"/>
        <v>10</v>
      </c>
      <c r="V216" t="s">
        <v>221</v>
      </c>
      <c r="W216" t="s">
        <v>207</v>
      </c>
      <c r="X216" s="13">
        <v>0.1779</v>
      </c>
    </row>
    <row r="217" spans="1:24" x14ac:dyDescent="0.25">
      <c r="A217" t="s">
        <v>484</v>
      </c>
      <c r="B217" t="s">
        <v>51</v>
      </c>
      <c r="C217" t="s">
        <v>326</v>
      </c>
      <c r="D217" t="s">
        <v>117</v>
      </c>
      <c r="E217" t="s">
        <v>72</v>
      </c>
      <c r="F217">
        <v>16</v>
      </c>
      <c r="G217" t="s">
        <v>204</v>
      </c>
      <c r="H217" t="s">
        <v>226</v>
      </c>
      <c r="I217" t="s">
        <v>205</v>
      </c>
      <c r="J217">
        <v>0</v>
      </c>
      <c r="K217">
        <v>0</v>
      </c>
      <c r="L217">
        <v>0</v>
      </c>
      <c r="M217" s="8">
        <v>2</v>
      </c>
      <c r="N217" t="s">
        <v>212</v>
      </c>
      <c r="O217" t="str">
        <f>IF(B217="SP",IF(C217="São Paulo","FRQ001","FRQ002"),VLOOKUP(B217,Premissas!$A$11:$B$28,2,FALSE))</f>
        <v>Sem franquia</v>
      </c>
      <c r="P217" t="str">
        <f t="shared" si="12"/>
        <v>Sem franquia</v>
      </c>
      <c r="Q217" s="10">
        <f>VLOOKUP(E217,Premissas!$A$32:$B$35,2,FALSE)</f>
        <v>1121</v>
      </c>
      <c r="R217" s="10">
        <f>Q217*(1-Premissas!$B$5)</f>
        <v>890.6345</v>
      </c>
      <c r="S217">
        <f t="shared" si="13"/>
        <v>5</v>
      </c>
      <c r="T217" t="str">
        <f t="shared" si="14"/>
        <v>5. Régua automatizada</v>
      </c>
      <c r="U217">
        <f t="shared" si="15"/>
        <v>16</v>
      </c>
      <c r="V217" t="s">
        <v>213</v>
      </c>
      <c r="W217" t="s">
        <v>207</v>
      </c>
      <c r="X217" s="13">
        <v>0.30449999999999999</v>
      </c>
    </row>
    <row r="218" spans="1:24" x14ac:dyDescent="0.25">
      <c r="A218" t="s">
        <v>485</v>
      </c>
      <c r="B218" t="s">
        <v>44</v>
      </c>
      <c r="C218" t="s">
        <v>308</v>
      </c>
      <c r="D218" t="s">
        <v>117</v>
      </c>
      <c r="E218" t="s">
        <v>75</v>
      </c>
      <c r="F218">
        <v>9</v>
      </c>
      <c r="G218" t="s">
        <v>196</v>
      </c>
      <c r="H218" t="s">
        <v>197</v>
      </c>
      <c r="I218" t="s">
        <v>205</v>
      </c>
      <c r="J218">
        <v>0</v>
      </c>
      <c r="K218">
        <v>0</v>
      </c>
      <c r="L218">
        <v>0</v>
      </c>
      <c r="M218" s="8">
        <v>1</v>
      </c>
      <c r="N218" t="s">
        <v>212</v>
      </c>
      <c r="O218" t="str">
        <f>IF(B218="SP",IF(C218="São Paulo","FRQ001","FRQ002"),VLOOKUP(B218,Premissas!$A$11:$B$28,2,FALSE))</f>
        <v>FRQ009</v>
      </c>
      <c r="P218" t="str">
        <f t="shared" si="12"/>
        <v>Própria</v>
      </c>
      <c r="Q218" s="10">
        <f>VLOOKUP(E218,Premissas!$A$32:$B$35,2,FALSE)</f>
        <v>938</v>
      </c>
      <c r="R218" s="10">
        <f>Q218*(1-Premissas!$B$5)</f>
        <v>745.24099999999999</v>
      </c>
      <c r="S218">
        <f t="shared" si="13"/>
        <v>5</v>
      </c>
      <c r="T218" t="str">
        <f t="shared" si="14"/>
        <v>5. Régua automatizada</v>
      </c>
      <c r="U218">
        <f t="shared" si="15"/>
        <v>6</v>
      </c>
      <c r="V218" t="s">
        <v>221</v>
      </c>
      <c r="W218" t="s">
        <v>207</v>
      </c>
      <c r="X218" s="13">
        <v>0.24440000000000001</v>
      </c>
    </row>
    <row r="219" spans="1:24" x14ac:dyDescent="0.25">
      <c r="A219" t="s">
        <v>486</v>
      </c>
      <c r="B219" t="s">
        <v>59</v>
      </c>
      <c r="C219" t="s">
        <v>269</v>
      </c>
      <c r="D219" t="s">
        <v>107</v>
      </c>
      <c r="E219" t="s">
        <v>72</v>
      </c>
      <c r="F219">
        <v>39</v>
      </c>
      <c r="G219" t="s">
        <v>216</v>
      </c>
      <c r="H219" t="s">
        <v>211</v>
      </c>
      <c r="I219" t="s">
        <v>205</v>
      </c>
      <c r="J219">
        <v>0</v>
      </c>
      <c r="K219">
        <v>0</v>
      </c>
      <c r="L219">
        <v>0</v>
      </c>
      <c r="M219" s="8">
        <v>3</v>
      </c>
      <c r="N219" t="s">
        <v>206</v>
      </c>
      <c r="O219" t="str">
        <f>IF(B219="SP",IF(C219="São Paulo","FRQ001","FRQ002"),VLOOKUP(B219,Premissas!$A$11:$B$28,2,FALSE))</f>
        <v>FRQ003</v>
      </c>
      <c r="P219" t="str">
        <f t="shared" si="12"/>
        <v>Própria</v>
      </c>
      <c r="Q219" s="10">
        <f>VLOOKUP(E219,Premissas!$A$32:$B$35,2,FALSE)</f>
        <v>1121</v>
      </c>
      <c r="R219" s="10">
        <f>Q219*(1-Premissas!$B$5)</f>
        <v>890.6345</v>
      </c>
      <c r="S219">
        <f t="shared" si="13"/>
        <v>4</v>
      </c>
      <c r="T219" t="str">
        <f t="shared" si="14"/>
        <v>4. Nutrir (marketing/inbound)</v>
      </c>
      <c r="U219">
        <f t="shared" si="15"/>
        <v>14</v>
      </c>
      <c r="V219" t="s">
        <v>200</v>
      </c>
      <c r="W219" t="s">
        <v>207</v>
      </c>
      <c r="X219" s="13">
        <v>0.2903</v>
      </c>
    </row>
    <row r="220" spans="1:24" x14ac:dyDescent="0.25">
      <c r="A220" t="s">
        <v>487</v>
      </c>
      <c r="B220" t="s">
        <v>66</v>
      </c>
      <c r="C220" t="s">
        <v>225</v>
      </c>
      <c r="D220" t="s">
        <v>107</v>
      </c>
      <c r="E220" t="s">
        <v>75</v>
      </c>
      <c r="F220">
        <v>6</v>
      </c>
      <c r="G220" t="s">
        <v>196</v>
      </c>
      <c r="H220" t="s">
        <v>211</v>
      </c>
      <c r="I220" t="s">
        <v>205</v>
      </c>
      <c r="J220">
        <v>0</v>
      </c>
      <c r="K220">
        <v>0</v>
      </c>
      <c r="L220">
        <v>0</v>
      </c>
      <c r="M220" s="8">
        <v>1</v>
      </c>
      <c r="N220" t="s">
        <v>212</v>
      </c>
      <c r="O220" t="str">
        <f>IF(B220="SP",IF(C220="São Paulo","FRQ001","FRQ002"),VLOOKUP(B220,Premissas!$A$11:$B$28,2,FALSE))</f>
        <v>FRQ002</v>
      </c>
      <c r="P220" t="str">
        <f t="shared" si="12"/>
        <v>Própria</v>
      </c>
      <c r="Q220" s="10">
        <f>VLOOKUP(E220,Premissas!$A$32:$B$35,2,FALSE)</f>
        <v>938</v>
      </c>
      <c r="R220" s="10">
        <f>Q220*(1-Premissas!$B$5)</f>
        <v>745.24099999999999</v>
      </c>
      <c r="S220">
        <f t="shared" si="13"/>
        <v>5</v>
      </c>
      <c r="T220" t="str">
        <f t="shared" si="14"/>
        <v>5. Régua automatizada</v>
      </c>
      <c r="U220">
        <f t="shared" si="15"/>
        <v>26</v>
      </c>
      <c r="V220" t="s">
        <v>221</v>
      </c>
      <c r="W220" t="s">
        <v>207</v>
      </c>
      <c r="X220" s="13">
        <v>0.1759</v>
      </c>
    </row>
    <row r="221" spans="1:24" x14ac:dyDescent="0.25">
      <c r="A221" t="s">
        <v>488</v>
      </c>
      <c r="B221" t="s">
        <v>66</v>
      </c>
      <c r="C221" t="s">
        <v>215</v>
      </c>
      <c r="D221" t="s">
        <v>107</v>
      </c>
      <c r="E221" t="s">
        <v>75</v>
      </c>
      <c r="F221">
        <v>18</v>
      </c>
      <c r="G221" t="s">
        <v>216</v>
      </c>
      <c r="H221" t="s">
        <v>211</v>
      </c>
      <c r="I221" t="s">
        <v>205</v>
      </c>
      <c r="J221">
        <v>0</v>
      </c>
      <c r="K221">
        <v>0</v>
      </c>
      <c r="L221">
        <v>0</v>
      </c>
      <c r="M221" s="8">
        <v>2</v>
      </c>
      <c r="N221" t="s">
        <v>212</v>
      </c>
      <c r="O221" t="str">
        <f>IF(B221="SP",IF(C221="São Paulo","FRQ001","FRQ002"),VLOOKUP(B221,Premissas!$A$11:$B$28,2,FALSE))</f>
        <v>FRQ002</v>
      </c>
      <c r="P221" t="str">
        <f t="shared" si="12"/>
        <v>Própria</v>
      </c>
      <c r="Q221" s="10">
        <f>VLOOKUP(E221,Premissas!$A$32:$B$35,2,FALSE)</f>
        <v>938</v>
      </c>
      <c r="R221" s="10">
        <f>Q221*(1-Premissas!$B$5)</f>
        <v>745.24099999999999</v>
      </c>
      <c r="S221">
        <f t="shared" si="13"/>
        <v>5</v>
      </c>
      <c r="T221" t="str">
        <f t="shared" si="14"/>
        <v>5. Régua automatizada</v>
      </c>
      <c r="U221">
        <f t="shared" si="15"/>
        <v>26</v>
      </c>
      <c r="V221" t="s">
        <v>213</v>
      </c>
      <c r="W221" t="s">
        <v>207</v>
      </c>
      <c r="X221" s="13">
        <v>0.12759999999999999</v>
      </c>
    </row>
    <row r="222" spans="1:24" x14ac:dyDescent="0.25">
      <c r="A222" t="s">
        <v>489</v>
      </c>
      <c r="B222" t="s">
        <v>59</v>
      </c>
      <c r="C222" t="s">
        <v>195</v>
      </c>
      <c r="D222" t="s">
        <v>107</v>
      </c>
      <c r="E222" t="s">
        <v>75</v>
      </c>
      <c r="F222">
        <v>10</v>
      </c>
      <c r="G222" t="s">
        <v>216</v>
      </c>
      <c r="H222" t="s">
        <v>211</v>
      </c>
      <c r="I222" t="s">
        <v>205</v>
      </c>
      <c r="J222">
        <v>0</v>
      </c>
      <c r="K222">
        <v>0</v>
      </c>
      <c r="L222">
        <v>0</v>
      </c>
      <c r="M222" s="8">
        <v>1</v>
      </c>
      <c r="N222" t="s">
        <v>212</v>
      </c>
      <c r="O222" t="str">
        <f>IF(B222="SP",IF(C222="São Paulo","FRQ001","FRQ002"),VLOOKUP(B222,Premissas!$A$11:$B$28,2,FALSE))</f>
        <v>FRQ003</v>
      </c>
      <c r="P222" t="str">
        <f t="shared" si="12"/>
        <v>Própria</v>
      </c>
      <c r="Q222" s="10">
        <f>VLOOKUP(E222,Premissas!$A$32:$B$35,2,FALSE)</f>
        <v>938</v>
      </c>
      <c r="R222" s="10">
        <f>Q222*(1-Premissas!$B$5)</f>
        <v>745.24099999999999</v>
      </c>
      <c r="S222">
        <f t="shared" si="13"/>
        <v>5</v>
      </c>
      <c r="T222" t="str">
        <f t="shared" si="14"/>
        <v>5. Régua automatizada</v>
      </c>
      <c r="U222">
        <f t="shared" si="15"/>
        <v>31</v>
      </c>
      <c r="V222" t="s">
        <v>221</v>
      </c>
      <c r="W222" t="s">
        <v>207</v>
      </c>
      <c r="X222" s="13">
        <v>0.19620000000000001</v>
      </c>
    </row>
    <row r="223" spans="1:24" x14ac:dyDescent="0.25">
      <c r="A223" t="s">
        <v>490</v>
      </c>
      <c r="B223" t="s">
        <v>42</v>
      </c>
      <c r="C223" t="s">
        <v>378</v>
      </c>
      <c r="D223" t="s">
        <v>107</v>
      </c>
      <c r="E223" t="s">
        <v>75</v>
      </c>
      <c r="F223">
        <v>25</v>
      </c>
      <c r="G223" t="s">
        <v>196</v>
      </c>
      <c r="H223" t="s">
        <v>197</v>
      </c>
      <c r="I223" t="s">
        <v>205</v>
      </c>
      <c r="J223">
        <v>0</v>
      </c>
      <c r="K223">
        <v>0</v>
      </c>
      <c r="L223">
        <v>0</v>
      </c>
      <c r="M223" s="8">
        <v>3</v>
      </c>
      <c r="N223" t="s">
        <v>206</v>
      </c>
      <c r="O223" t="str">
        <f>IF(B223="SP",IF(C223="São Paulo","FRQ001","FRQ002"),VLOOKUP(B223,Premissas!$A$11:$B$28,2,FALSE))</f>
        <v>FRQ015</v>
      </c>
      <c r="P223" t="str">
        <f t="shared" si="12"/>
        <v>Própria</v>
      </c>
      <c r="Q223" s="10">
        <f>VLOOKUP(E223,Premissas!$A$32:$B$35,2,FALSE)</f>
        <v>938</v>
      </c>
      <c r="R223" s="10">
        <f>Q223*(1-Premissas!$B$5)</f>
        <v>745.24099999999999</v>
      </c>
      <c r="S223">
        <f t="shared" si="13"/>
        <v>4</v>
      </c>
      <c r="T223" t="str">
        <f t="shared" si="14"/>
        <v>4. Nutrir (marketing/inbound)</v>
      </c>
      <c r="U223">
        <f t="shared" si="15"/>
        <v>7</v>
      </c>
      <c r="V223" t="s">
        <v>200</v>
      </c>
      <c r="W223" t="s">
        <v>207</v>
      </c>
      <c r="X223" s="13">
        <v>0.27439999999999998</v>
      </c>
    </row>
    <row r="224" spans="1:24" x14ac:dyDescent="0.25">
      <c r="A224" t="s">
        <v>491</v>
      </c>
      <c r="B224" t="s">
        <v>49</v>
      </c>
      <c r="C224" t="s">
        <v>218</v>
      </c>
      <c r="D224" t="s">
        <v>107</v>
      </c>
      <c r="E224" t="s">
        <v>75</v>
      </c>
      <c r="F224">
        <v>15</v>
      </c>
      <c r="G224" t="s">
        <v>196</v>
      </c>
      <c r="H224" t="s">
        <v>197</v>
      </c>
      <c r="I224" t="s">
        <v>198</v>
      </c>
      <c r="J224">
        <v>2</v>
      </c>
      <c r="K224">
        <v>0</v>
      </c>
      <c r="L224">
        <v>0</v>
      </c>
      <c r="M224" s="8">
        <v>3</v>
      </c>
      <c r="N224" t="s">
        <v>206</v>
      </c>
      <c r="O224" t="str">
        <f>IF(B224="SP",IF(C224="São Paulo","FRQ001","FRQ002"),VLOOKUP(B224,Premissas!$A$11:$B$28,2,FALSE))</f>
        <v>FRQ004</v>
      </c>
      <c r="P224" t="str">
        <f t="shared" si="12"/>
        <v>Própria</v>
      </c>
      <c r="Q224" s="10">
        <f>VLOOKUP(E224,Premissas!$A$32:$B$35,2,FALSE)</f>
        <v>938</v>
      </c>
      <c r="R224" s="10">
        <f>Q224*(1-Premissas!$B$5)</f>
        <v>745.24099999999999</v>
      </c>
      <c r="S224">
        <f t="shared" si="13"/>
        <v>4</v>
      </c>
      <c r="T224" t="str">
        <f t="shared" si="14"/>
        <v>4. Nutrir (marketing/inbound)</v>
      </c>
      <c r="U224">
        <f t="shared" si="15"/>
        <v>17</v>
      </c>
      <c r="V224" t="s">
        <v>213</v>
      </c>
      <c r="W224" t="s">
        <v>201</v>
      </c>
      <c r="X224" s="13">
        <v>0.1759</v>
      </c>
    </row>
    <row r="225" spans="1:24" x14ac:dyDescent="0.25">
      <c r="A225" t="s">
        <v>492</v>
      </c>
      <c r="B225" t="s">
        <v>62</v>
      </c>
      <c r="C225" t="s">
        <v>264</v>
      </c>
      <c r="D225" t="s">
        <v>113</v>
      </c>
      <c r="E225" t="s">
        <v>75</v>
      </c>
      <c r="F225">
        <v>10</v>
      </c>
      <c r="G225" t="s">
        <v>204</v>
      </c>
      <c r="H225" t="s">
        <v>211</v>
      </c>
      <c r="I225" t="s">
        <v>205</v>
      </c>
      <c r="J225">
        <v>0</v>
      </c>
      <c r="K225">
        <v>0</v>
      </c>
      <c r="L225">
        <v>0</v>
      </c>
      <c r="M225" s="8">
        <v>1</v>
      </c>
      <c r="N225" t="s">
        <v>212</v>
      </c>
      <c r="O225" t="str">
        <f>IF(B225="SP",IF(C225="São Paulo","FRQ001","FRQ002"),VLOOKUP(B225,Premissas!$A$11:$B$28,2,FALSE))</f>
        <v>FRQ007</v>
      </c>
      <c r="P225" t="str">
        <f t="shared" si="12"/>
        <v>Própria</v>
      </c>
      <c r="Q225" s="10">
        <f>VLOOKUP(E225,Premissas!$A$32:$B$35,2,FALSE)</f>
        <v>938</v>
      </c>
      <c r="R225" s="10">
        <f>Q225*(1-Premissas!$B$5)</f>
        <v>745.24099999999999</v>
      </c>
      <c r="S225">
        <f t="shared" si="13"/>
        <v>5</v>
      </c>
      <c r="T225" t="str">
        <f t="shared" si="14"/>
        <v>5. Régua automatizada</v>
      </c>
      <c r="U225">
        <f t="shared" si="15"/>
        <v>5</v>
      </c>
      <c r="V225" t="s">
        <v>221</v>
      </c>
      <c r="W225" t="s">
        <v>207</v>
      </c>
      <c r="X225" s="13">
        <v>0.17169999999999999</v>
      </c>
    </row>
    <row r="226" spans="1:24" x14ac:dyDescent="0.25">
      <c r="A226" t="s">
        <v>493</v>
      </c>
      <c r="B226" t="s">
        <v>57</v>
      </c>
      <c r="C226" t="s">
        <v>249</v>
      </c>
      <c r="D226" t="s">
        <v>113</v>
      </c>
      <c r="E226" t="s">
        <v>75</v>
      </c>
      <c r="F226">
        <v>15</v>
      </c>
      <c r="G226" t="s">
        <v>204</v>
      </c>
      <c r="H226" t="s">
        <v>211</v>
      </c>
      <c r="I226" t="s">
        <v>205</v>
      </c>
      <c r="J226">
        <v>0</v>
      </c>
      <c r="K226">
        <v>0</v>
      </c>
      <c r="L226">
        <v>0</v>
      </c>
      <c r="M226" s="8">
        <v>2</v>
      </c>
      <c r="N226" t="s">
        <v>212</v>
      </c>
      <c r="O226" t="str">
        <f>IF(B226="SP",IF(C226="São Paulo","FRQ001","FRQ002"),VLOOKUP(B226,Premissas!$A$11:$B$28,2,FALSE))</f>
        <v>FRQ005</v>
      </c>
      <c r="P226" t="str">
        <f t="shared" si="12"/>
        <v>Própria</v>
      </c>
      <c r="Q226" s="10">
        <f>VLOOKUP(E226,Premissas!$A$32:$B$35,2,FALSE)</f>
        <v>938</v>
      </c>
      <c r="R226" s="10">
        <f>Q226*(1-Premissas!$B$5)</f>
        <v>745.24099999999999</v>
      </c>
      <c r="S226">
        <f t="shared" si="13"/>
        <v>5</v>
      </c>
      <c r="T226" t="str">
        <f t="shared" si="14"/>
        <v>5. Régua automatizada</v>
      </c>
      <c r="U226">
        <f t="shared" si="15"/>
        <v>8</v>
      </c>
      <c r="V226" t="s">
        <v>213</v>
      </c>
      <c r="W226" t="s">
        <v>207</v>
      </c>
      <c r="X226" s="13">
        <v>0.1716</v>
      </c>
    </row>
    <row r="227" spans="1:24" x14ac:dyDescent="0.25">
      <c r="A227" t="s">
        <v>494</v>
      </c>
      <c r="B227" t="s">
        <v>40</v>
      </c>
      <c r="C227" t="s">
        <v>351</v>
      </c>
      <c r="D227" t="s">
        <v>117</v>
      </c>
      <c r="E227" t="s">
        <v>72</v>
      </c>
      <c r="F227">
        <v>61</v>
      </c>
      <c r="G227" t="s">
        <v>237</v>
      </c>
      <c r="H227" t="s">
        <v>211</v>
      </c>
      <c r="I227" t="s">
        <v>205</v>
      </c>
      <c r="J227">
        <v>0</v>
      </c>
      <c r="K227">
        <v>0</v>
      </c>
      <c r="L227">
        <v>1</v>
      </c>
      <c r="M227" s="8">
        <v>3</v>
      </c>
      <c r="N227" t="s">
        <v>206</v>
      </c>
      <c r="O227" t="str">
        <f>IF(B227="SP",IF(C227="São Paulo","FRQ001","FRQ002"),VLOOKUP(B227,Premissas!$A$11:$B$28,2,FALSE))</f>
        <v>FRQ008</v>
      </c>
      <c r="P227" t="str">
        <f t="shared" si="12"/>
        <v>Própria</v>
      </c>
      <c r="Q227" s="10">
        <f>VLOOKUP(E227,Premissas!$A$32:$B$35,2,FALSE)</f>
        <v>1121</v>
      </c>
      <c r="R227" s="10">
        <f>Q227*(1-Premissas!$B$5)</f>
        <v>890.6345</v>
      </c>
      <c r="S227">
        <f t="shared" si="13"/>
        <v>4</v>
      </c>
      <c r="T227" t="str">
        <f t="shared" si="14"/>
        <v>4. Nutrir (marketing/inbound)</v>
      </c>
      <c r="U227">
        <f t="shared" si="15"/>
        <v>3</v>
      </c>
      <c r="V227" t="s">
        <v>200</v>
      </c>
      <c r="W227" t="s">
        <v>207</v>
      </c>
      <c r="X227" s="13">
        <v>0.47770000000000001</v>
      </c>
    </row>
    <row r="228" spans="1:24" x14ac:dyDescent="0.25">
      <c r="A228" t="s">
        <v>495</v>
      </c>
      <c r="B228" t="s">
        <v>49</v>
      </c>
      <c r="C228" t="s">
        <v>239</v>
      </c>
      <c r="D228" t="s">
        <v>107</v>
      </c>
      <c r="E228" t="s">
        <v>75</v>
      </c>
      <c r="F228">
        <v>18</v>
      </c>
      <c r="G228" t="s">
        <v>196</v>
      </c>
      <c r="H228" t="s">
        <v>226</v>
      </c>
      <c r="I228" t="s">
        <v>205</v>
      </c>
      <c r="J228">
        <v>0</v>
      </c>
      <c r="K228">
        <v>0</v>
      </c>
      <c r="L228">
        <v>0</v>
      </c>
      <c r="M228" s="8">
        <v>2</v>
      </c>
      <c r="N228" t="s">
        <v>212</v>
      </c>
      <c r="O228" t="str">
        <f>IF(B228="SP",IF(C228="São Paulo","FRQ001","FRQ002"),VLOOKUP(B228,Premissas!$A$11:$B$28,2,FALSE))</f>
        <v>FRQ004</v>
      </c>
      <c r="P228" t="str">
        <f t="shared" si="12"/>
        <v>Própria</v>
      </c>
      <c r="Q228" s="10">
        <f>VLOOKUP(E228,Premissas!$A$32:$B$35,2,FALSE)</f>
        <v>938</v>
      </c>
      <c r="R228" s="10">
        <f>Q228*(1-Premissas!$B$5)</f>
        <v>745.24099999999999</v>
      </c>
      <c r="S228">
        <f t="shared" si="13"/>
        <v>5</v>
      </c>
      <c r="T228" t="str">
        <f t="shared" si="14"/>
        <v>5. Régua automatizada</v>
      </c>
      <c r="U228">
        <f t="shared" si="15"/>
        <v>20</v>
      </c>
      <c r="V228" t="s">
        <v>213</v>
      </c>
      <c r="W228" t="s">
        <v>207</v>
      </c>
      <c r="X228" s="13">
        <v>0.24440000000000001</v>
      </c>
    </row>
    <row r="229" spans="1:24" x14ac:dyDescent="0.25">
      <c r="A229" t="s">
        <v>496</v>
      </c>
      <c r="B229" t="s">
        <v>66</v>
      </c>
      <c r="C229" t="s">
        <v>223</v>
      </c>
      <c r="D229" t="s">
        <v>107</v>
      </c>
      <c r="E229" t="s">
        <v>75</v>
      </c>
      <c r="F229">
        <v>17</v>
      </c>
      <c r="G229" t="s">
        <v>196</v>
      </c>
      <c r="H229" t="s">
        <v>211</v>
      </c>
      <c r="I229" t="s">
        <v>205</v>
      </c>
      <c r="J229">
        <v>0</v>
      </c>
      <c r="K229">
        <v>0</v>
      </c>
      <c r="L229">
        <v>0</v>
      </c>
      <c r="M229" s="8">
        <v>2</v>
      </c>
      <c r="N229" t="s">
        <v>212</v>
      </c>
      <c r="O229" t="str">
        <f>IF(B229="SP",IF(C229="São Paulo","FRQ001","FRQ002"),VLOOKUP(B229,Premissas!$A$11:$B$28,2,FALSE))</f>
        <v>FRQ001</v>
      </c>
      <c r="P229" t="str">
        <f t="shared" si="12"/>
        <v>Própria</v>
      </c>
      <c r="Q229" s="10">
        <f>VLOOKUP(E229,Premissas!$A$32:$B$35,2,FALSE)</f>
        <v>938</v>
      </c>
      <c r="R229" s="10">
        <f>Q229*(1-Premissas!$B$5)</f>
        <v>745.24099999999999</v>
      </c>
      <c r="S229">
        <f t="shared" si="13"/>
        <v>5</v>
      </c>
      <c r="T229" t="str">
        <f t="shared" si="14"/>
        <v>5. Régua automatizada</v>
      </c>
      <c r="U229">
        <f t="shared" si="15"/>
        <v>3</v>
      </c>
      <c r="V229" t="s">
        <v>213</v>
      </c>
      <c r="W229" t="s">
        <v>207</v>
      </c>
      <c r="X229" s="13">
        <v>0.1757</v>
      </c>
    </row>
    <row r="230" spans="1:24" x14ac:dyDescent="0.25">
      <c r="A230" t="s">
        <v>497</v>
      </c>
      <c r="B230" t="s">
        <v>57</v>
      </c>
      <c r="C230" t="s">
        <v>318</v>
      </c>
      <c r="D230" t="s">
        <v>113</v>
      </c>
      <c r="E230" t="s">
        <v>75</v>
      </c>
      <c r="F230">
        <v>18</v>
      </c>
      <c r="G230" t="s">
        <v>219</v>
      </c>
      <c r="H230" t="s">
        <v>211</v>
      </c>
      <c r="I230" t="s">
        <v>205</v>
      </c>
      <c r="J230">
        <v>0</v>
      </c>
      <c r="K230">
        <v>0</v>
      </c>
      <c r="L230">
        <v>0</v>
      </c>
      <c r="M230" s="8">
        <v>2</v>
      </c>
      <c r="N230" t="s">
        <v>212</v>
      </c>
      <c r="O230" t="str">
        <f>IF(B230="SP",IF(C230="São Paulo","FRQ001","FRQ002"),VLOOKUP(B230,Premissas!$A$11:$B$28,2,FALSE))</f>
        <v>FRQ005</v>
      </c>
      <c r="P230" t="str">
        <f t="shared" si="12"/>
        <v>Própria</v>
      </c>
      <c r="Q230" s="10">
        <f>VLOOKUP(E230,Premissas!$A$32:$B$35,2,FALSE)</f>
        <v>938</v>
      </c>
      <c r="R230" s="10">
        <f>Q230*(1-Premissas!$B$5)</f>
        <v>745.24099999999999</v>
      </c>
      <c r="S230">
        <f t="shared" si="13"/>
        <v>5</v>
      </c>
      <c r="T230" t="str">
        <f t="shared" si="14"/>
        <v>5. Régua automatizada</v>
      </c>
      <c r="U230">
        <f t="shared" si="15"/>
        <v>8</v>
      </c>
      <c r="V230" t="s">
        <v>213</v>
      </c>
      <c r="W230" t="s">
        <v>207</v>
      </c>
      <c r="X230" s="13">
        <v>0.1779</v>
      </c>
    </row>
    <row r="231" spans="1:24" x14ac:dyDescent="0.25">
      <c r="A231" t="s">
        <v>498</v>
      </c>
      <c r="B231" t="s">
        <v>53</v>
      </c>
      <c r="C231" t="s">
        <v>358</v>
      </c>
      <c r="D231" t="s">
        <v>124</v>
      </c>
      <c r="E231" t="s">
        <v>72</v>
      </c>
      <c r="F231">
        <v>43</v>
      </c>
      <c r="G231" t="s">
        <v>204</v>
      </c>
      <c r="H231" t="s">
        <v>211</v>
      </c>
      <c r="I231" t="s">
        <v>205</v>
      </c>
      <c r="J231">
        <v>0</v>
      </c>
      <c r="K231">
        <v>0</v>
      </c>
      <c r="L231">
        <v>0</v>
      </c>
      <c r="M231" s="8">
        <v>3</v>
      </c>
      <c r="N231" t="s">
        <v>206</v>
      </c>
      <c r="O231" t="str">
        <f>IF(B231="SP",IF(C231="São Paulo","FRQ001","FRQ002"),VLOOKUP(B231,Premissas!$A$11:$B$28,2,FALSE))</f>
        <v>FRQ014</v>
      </c>
      <c r="P231" t="str">
        <f t="shared" si="12"/>
        <v>Própria</v>
      </c>
      <c r="Q231" s="10">
        <f>VLOOKUP(E231,Premissas!$A$32:$B$35,2,FALSE)</f>
        <v>1121</v>
      </c>
      <c r="R231" s="10">
        <f>Q231*(1-Premissas!$B$5)</f>
        <v>890.6345</v>
      </c>
      <c r="S231">
        <f t="shared" si="13"/>
        <v>4</v>
      </c>
      <c r="T231" t="str">
        <f t="shared" si="14"/>
        <v>4. Nutrir (marketing/inbound)</v>
      </c>
      <c r="U231">
        <f t="shared" si="15"/>
        <v>1</v>
      </c>
      <c r="V231" t="s">
        <v>200</v>
      </c>
      <c r="W231" t="s">
        <v>207</v>
      </c>
      <c r="X231" s="13">
        <v>0.33450000000000002</v>
      </c>
    </row>
    <row r="232" spans="1:24" x14ac:dyDescent="0.25">
      <c r="A232" t="s">
        <v>499</v>
      </c>
      <c r="B232" t="s">
        <v>46</v>
      </c>
      <c r="C232" t="s">
        <v>279</v>
      </c>
      <c r="D232" t="s">
        <v>120</v>
      </c>
      <c r="E232" t="s">
        <v>75</v>
      </c>
      <c r="F232">
        <v>3</v>
      </c>
      <c r="G232" t="s">
        <v>216</v>
      </c>
      <c r="H232" t="s">
        <v>197</v>
      </c>
      <c r="I232" t="s">
        <v>205</v>
      </c>
      <c r="J232">
        <v>0</v>
      </c>
      <c r="K232">
        <v>1</v>
      </c>
      <c r="L232">
        <v>0</v>
      </c>
      <c r="M232" s="8">
        <v>1</v>
      </c>
      <c r="N232" t="s">
        <v>212</v>
      </c>
      <c r="O232" t="str">
        <f>IF(B232="SP",IF(C232="São Paulo","FRQ001","FRQ002"),VLOOKUP(B232,Premissas!$A$11:$B$28,2,FALSE))</f>
        <v>Sem franquia</v>
      </c>
      <c r="P232" t="str">
        <f t="shared" si="12"/>
        <v>Sem franquia</v>
      </c>
      <c r="Q232" s="10">
        <f>VLOOKUP(E232,Premissas!$A$32:$B$35,2,FALSE)</f>
        <v>938</v>
      </c>
      <c r="R232" s="10">
        <f>Q232*(1-Premissas!$B$5)</f>
        <v>745.24099999999999</v>
      </c>
      <c r="S232">
        <f t="shared" si="13"/>
        <v>3</v>
      </c>
      <c r="T232" t="str">
        <f t="shared" si="14"/>
        <v>3. Requalificar ou encerrar lead parado</v>
      </c>
      <c r="U232">
        <f t="shared" si="15"/>
        <v>9</v>
      </c>
      <c r="V232" t="s">
        <v>221</v>
      </c>
      <c r="W232" t="s">
        <v>207</v>
      </c>
      <c r="X232" s="13">
        <v>0.19620000000000001</v>
      </c>
    </row>
    <row r="233" spans="1:24" x14ac:dyDescent="0.25">
      <c r="A233" t="s">
        <v>500</v>
      </c>
      <c r="B233" t="s">
        <v>62</v>
      </c>
      <c r="C233" t="s">
        <v>458</v>
      </c>
      <c r="D233" t="s">
        <v>113</v>
      </c>
      <c r="E233" t="s">
        <v>75</v>
      </c>
      <c r="F233">
        <v>20</v>
      </c>
      <c r="G233" t="s">
        <v>204</v>
      </c>
      <c r="H233" t="s">
        <v>211</v>
      </c>
      <c r="I233" t="s">
        <v>205</v>
      </c>
      <c r="J233">
        <v>0</v>
      </c>
      <c r="K233">
        <v>0</v>
      </c>
      <c r="L233">
        <v>0</v>
      </c>
      <c r="M233" s="8">
        <v>2</v>
      </c>
      <c r="N233" t="s">
        <v>212</v>
      </c>
      <c r="O233" t="str">
        <f>IF(B233="SP",IF(C233="São Paulo","FRQ001","FRQ002"),VLOOKUP(B233,Premissas!$A$11:$B$28,2,FALSE))</f>
        <v>FRQ007</v>
      </c>
      <c r="P233" t="str">
        <f t="shared" si="12"/>
        <v>Própria</v>
      </c>
      <c r="Q233" s="10">
        <f>VLOOKUP(E233,Premissas!$A$32:$B$35,2,FALSE)</f>
        <v>938</v>
      </c>
      <c r="R233" s="10">
        <f>Q233*(1-Premissas!$B$5)</f>
        <v>745.24099999999999</v>
      </c>
      <c r="S233">
        <f t="shared" si="13"/>
        <v>5</v>
      </c>
      <c r="T233" t="str">
        <f t="shared" si="14"/>
        <v>5. Régua automatizada</v>
      </c>
      <c r="U233">
        <f t="shared" si="15"/>
        <v>5</v>
      </c>
      <c r="V233" t="s">
        <v>213</v>
      </c>
      <c r="W233" t="s">
        <v>207</v>
      </c>
      <c r="X233" s="13">
        <v>0.2702</v>
      </c>
    </row>
    <row r="234" spans="1:24" x14ac:dyDescent="0.25">
      <c r="A234" t="s">
        <v>501</v>
      </c>
      <c r="B234" t="s">
        <v>52</v>
      </c>
      <c r="C234" t="s">
        <v>203</v>
      </c>
      <c r="D234" t="s">
        <v>117</v>
      </c>
      <c r="E234" t="s">
        <v>72</v>
      </c>
      <c r="F234">
        <v>68</v>
      </c>
      <c r="G234" t="s">
        <v>204</v>
      </c>
      <c r="H234" t="s">
        <v>197</v>
      </c>
      <c r="I234" t="s">
        <v>198</v>
      </c>
      <c r="J234">
        <v>2</v>
      </c>
      <c r="K234">
        <v>0</v>
      </c>
      <c r="L234">
        <v>1</v>
      </c>
      <c r="M234" s="8">
        <v>4</v>
      </c>
      <c r="N234" t="s">
        <v>199</v>
      </c>
      <c r="O234" t="str">
        <f>IF(B234="SP",IF(C234="São Paulo","FRQ001","FRQ002"),VLOOKUP(B234,Premissas!$A$11:$B$28,2,FALSE))</f>
        <v>Sem franquia</v>
      </c>
      <c r="P234" t="str">
        <f t="shared" si="12"/>
        <v>Sem franquia</v>
      </c>
      <c r="Q234" s="10">
        <f>VLOOKUP(E234,Premissas!$A$32:$B$35,2,FALSE)</f>
        <v>1121</v>
      </c>
      <c r="R234" s="10">
        <f>Q234*(1-Premissas!$B$5)</f>
        <v>890.6345</v>
      </c>
      <c r="S234">
        <f t="shared" si="13"/>
        <v>2</v>
      </c>
      <c r="T234" t="str">
        <f t="shared" si="14"/>
        <v>2. Prospectar tier Alta</v>
      </c>
      <c r="U234">
        <f t="shared" si="15"/>
        <v>2</v>
      </c>
      <c r="V234" t="s">
        <v>200</v>
      </c>
      <c r="W234" t="s">
        <v>201</v>
      </c>
      <c r="X234" s="13">
        <v>0.43640000000000001</v>
      </c>
    </row>
    <row r="235" spans="1:24" x14ac:dyDescent="0.25">
      <c r="A235" t="s">
        <v>502</v>
      </c>
      <c r="B235" t="s">
        <v>57</v>
      </c>
      <c r="C235" t="s">
        <v>302</v>
      </c>
      <c r="D235" t="s">
        <v>113</v>
      </c>
      <c r="E235" t="s">
        <v>72</v>
      </c>
      <c r="F235">
        <v>52</v>
      </c>
      <c r="G235" t="s">
        <v>204</v>
      </c>
      <c r="H235" t="s">
        <v>197</v>
      </c>
      <c r="I235" t="s">
        <v>198</v>
      </c>
      <c r="J235">
        <v>2</v>
      </c>
      <c r="K235">
        <v>0</v>
      </c>
      <c r="L235">
        <v>1</v>
      </c>
      <c r="M235" s="8">
        <v>4</v>
      </c>
      <c r="N235" t="s">
        <v>199</v>
      </c>
      <c r="O235" t="str">
        <f>IF(B235="SP",IF(C235="São Paulo","FRQ001","FRQ002"),VLOOKUP(B235,Premissas!$A$11:$B$28,2,FALSE))</f>
        <v>FRQ005</v>
      </c>
      <c r="P235" t="str">
        <f t="shared" si="12"/>
        <v>Própria</v>
      </c>
      <c r="Q235" s="10">
        <f>VLOOKUP(E235,Premissas!$A$32:$B$35,2,FALSE)</f>
        <v>1121</v>
      </c>
      <c r="R235" s="10">
        <f>Q235*(1-Premissas!$B$5)</f>
        <v>890.6345</v>
      </c>
      <c r="S235">
        <f t="shared" si="13"/>
        <v>2</v>
      </c>
      <c r="T235" t="str">
        <f t="shared" si="14"/>
        <v>2. Prospectar tier Alta</v>
      </c>
      <c r="U235">
        <f t="shared" si="15"/>
        <v>3</v>
      </c>
      <c r="V235" t="s">
        <v>200</v>
      </c>
      <c r="W235" t="s">
        <v>201</v>
      </c>
      <c r="X235" s="13">
        <v>0.43640000000000001</v>
      </c>
    </row>
    <row r="236" spans="1:24" x14ac:dyDescent="0.25">
      <c r="A236" t="s">
        <v>503</v>
      </c>
      <c r="B236" t="s">
        <v>36</v>
      </c>
      <c r="C236" t="s">
        <v>322</v>
      </c>
      <c r="D236" t="s">
        <v>120</v>
      </c>
      <c r="E236" t="s">
        <v>75</v>
      </c>
      <c r="F236">
        <v>7</v>
      </c>
      <c r="G236" t="s">
        <v>219</v>
      </c>
      <c r="H236" t="s">
        <v>211</v>
      </c>
      <c r="I236" t="s">
        <v>205</v>
      </c>
      <c r="J236">
        <v>0</v>
      </c>
      <c r="K236">
        <v>0</v>
      </c>
      <c r="L236">
        <v>0</v>
      </c>
      <c r="M236" s="8">
        <v>1</v>
      </c>
      <c r="N236" t="s">
        <v>212</v>
      </c>
      <c r="O236" t="str">
        <f>IF(B236="SP",IF(C236="São Paulo","FRQ001","FRQ002"),VLOOKUP(B236,Premissas!$A$11:$B$28,2,FALSE))</f>
        <v>FRQ010</v>
      </c>
      <c r="P236" t="str">
        <f t="shared" si="12"/>
        <v>Própria</v>
      </c>
      <c r="Q236" s="10">
        <f>VLOOKUP(E236,Premissas!$A$32:$B$35,2,FALSE)</f>
        <v>938</v>
      </c>
      <c r="R236" s="10">
        <f>Q236*(1-Premissas!$B$5)</f>
        <v>745.24099999999999</v>
      </c>
      <c r="S236">
        <f t="shared" si="13"/>
        <v>5</v>
      </c>
      <c r="T236" t="str">
        <f t="shared" si="14"/>
        <v>5. Régua automatizada</v>
      </c>
      <c r="U236">
        <f t="shared" si="15"/>
        <v>10</v>
      </c>
      <c r="V236" t="s">
        <v>221</v>
      </c>
      <c r="W236" t="s">
        <v>207</v>
      </c>
      <c r="X236" s="13">
        <v>0.1779</v>
      </c>
    </row>
    <row r="237" spans="1:24" x14ac:dyDescent="0.25">
      <c r="A237" t="s">
        <v>504</v>
      </c>
      <c r="B237" t="s">
        <v>55</v>
      </c>
      <c r="C237" t="s">
        <v>281</v>
      </c>
      <c r="D237" t="s">
        <v>120</v>
      </c>
      <c r="E237" t="s">
        <v>75</v>
      </c>
      <c r="F237">
        <v>13</v>
      </c>
      <c r="G237" t="s">
        <v>204</v>
      </c>
      <c r="H237" t="s">
        <v>211</v>
      </c>
      <c r="I237" t="s">
        <v>205</v>
      </c>
      <c r="J237">
        <v>0</v>
      </c>
      <c r="K237">
        <v>0</v>
      </c>
      <c r="L237">
        <v>0</v>
      </c>
      <c r="M237" s="8">
        <v>1</v>
      </c>
      <c r="N237" t="s">
        <v>212</v>
      </c>
      <c r="O237" t="str">
        <f>IF(B237="SP",IF(C237="São Paulo","FRQ001","FRQ002"),VLOOKUP(B237,Premissas!$A$11:$B$28,2,FALSE))</f>
        <v>FRQ011</v>
      </c>
      <c r="P237" t="str">
        <f t="shared" si="12"/>
        <v>Própria</v>
      </c>
      <c r="Q237" s="10">
        <f>VLOOKUP(E237,Premissas!$A$32:$B$35,2,FALSE)</f>
        <v>938</v>
      </c>
      <c r="R237" s="10">
        <f>Q237*(1-Premissas!$B$5)</f>
        <v>745.24099999999999</v>
      </c>
      <c r="S237">
        <f t="shared" si="13"/>
        <v>5</v>
      </c>
      <c r="T237" t="str">
        <f t="shared" si="14"/>
        <v>5. Régua automatizada</v>
      </c>
      <c r="U237">
        <f t="shared" si="15"/>
        <v>15</v>
      </c>
      <c r="V237" t="s">
        <v>221</v>
      </c>
      <c r="W237" t="s">
        <v>207</v>
      </c>
      <c r="X237" s="13">
        <v>0.1716</v>
      </c>
    </row>
    <row r="238" spans="1:24" x14ac:dyDescent="0.25">
      <c r="A238" t="s">
        <v>505</v>
      </c>
      <c r="B238" t="s">
        <v>59</v>
      </c>
      <c r="C238" t="s">
        <v>261</v>
      </c>
      <c r="D238" t="s">
        <v>107</v>
      </c>
      <c r="E238" t="s">
        <v>75</v>
      </c>
      <c r="F238">
        <v>21</v>
      </c>
      <c r="G238" t="s">
        <v>210</v>
      </c>
      <c r="H238" t="s">
        <v>211</v>
      </c>
      <c r="I238" t="s">
        <v>205</v>
      </c>
      <c r="J238">
        <v>0</v>
      </c>
      <c r="K238">
        <v>0</v>
      </c>
      <c r="L238">
        <v>0</v>
      </c>
      <c r="M238" s="8">
        <v>2</v>
      </c>
      <c r="N238" t="s">
        <v>212</v>
      </c>
      <c r="O238" t="str">
        <f>IF(B238="SP",IF(C238="São Paulo","FRQ001","FRQ002"),VLOOKUP(B238,Premissas!$A$11:$B$28,2,FALSE))</f>
        <v>FRQ003</v>
      </c>
      <c r="P238" t="str">
        <f t="shared" si="12"/>
        <v>Própria</v>
      </c>
      <c r="Q238" s="10">
        <f>VLOOKUP(E238,Premissas!$A$32:$B$35,2,FALSE)</f>
        <v>938</v>
      </c>
      <c r="R238" s="10">
        <f>Q238*(1-Premissas!$B$5)</f>
        <v>745.24099999999999</v>
      </c>
      <c r="S238">
        <f t="shared" si="13"/>
        <v>5</v>
      </c>
      <c r="T238" t="str">
        <f t="shared" si="14"/>
        <v>5. Régua automatizada</v>
      </c>
      <c r="U238">
        <f t="shared" si="15"/>
        <v>31</v>
      </c>
      <c r="V238" t="s">
        <v>213</v>
      </c>
      <c r="W238" t="s">
        <v>207</v>
      </c>
      <c r="X238" s="13">
        <v>0.1263</v>
      </c>
    </row>
    <row r="239" spans="1:24" x14ac:dyDescent="0.25">
      <c r="A239" t="s">
        <v>506</v>
      </c>
      <c r="B239" t="s">
        <v>59</v>
      </c>
      <c r="C239" t="s">
        <v>269</v>
      </c>
      <c r="D239" t="s">
        <v>107</v>
      </c>
      <c r="E239" t="s">
        <v>72</v>
      </c>
      <c r="F239">
        <v>46</v>
      </c>
      <c r="G239" t="s">
        <v>243</v>
      </c>
      <c r="H239" t="s">
        <v>197</v>
      </c>
      <c r="I239" t="s">
        <v>205</v>
      </c>
      <c r="J239">
        <v>0</v>
      </c>
      <c r="K239">
        <v>0</v>
      </c>
      <c r="L239">
        <v>0</v>
      </c>
      <c r="M239" s="8">
        <v>3</v>
      </c>
      <c r="N239" t="s">
        <v>206</v>
      </c>
      <c r="O239" t="str">
        <f>IF(B239="SP",IF(C239="São Paulo","FRQ001","FRQ002"),VLOOKUP(B239,Premissas!$A$11:$B$28,2,FALSE))</f>
        <v>FRQ003</v>
      </c>
      <c r="P239" t="str">
        <f t="shared" si="12"/>
        <v>Própria</v>
      </c>
      <c r="Q239" s="10">
        <f>VLOOKUP(E239,Premissas!$A$32:$B$35,2,FALSE)</f>
        <v>1121</v>
      </c>
      <c r="R239" s="10">
        <f>Q239*(1-Premissas!$B$5)</f>
        <v>890.6345</v>
      </c>
      <c r="S239">
        <f t="shared" si="13"/>
        <v>4</v>
      </c>
      <c r="T239" t="str">
        <f t="shared" si="14"/>
        <v>4. Nutrir (marketing/inbound)</v>
      </c>
      <c r="U239">
        <f t="shared" si="15"/>
        <v>14</v>
      </c>
      <c r="V239" t="s">
        <v>200</v>
      </c>
      <c r="W239" t="s">
        <v>207</v>
      </c>
      <c r="X239" s="13">
        <v>0.33069999999999999</v>
      </c>
    </row>
    <row r="240" spans="1:24" x14ac:dyDescent="0.25">
      <c r="A240" t="s">
        <v>507</v>
      </c>
      <c r="B240" t="s">
        <v>62</v>
      </c>
      <c r="C240" t="s">
        <v>311</v>
      </c>
      <c r="D240" t="s">
        <v>113</v>
      </c>
      <c r="E240" t="s">
        <v>75</v>
      </c>
      <c r="F240">
        <v>18</v>
      </c>
      <c r="G240" t="s">
        <v>219</v>
      </c>
      <c r="H240" t="s">
        <v>211</v>
      </c>
      <c r="I240" t="s">
        <v>205</v>
      </c>
      <c r="J240">
        <v>0</v>
      </c>
      <c r="K240">
        <v>0</v>
      </c>
      <c r="L240">
        <v>0</v>
      </c>
      <c r="M240" s="8">
        <v>2</v>
      </c>
      <c r="N240" t="s">
        <v>212</v>
      </c>
      <c r="O240" t="str">
        <f>IF(B240="SP",IF(C240="São Paulo","FRQ001","FRQ002"),VLOOKUP(B240,Premissas!$A$11:$B$28,2,FALSE))</f>
        <v>FRQ007</v>
      </c>
      <c r="P240" t="str">
        <f t="shared" si="12"/>
        <v>Própria</v>
      </c>
      <c r="Q240" s="10">
        <f>VLOOKUP(E240,Premissas!$A$32:$B$35,2,FALSE)</f>
        <v>938</v>
      </c>
      <c r="R240" s="10">
        <f>Q240*(1-Premissas!$B$5)</f>
        <v>745.24099999999999</v>
      </c>
      <c r="S240">
        <f t="shared" si="13"/>
        <v>5</v>
      </c>
      <c r="T240" t="str">
        <f t="shared" si="14"/>
        <v>5. Régua automatizada</v>
      </c>
      <c r="U240">
        <f t="shared" si="15"/>
        <v>5</v>
      </c>
      <c r="V240" t="s">
        <v>213</v>
      </c>
      <c r="W240" t="s">
        <v>207</v>
      </c>
      <c r="X240" s="13">
        <v>0.10929999999999999</v>
      </c>
    </row>
    <row r="241" spans="1:24" x14ac:dyDescent="0.25">
      <c r="A241" t="s">
        <v>508</v>
      </c>
      <c r="B241" t="s">
        <v>59</v>
      </c>
      <c r="C241" t="s">
        <v>228</v>
      </c>
      <c r="D241" t="s">
        <v>107</v>
      </c>
      <c r="E241" t="s">
        <v>75</v>
      </c>
      <c r="F241">
        <v>23</v>
      </c>
      <c r="G241" t="s">
        <v>219</v>
      </c>
      <c r="H241" t="s">
        <v>226</v>
      </c>
      <c r="I241" t="s">
        <v>205</v>
      </c>
      <c r="J241">
        <v>0</v>
      </c>
      <c r="K241">
        <v>0</v>
      </c>
      <c r="L241">
        <v>0</v>
      </c>
      <c r="M241" s="8">
        <v>2</v>
      </c>
      <c r="N241" t="s">
        <v>212</v>
      </c>
      <c r="O241" t="str">
        <f>IF(B241="SP",IF(C241="São Paulo","FRQ001","FRQ002"),VLOOKUP(B241,Premissas!$A$11:$B$28,2,FALSE))</f>
        <v>FRQ003</v>
      </c>
      <c r="P241" t="str">
        <f t="shared" si="12"/>
        <v>Própria</v>
      </c>
      <c r="Q241" s="10">
        <f>VLOOKUP(E241,Premissas!$A$32:$B$35,2,FALSE)</f>
        <v>938</v>
      </c>
      <c r="R241" s="10">
        <f>Q241*(1-Premissas!$B$5)</f>
        <v>745.24099999999999</v>
      </c>
      <c r="S241">
        <f t="shared" si="13"/>
        <v>5</v>
      </c>
      <c r="T241" t="str">
        <f t="shared" si="14"/>
        <v>5. Régua automatizada</v>
      </c>
      <c r="U241">
        <f t="shared" si="15"/>
        <v>31</v>
      </c>
      <c r="V241" t="s">
        <v>213</v>
      </c>
      <c r="W241" t="s">
        <v>207</v>
      </c>
      <c r="X241" s="13">
        <v>0.2079</v>
      </c>
    </row>
    <row r="242" spans="1:24" x14ac:dyDescent="0.25">
      <c r="A242" t="s">
        <v>509</v>
      </c>
      <c r="B242" t="s">
        <v>59</v>
      </c>
      <c r="C242" t="s">
        <v>269</v>
      </c>
      <c r="D242" t="s">
        <v>107</v>
      </c>
      <c r="E242" t="s">
        <v>75</v>
      </c>
      <c r="F242">
        <v>17</v>
      </c>
      <c r="G242" t="s">
        <v>196</v>
      </c>
      <c r="H242" t="s">
        <v>211</v>
      </c>
      <c r="I242" t="s">
        <v>205</v>
      </c>
      <c r="J242">
        <v>0</v>
      </c>
      <c r="K242">
        <v>0</v>
      </c>
      <c r="L242">
        <v>0</v>
      </c>
      <c r="M242" s="8">
        <v>2</v>
      </c>
      <c r="N242" t="s">
        <v>212</v>
      </c>
      <c r="O242" t="str">
        <f>IF(B242="SP",IF(C242="São Paulo","FRQ001","FRQ002"),VLOOKUP(B242,Premissas!$A$11:$B$28,2,FALSE))</f>
        <v>FRQ003</v>
      </c>
      <c r="P242" t="str">
        <f t="shared" si="12"/>
        <v>Própria</v>
      </c>
      <c r="Q242" s="10">
        <f>VLOOKUP(E242,Premissas!$A$32:$B$35,2,FALSE)</f>
        <v>938</v>
      </c>
      <c r="R242" s="10">
        <f>Q242*(1-Premissas!$B$5)</f>
        <v>745.24099999999999</v>
      </c>
      <c r="S242">
        <f t="shared" si="13"/>
        <v>5</v>
      </c>
      <c r="T242" t="str">
        <f t="shared" si="14"/>
        <v>5. Régua automatizada</v>
      </c>
      <c r="U242">
        <f t="shared" si="15"/>
        <v>31</v>
      </c>
      <c r="V242" t="s">
        <v>213</v>
      </c>
      <c r="W242" t="s">
        <v>207</v>
      </c>
      <c r="X242" s="13">
        <v>0.24440000000000001</v>
      </c>
    </row>
    <row r="243" spans="1:24" x14ac:dyDescent="0.25">
      <c r="A243" t="s">
        <v>510</v>
      </c>
      <c r="B243" t="s">
        <v>57</v>
      </c>
      <c r="C243" t="s">
        <v>249</v>
      </c>
      <c r="D243" t="s">
        <v>113</v>
      </c>
      <c r="E243" t="s">
        <v>72</v>
      </c>
      <c r="F243">
        <v>60</v>
      </c>
      <c r="G243" t="s">
        <v>237</v>
      </c>
      <c r="H243" t="s">
        <v>197</v>
      </c>
      <c r="I243" t="s">
        <v>205</v>
      </c>
      <c r="J243">
        <v>0</v>
      </c>
      <c r="K243">
        <v>1</v>
      </c>
      <c r="L243">
        <v>1</v>
      </c>
      <c r="M243" s="8">
        <v>3</v>
      </c>
      <c r="N243" t="s">
        <v>206</v>
      </c>
      <c r="O243" t="str">
        <f>IF(B243="SP",IF(C243="São Paulo","FRQ001","FRQ002"),VLOOKUP(B243,Premissas!$A$11:$B$28,2,FALSE))</f>
        <v>FRQ005</v>
      </c>
      <c r="P243" t="str">
        <f t="shared" si="12"/>
        <v>Própria</v>
      </c>
      <c r="Q243" s="10">
        <f>VLOOKUP(E243,Premissas!$A$32:$B$35,2,FALSE)</f>
        <v>1121</v>
      </c>
      <c r="R243" s="10">
        <f>Q243*(1-Premissas!$B$5)</f>
        <v>890.6345</v>
      </c>
      <c r="S243">
        <f t="shared" si="13"/>
        <v>3</v>
      </c>
      <c r="T243" t="str">
        <f t="shared" si="14"/>
        <v>3. Requalificar ou encerrar lead parado</v>
      </c>
      <c r="U243">
        <f t="shared" si="15"/>
        <v>4</v>
      </c>
      <c r="V243" t="s">
        <v>200</v>
      </c>
      <c r="W243" t="s">
        <v>207</v>
      </c>
      <c r="X243" s="13">
        <v>0.47770000000000001</v>
      </c>
    </row>
    <row r="244" spans="1:24" x14ac:dyDescent="0.25">
      <c r="A244" t="s">
        <v>511</v>
      </c>
      <c r="B244" t="s">
        <v>44</v>
      </c>
      <c r="C244" t="s">
        <v>236</v>
      </c>
      <c r="D244" t="s">
        <v>117</v>
      </c>
      <c r="E244" t="s">
        <v>72</v>
      </c>
      <c r="F244">
        <v>77</v>
      </c>
      <c r="G244" t="s">
        <v>196</v>
      </c>
      <c r="H244" t="s">
        <v>197</v>
      </c>
      <c r="I244" t="s">
        <v>205</v>
      </c>
      <c r="J244">
        <v>0</v>
      </c>
      <c r="K244">
        <v>1</v>
      </c>
      <c r="L244">
        <v>0</v>
      </c>
      <c r="M244" s="8">
        <v>3</v>
      </c>
      <c r="N244" t="s">
        <v>206</v>
      </c>
      <c r="O244" t="str">
        <f>IF(B244="SP",IF(C244="São Paulo","FRQ001","FRQ002"),VLOOKUP(B244,Premissas!$A$11:$B$28,2,FALSE))</f>
        <v>FRQ009</v>
      </c>
      <c r="P244" t="str">
        <f t="shared" si="12"/>
        <v>Própria</v>
      </c>
      <c r="Q244" s="10">
        <f>VLOOKUP(E244,Premissas!$A$32:$B$35,2,FALSE)</f>
        <v>1121</v>
      </c>
      <c r="R244" s="10">
        <f>Q244*(1-Premissas!$B$5)</f>
        <v>890.6345</v>
      </c>
      <c r="S244">
        <f t="shared" si="13"/>
        <v>3</v>
      </c>
      <c r="T244" t="str">
        <f t="shared" si="14"/>
        <v>3. Requalificar ou encerrar lead parado</v>
      </c>
      <c r="U244">
        <f t="shared" si="15"/>
        <v>1</v>
      </c>
      <c r="V244" t="s">
        <v>200</v>
      </c>
      <c r="W244" t="s">
        <v>207</v>
      </c>
      <c r="X244" s="13">
        <v>0.40600000000000003</v>
      </c>
    </row>
    <row r="245" spans="1:24" x14ac:dyDescent="0.25">
      <c r="A245" t="s">
        <v>512</v>
      </c>
      <c r="B245" t="s">
        <v>66</v>
      </c>
      <c r="C245" t="s">
        <v>215</v>
      </c>
      <c r="D245" t="s">
        <v>107</v>
      </c>
      <c r="E245" t="s">
        <v>75</v>
      </c>
      <c r="F245">
        <v>20</v>
      </c>
      <c r="G245" t="s">
        <v>196</v>
      </c>
      <c r="H245" t="s">
        <v>197</v>
      </c>
      <c r="I245" t="s">
        <v>205</v>
      </c>
      <c r="J245">
        <v>0</v>
      </c>
      <c r="K245">
        <v>1</v>
      </c>
      <c r="L245">
        <v>0</v>
      </c>
      <c r="M245" s="8">
        <v>2</v>
      </c>
      <c r="N245" t="s">
        <v>212</v>
      </c>
      <c r="O245" t="str">
        <f>IF(B245="SP",IF(C245="São Paulo","FRQ001","FRQ002"),VLOOKUP(B245,Premissas!$A$11:$B$28,2,FALSE))</f>
        <v>FRQ002</v>
      </c>
      <c r="P245" t="str">
        <f t="shared" si="12"/>
        <v>Própria</v>
      </c>
      <c r="Q245" s="10">
        <f>VLOOKUP(E245,Premissas!$A$32:$B$35,2,FALSE)</f>
        <v>938</v>
      </c>
      <c r="R245" s="10">
        <f>Q245*(1-Premissas!$B$5)</f>
        <v>745.24099999999999</v>
      </c>
      <c r="S245">
        <f t="shared" si="13"/>
        <v>3</v>
      </c>
      <c r="T245" t="str">
        <f t="shared" si="14"/>
        <v>3. Requalificar ou encerrar lead parado</v>
      </c>
      <c r="U245">
        <f t="shared" si="15"/>
        <v>5</v>
      </c>
      <c r="V245" t="s">
        <v>213</v>
      </c>
      <c r="W245" t="s">
        <v>207</v>
      </c>
      <c r="X245" s="13">
        <v>0.20569999999999999</v>
      </c>
    </row>
    <row r="246" spans="1:24" x14ac:dyDescent="0.25">
      <c r="A246" t="s">
        <v>513</v>
      </c>
      <c r="B246" t="s">
        <v>66</v>
      </c>
      <c r="C246" t="s">
        <v>234</v>
      </c>
      <c r="D246" t="s">
        <v>107</v>
      </c>
      <c r="E246" t="s">
        <v>75</v>
      </c>
      <c r="F246">
        <v>5</v>
      </c>
      <c r="G246" t="s">
        <v>216</v>
      </c>
      <c r="H246" t="s">
        <v>226</v>
      </c>
      <c r="I246" t="s">
        <v>205</v>
      </c>
      <c r="J246">
        <v>0</v>
      </c>
      <c r="K246">
        <v>1</v>
      </c>
      <c r="L246">
        <v>0</v>
      </c>
      <c r="M246" s="8">
        <v>1</v>
      </c>
      <c r="N246" t="s">
        <v>212</v>
      </c>
      <c r="O246" t="str">
        <f>IF(B246="SP",IF(C246="São Paulo","FRQ001","FRQ002"),VLOOKUP(B246,Premissas!$A$11:$B$28,2,FALSE))</f>
        <v>FRQ002</v>
      </c>
      <c r="P246" t="str">
        <f t="shared" si="12"/>
        <v>Própria</v>
      </c>
      <c r="Q246" s="10">
        <f>VLOOKUP(E246,Premissas!$A$32:$B$35,2,FALSE)</f>
        <v>938</v>
      </c>
      <c r="R246" s="10">
        <f>Q246*(1-Premissas!$B$5)</f>
        <v>745.24099999999999</v>
      </c>
      <c r="S246">
        <f t="shared" si="13"/>
        <v>3</v>
      </c>
      <c r="T246" t="str">
        <f t="shared" si="14"/>
        <v>3. Requalificar ou encerrar lead parado</v>
      </c>
      <c r="U246">
        <f t="shared" si="15"/>
        <v>5</v>
      </c>
      <c r="V246" t="s">
        <v>221</v>
      </c>
      <c r="W246" t="s">
        <v>207</v>
      </c>
      <c r="X246" s="13">
        <v>0.12759999999999999</v>
      </c>
    </row>
    <row r="247" spans="1:24" x14ac:dyDescent="0.25">
      <c r="A247" t="s">
        <v>514</v>
      </c>
      <c r="B247" t="s">
        <v>55</v>
      </c>
      <c r="C247" t="s">
        <v>281</v>
      </c>
      <c r="D247" t="s">
        <v>120</v>
      </c>
      <c r="E247" t="s">
        <v>72</v>
      </c>
      <c r="F247">
        <v>21</v>
      </c>
      <c r="G247" t="s">
        <v>204</v>
      </c>
      <c r="H247" t="s">
        <v>197</v>
      </c>
      <c r="I247" t="s">
        <v>220</v>
      </c>
      <c r="J247">
        <v>1</v>
      </c>
      <c r="K247">
        <v>0</v>
      </c>
      <c r="L247">
        <v>0</v>
      </c>
      <c r="M247" s="8">
        <v>3</v>
      </c>
      <c r="N247" t="s">
        <v>206</v>
      </c>
      <c r="O247" t="str">
        <f>IF(B247="SP",IF(C247="São Paulo","FRQ001","FRQ002"),VLOOKUP(B247,Premissas!$A$11:$B$28,2,FALSE))</f>
        <v>FRQ011</v>
      </c>
      <c r="P247" t="str">
        <f t="shared" si="12"/>
        <v>Própria</v>
      </c>
      <c r="Q247" s="10">
        <f>VLOOKUP(E247,Premissas!$A$32:$B$35,2,FALSE)</f>
        <v>1121</v>
      </c>
      <c r="R247" s="10">
        <f>Q247*(1-Premissas!$B$5)</f>
        <v>890.6345</v>
      </c>
      <c r="S247">
        <f t="shared" si="13"/>
        <v>4</v>
      </c>
      <c r="T247" t="str">
        <f t="shared" si="14"/>
        <v>4. Nutrir (marketing/inbound)</v>
      </c>
      <c r="U247">
        <f t="shared" si="15"/>
        <v>7</v>
      </c>
      <c r="V247" t="s">
        <v>213</v>
      </c>
      <c r="W247" t="s">
        <v>201</v>
      </c>
      <c r="X247" s="13">
        <v>0.36880000000000002</v>
      </c>
    </row>
    <row r="248" spans="1:24" x14ac:dyDescent="0.25">
      <c r="A248" t="s">
        <v>515</v>
      </c>
      <c r="B248" t="s">
        <v>36</v>
      </c>
      <c r="C248" t="s">
        <v>257</v>
      </c>
      <c r="D248" t="s">
        <v>120</v>
      </c>
      <c r="E248" t="s">
        <v>75</v>
      </c>
      <c r="F248">
        <v>7</v>
      </c>
      <c r="G248" t="s">
        <v>204</v>
      </c>
      <c r="H248" t="s">
        <v>226</v>
      </c>
      <c r="I248" t="s">
        <v>205</v>
      </c>
      <c r="J248">
        <v>0</v>
      </c>
      <c r="K248">
        <v>0</v>
      </c>
      <c r="L248">
        <v>0</v>
      </c>
      <c r="M248" s="8">
        <v>1</v>
      </c>
      <c r="N248" t="s">
        <v>212</v>
      </c>
      <c r="O248" t="str">
        <f>IF(B248="SP",IF(C248="São Paulo","FRQ001","FRQ002"),VLOOKUP(B248,Premissas!$A$11:$B$28,2,FALSE))</f>
        <v>FRQ010</v>
      </c>
      <c r="P248" t="str">
        <f t="shared" si="12"/>
        <v>Própria</v>
      </c>
      <c r="Q248" s="10">
        <f>VLOOKUP(E248,Premissas!$A$32:$B$35,2,FALSE)</f>
        <v>938</v>
      </c>
      <c r="R248" s="10">
        <f>Q248*(1-Premissas!$B$5)</f>
        <v>745.24099999999999</v>
      </c>
      <c r="S248">
        <f t="shared" si="13"/>
        <v>5</v>
      </c>
      <c r="T248" t="str">
        <f t="shared" si="14"/>
        <v>5. Régua automatizada</v>
      </c>
      <c r="U248">
        <f t="shared" si="15"/>
        <v>10</v>
      </c>
      <c r="V248" t="s">
        <v>221</v>
      </c>
      <c r="W248" t="s">
        <v>207</v>
      </c>
      <c r="X248" s="13">
        <v>0.17169999999999999</v>
      </c>
    </row>
    <row r="249" spans="1:24" x14ac:dyDescent="0.25">
      <c r="A249" t="s">
        <v>516</v>
      </c>
      <c r="B249" t="s">
        <v>51</v>
      </c>
      <c r="C249" t="s">
        <v>326</v>
      </c>
      <c r="D249" t="s">
        <v>117</v>
      </c>
      <c r="E249" t="s">
        <v>72</v>
      </c>
      <c r="F249">
        <v>44</v>
      </c>
      <c r="G249" t="s">
        <v>243</v>
      </c>
      <c r="H249" t="s">
        <v>197</v>
      </c>
      <c r="I249" t="s">
        <v>220</v>
      </c>
      <c r="J249">
        <v>1</v>
      </c>
      <c r="K249">
        <v>0</v>
      </c>
      <c r="L249">
        <v>0</v>
      </c>
      <c r="M249" s="8">
        <v>4</v>
      </c>
      <c r="N249" t="s">
        <v>199</v>
      </c>
      <c r="O249" t="str">
        <f>IF(B249="SP",IF(C249="São Paulo","FRQ001","FRQ002"),VLOOKUP(B249,Premissas!$A$11:$B$28,2,FALSE))</f>
        <v>Sem franquia</v>
      </c>
      <c r="P249" t="str">
        <f t="shared" si="12"/>
        <v>Sem franquia</v>
      </c>
      <c r="Q249" s="10">
        <f>VLOOKUP(E249,Premissas!$A$32:$B$35,2,FALSE)</f>
        <v>1121</v>
      </c>
      <c r="R249" s="10">
        <f>Q249*(1-Premissas!$B$5)</f>
        <v>890.6345</v>
      </c>
      <c r="S249">
        <f t="shared" si="13"/>
        <v>2</v>
      </c>
      <c r="T249" t="str">
        <f t="shared" si="14"/>
        <v>2. Prospectar tier Alta</v>
      </c>
      <c r="U249">
        <f t="shared" si="15"/>
        <v>2</v>
      </c>
      <c r="V249" t="s">
        <v>200</v>
      </c>
      <c r="W249" t="s">
        <v>201</v>
      </c>
      <c r="X249" s="13">
        <v>0.49259999999999998</v>
      </c>
    </row>
    <row r="250" spans="1:24" x14ac:dyDescent="0.25">
      <c r="A250" t="s">
        <v>517</v>
      </c>
      <c r="B250" t="s">
        <v>49</v>
      </c>
      <c r="C250" t="s">
        <v>239</v>
      </c>
      <c r="D250" t="s">
        <v>107</v>
      </c>
      <c r="E250" t="s">
        <v>72</v>
      </c>
      <c r="F250">
        <v>34</v>
      </c>
      <c r="G250" t="s">
        <v>237</v>
      </c>
      <c r="H250" t="s">
        <v>197</v>
      </c>
      <c r="I250" t="s">
        <v>205</v>
      </c>
      <c r="J250">
        <v>0</v>
      </c>
      <c r="K250">
        <v>1</v>
      </c>
      <c r="L250">
        <v>0</v>
      </c>
      <c r="M250" s="8">
        <v>3</v>
      </c>
      <c r="N250" t="s">
        <v>206</v>
      </c>
      <c r="O250" t="str">
        <f>IF(B250="SP",IF(C250="São Paulo","FRQ001","FRQ002"),VLOOKUP(B250,Premissas!$A$11:$B$28,2,FALSE))</f>
        <v>FRQ004</v>
      </c>
      <c r="P250" t="str">
        <f t="shared" si="12"/>
        <v>Própria</v>
      </c>
      <c r="Q250" s="10">
        <f>VLOOKUP(E250,Premissas!$A$32:$B$35,2,FALSE)</f>
        <v>1121</v>
      </c>
      <c r="R250" s="10">
        <f>Q250*(1-Premissas!$B$5)</f>
        <v>890.6345</v>
      </c>
      <c r="S250">
        <f t="shared" si="13"/>
        <v>3</v>
      </c>
      <c r="T250" t="str">
        <f t="shared" si="14"/>
        <v>3. Requalificar ou encerrar lead parado</v>
      </c>
      <c r="U250">
        <f t="shared" si="15"/>
        <v>4</v>
      </c>
      <c r="V250" t="s">
        <v>200</v>
      </c>
      <c r="W250" t="s">
        <v>207</v>
      </c>
      <c r="X250" s="13">
        <v>0.37569999999999998</v>
      </c>
    </row>
    <row r="251" spans="1:24" x14ac:dyDescent="0.25">
      <c r="A251" t="s">
        <v>518</v>
      </c>
      <c r="B251" t="s">
        <v>36</v>
      </c>
      <c r="C251" t="s">
        <v>322</v>
      </c>
      <c r="D251" t="s">
        <v>120</v>
      </c>
      <c r="E251" t="s">
        <v>75</v>
      </c>
      <c r="F251">
        <v>9</v>
      </c>
      <c r="G251" t="s">
        <v>219</v>
      </c>
      <c r="H251" t="s">
        <v>211</v>
      </c>
      <c r="I251" t="s">
        <v>205</v>
      </c>
      <c r="J251">
        <v>0</v>
      </c>
      <c r="K251">
        <v>0</v>
      </c>
      <c r="L251">
        <v>0</v>
      </c>
      <c r="M251" s="8">
        <v>1</v>
      </c>
      <c r="N251" t="s">
        <v>212</v>
      </c>
      <c r="O251" t="str">
        <f>IF(B251="SP",IF(C251="São Paulo","FRQ001","FRQ002"),VLOOKUP(B251,Premissas!$A$11:$B$28,2,FALSE))</f>
        <v>FRQ010</v>
      </c>
      <c r="P251" t="str">
        <f t="shared" si="12"/>
        <v>Própria</v>
      </c>
      <c r="Q251" s="10">
        <f>VLOOKUP(E251,Premissas!$A$32:$B$35,2,FALSE)</f>
        <v>938</v>
      </c>
      <c r="R251" s="10">
        <f>Q251*(1-Premissas!$B$5)</f>
        <v>745.24099999999999</v>
      </c>
      <c r="S251">
        <f t="shared" si="13"/>
        <v>5</v>
      </c>
      <c r="T251" t="str">
        <f t="shared" si="14"/>
        <v>5. Régua automatizada</v>
      </c>
      <c r="U251">
        <f t="shared" si="15"/>
        <v>10</v>
      </c>
      <c r="V251" t="s">
        <v>221</v>
      </c>
      <c r="W251" t="s">
        <v>207</v>
      </c>
      <c r="X251" s="13">
        <v>0.1779</v>
      </c>
    </row>
    <row r="252" spans="1:24" x14ac:dyDescent="0.25">
      <c r="A252" t="s">
        <v>519</v>
      </c>
      <c r="B252" t="s">
        <v>49</v>
      </c>
      <c r="C252" t="s">
        <v>266</v>
      </c>
      <c r="D252" t="s">
        <v>107</v>
      </c>
      <c r="E252" t="s">
        <v>75</v>
      </c>
      <c r="F252">
        <v>17</v>
      </c>
      <c r="G252" t="s">
        <v>216</v>
      </c>
      <c r="H252" t="s">
        <v>211</v>
      </c>
      <c r="I252" t="s">
        <v>205</v>
      </c>
      <c r="J252">
        <v>0</v>
      </c>
      <c r="K252">
        <v>0</v>
      </c>
      <c r="L252">
        <v>0</v>
      </c>
      <c r="M252" s="8">
        <v>2</v>
      </c>
      <c r="N252" t="s">
        <v>212</v>
      </c>
      <c r="O252" t="str">
        <f>IF(B252="SP",IF(C252="São Paulo","FRQ001","FRQ002"),VLOOKUP(B252,Premissas!$A$11:$B$28,2,FALSE))</f>
        <v>FRQ004</v>
      </c>
      <c r="P252" t="str">
        <f t="shared" si="12"/>
        <v>Própria</v>
      </c>
      <c r="Q252" s="10">
        <f>VLOOKUP(E252,Premissas!$A$32:$B$35,2,FALSE)</f>
        <v>938</v>
      </c>
      <c r="R252" s="10">
        <f>Q252*(1-Premissas!$B$5)</f>
        <v>745.24099999999999</v>
      </c>
      <c r="S252">
        <f t="shared" si="13"/>
        <v>5</v>
      </c>
      <c r="T252" t="str">
        <f t="shared" si="14"/>
        <v>5. Régua automatizada</v>
      </c>
      <c r="U252">
        <f t="shared" si="15"/>
        <v>20</v>
      </c>
      <c r="V252" t="s">
        <v>213</v>
      </c>
      <c r="W252" t="s">
        <v>207</v>
      </c>
      <c r="X252" s="13">
        <v>0.19620000000000001</v>
      </c>
    </row>
    <row r="253" spans="1:24" x14ac:dyDescent="0.25">
      <c r="A253" t="s">
        <v>520</v>
      </c>
      <c r="B253" t="s">
        <v>59</v>
      </c>
      <c r="C253" t="s">
        <v>228</v>
      </c>
      <c r="D253" t="s">
        <v>107</v>
      </c>
      <c r="E253" t="s">
        <v>75</v>
      </c>
      <c r="F253">
        <v>23</v>
      </c>
      <c r="G253" t="s">
        <v>196</v>
      </c>
      <c r="H253" t="s">
        <v>211</v>
      </c>
      <c r="I253" t="s">
        <v>205</v>
      </c>
      <c r="J253">
        <v>0</v>
      </c>
      <c r="K253">
        <v>0</v>
      </c>
      <c r="L253">
        <v>0</v>
      </c>
      <c r="M253" s="8">
        <v>2</v>
      </c>
      <c r="N253" t="s">
        <v>212</v>
      </c>
      <c r="O253" t="str">
        <f>IF(B253="SP",IF(C253="São Paulo","FRQ001","FRQ002"),VLOOKUP(B253,Premissas!$A$11:$B$28,2,FALSE))</f>
        <v>FRQ003</v>
      </c>
      <c r="P253" t="str">
        <f t="shared" si="12"/>
        <v>Própria</v>
      </c>
      <c r="Q253" s="10">
        <f>VLOOKUP(E253,Premissas!$A$32:$B$35,2,FALSE)</f>
        <v>938</v>
      </c>
      <c r="R253" s="10">
        <f>Q253*(1-Premissas!$B$5)</f>
        <v>745.24099999999999</v>
      </c>
      <c r="S253">
        <f t="shared" si="13"/>
        <v>5</v>
      </c>
      <c r="T253" t="str">
        <f t="shared" si="14"/>
        <v>5. Régua automatizada</v>
      </c>
      <c r="U253">
        <f t="shared" si="15"/>
        <v>31</v>
      </c>
      <c r="V253" t="s">
        <v>213</v>
      </c>
      <c r="W253" t="s">
        <v>207</v>
      </c>
      <c r="X253" s="13">
        <v>0.20580000000000001</v>
      </c>
    </row>
    <row r="254" spans="1:24" x14ac:dyDescent="0.25">
      <c r="A254" t="s">
        <v>521</v>
      </c>
      <c r="B254" t="s">
        <v>66</v>
      </c>
      <c r="C254" t="s">
        <v>225</v>
      </c>
      <c r="D254" t="s">
        <v>107</v>
      </c>
      <c r="E254" t="s">
        <v>75</v>
      </c>
      <c r="F254">
        <v>24</v>
      </c>
      <c r="G254" t="s">
        <v>196</v>
      </c>
      <c r="H254" t="s">
        <v>211</v>
      </c>
      <c r="I254" t="s">
        <v>205</v>
      </c>
      <c r="J254">
        <v>0</v>
      </c>
      <c r="K254">
        <v>0</v>
      </c>
      <c r="L254">
        <v>0</v>
      </c>
      <c r="M254" s="8">
        <v>2</v>
      </c>
      <c r="N254" t="s">
        <v>212</v>
      </c>
      <c r="O254" t="str">
        <f>IF(B254="SP",IF(C254="São Paulo","FRQ001","FRQ002"),VLOOKUP(B254,Premissas!$A$11:$B$28,2,FALSE))</f>
        <v>FRQ002</v>
      </c>
      <c r="P254" t="str">
        <f t="shared" si="12"/>
        <v>Própria</v>
      </c>
      <c r="Q254" s="10">
        <f>VLOOKUP(E254,Premissas!$A$32:$B$35,2,FALSE)</f>
        <v>938</v>
      </c>
      <c r="R254" s="10">
        <f>Q254*(1-Premissas!$B$5)</f>
        <v>745.24099999999999</v>
      </c>
      <c r="S254">
        <f t="shared" si="13"/>
        <v>5</v>
      </c>
      <c r="T254" t="str">
        <f t="shared" si="14"/>
        <v>5. Régua automatizada</v>
      </c>
      <c r="U254">
        <f t="shared" si="15"/>
        <v>26</v>
      </c>
      <c r="V254" t="s">
        <v>213</v>
      </c>
      <c r="W254" t="s">
        <v>207</v>
      </c>
      <c r="X254" s="13">
        <v>0.20569999999999999</v>
      </c>
    </row>
    <row r="255" spans="1:24" x14ac:dyDescent="0.25">
      <c r="A255" t="s">
        <v>522</v>
      </c>
      <c r="B255" t="s">
        <v>66</v>
      </c>
      <c r="C255" t="s">
        <v>271</v>
      </c>
      <c r="D255" t="s">
        <v>107</v>
      </c>
      <c r="E255" t="s">
        <v>75</v>
      </c>
      <c r="F255">
        <v>24</v>
      </c>
      <c r="G255" t="s">
        <v>204</v>
      </c>
      <c r="H255" t="s">
        <v>197</v>
      </c>
      <c r="I255" t="s">
        <v>198</v>
      </c>
      <c r="J255">
        <v>2</v>
      </c>
      <c r="K255">
        <v>0</v>
      </c>
      <c r="L255">
        <v>0</v>
      </c>
      <c r="M255" s="8">
        <v>3</v>
      </c>
      <c r="N255" t="s">
        <v>206</v>
      </c>
      <c r="O255" t="str">
        <f>IF(B255="SP",IF(C255="São Paulo","FRQ001","FRQ002"),VLOOKUP(B255,Premissas!$A$11:$B$28,2,FALSE))</f>
        <v>FRQ002</v>
      </c>
      <c r="P255" t="str">
        <f t="shared" si="12"/>
        <v>Própria</v>
      </c>
      <c r="Q255" s="10">
        <f>VLOOKUP(E255,Premissas!$A$32:$B$35,2,FALSE)</f>
        <v>938</v>
      </c>
      <c r="R255" s="10">
        <f>Q255*(1-Premissas!$B$5)</f>
        <v>745.24099999999999</v>
      </c>
      <c r="S255">
        <f t="shared" si="13"/>
        <v>4</v>
      </c>
      <c r="T255" t="str">
        <f t="shared" si="14"/>
        <v>4. Nutrir (marketing/inbound)</v>
      </c>
      <c r="U255">
        <f t="shared" si="15"/>
        <v>21</v>
      </c>
      <c r="V255" t="s">
        <v>213</v>
      </c>
      <c r="W255" t="s">
        <v>201</v>
      </c>
      <c r="X255" s="13">
        <v>0.2702</v>
      </c>
    </row>
    <row r="256" spans="1:24" x14ac:dyDescent="0.25">
      <c r="A256" t="s">
        <v>523</v>
      </c>
      <c r="B256" t="s">
        <v>49</v>
      </c>
      <c r="C256" t="s">
        <v>253</v>
      </c>
      <c r="D256" t="s">
        <v>107</v>
      </c>
      <c r="E256" t="s">
        <v>75</v>
      </c>
      <c r="F256">
        <v>3</v>
      </c>
      <c r="G256" t="s">
        <v>216</v>
      </c>
      <c r="H256" t="s">
        <v>197</v>
      </c>
      <c r="I256" t="s">
        <v>283</v>
      </c>
      <c r="J256">
        <v>3</v>
      </c>
      <c r="K256">
        <v>0</v>
      </c>
      <c r="L256">
        <v>0</v>
      </c>
      <c r="M256" s="8">
        <v>3</v>
      </c>
      <c r="N256" t="s">
        <v>206</v>
      </c>
      <c r="O256" t="str">
        <f>IF(B256="SP",IF(C256="São Paulo","FRQ001","FRQ002"),VLOOKUP(B256,Premissas!$A$11:$B$28,2,FALSE))</f>
        <v>FRQ004</v>
      </c>
      <c r="P256" t="str">
        <f t="shared" si="12"/>
        <v>Própria</v>
      </c>
      <c r="Q256" s="10">
        <f>VLOOKUP(E256,Premissas!$A$32:$B$35,2,FALSE)</f>
        <v>938</v>
      </c>
      <c r="R256" s="10">
        <f>Q256*(1-Premissas!$B$5)</f>
        <v>745.24099999999999</v>
      </c>
      <c r="S256">
        <f t="shared" si="13"/>
        <v>1</v>
      </c>
      <c r="T256" t="str">
        <f t="shared" si="14"/>
        <v>1. Fechar (lead ativo em Reunião/Proposta)</v>
      </c>
      <c r="U256">
        <f t="shared" si="15"/>
        <v>2</v>
      </c>
      <c r="V256" t="s">
        <v>221</v>
      </c>
      <c r="W256" t="s">
        <v>232</v>
      </c>
      <c r="X256" s="13">
        <v>0.19620000000000001</v>
      </c>
    </row>
    <row r="257" spans="1:24" x14ac:dyDescent="0.25">
      <c r="A257" t="s">
        <v>524</v>
      </c>
      <c r="B257" t="s">
        <v>62</v>
      </c>
      <c r="C257" t="s">
        <v>458</v>
      </c>
      <c r="D257" t="s">
        <v>113</v>
      </c>
      <c r="E257" t="s">
        <v>75</v>
      </c>
      <c r="F257">
        <v>19</v>
      </c>
      <c r="G257" t="s">
        <v>196</v>
      </c>
      <c r="H257" t="s">
        <v>197</v>
      </c>
      <c r="I257" t="s">
        <v>205</v>
      </c>
      <c r="J257">
        <v>0</v>
      </c>
      <c r="K257">
        <v>1</v>
      </c>
      <c r="L257">
        <v>0</v>
      </c>
      <c r="M257" s="8">
        <v>2</v>
      </c>
      <c r="N257" t="s">
        <v>212</v>
      </c>
      <c r="O257" t="str">
        <f>IF(B257="SP",IF(C257="São Paulo","FRQ001","FRQ002"),VLOOKUP(B257,Premissas!$A$11:$B$28,2,FALSE))</f>
        <v>FRQ007</v>
      </c>
      <c r="P257" t="str">
        <f t="shared" si="12"/>
        <v>Própria</v>
      </c>
      <c r="Q257" s="10">
        <f>VLOOKUP(E257,Premissas!$A$32:$B$35,2,FALSE)</f>
        <v>938</v>
      </c>
      <c r="R257" s="10">
        <f>Q257*(1-Premissas!$B$5)</f>
        <v>745.24099999999999</v>
      </c>
      <c r="S257">
        <f t="shared" si="13"/>
        <v>3</v>
      </c>
      <c r="T257" t="str">
        <f t="shared" si="14"/>
        <v>3. Requalificar ou encerrar lead parado</v>
      </c>
      <c r="U257">
        <f t="shared" si="15"/>
        <v>2</v>
      </c>
      <c r="V257" t="s">
        <v>213</v>
      </c>
      <c r="W257" t="s">
        <v>207</v>
      </c>
      <c r="X257" s="13">
        <v>0.1759</v>
      </c>
    </row>
    <row r="258" spans="1:24" x14ac:dyDescent="0.25">
      <c r="A258" t="s">
        <v>525</v>
      </c>
      <c r="B258" t="s">
        <v>66</v>
      </c>
      <c r="C258" t="s">
        <v>225</v>
      </c>
      <c r="D258" t="s">
        <v>107</v>
      </c>
      <c r="E258" t="s">
        <v>72</v>
      </c>
      <c r="F258">
        <v>50</v>
      </c>
      <c r="G258" t="s">
        <v>237</v>
      </c>
      <c r="H258" t="s">
        <v>211</v>
      </c>
      <c r="I258" t="s">
        <v>205</v>
      </c>
      <c r="J258">
        <v>0</v>
      </c>
      <c r="K258">
        <v>0</v>
      </c>
      <c r="L258">
        <v>1</v>
      </c>
      <c r="M258" s="8">
        <v>3</v>
      </c>
      <c r="N258" t="s">
        <v>206</v>
      </c>
      <c r="O258" t="str">
        <f>IF(B258="SP",IF(C258="São Paulo","FRQ001","FRQ002"),VLOOKUP(B258,Premissas!$A$11:$B$28,2,FALSE))</f>
        <v>FRQ002</v>
      </c>
      <c r="P258" t="str">
        <f t="shared" ref="P258:P321" si="16">IF(O258="Sem franquia","Sem franquia","Própria")</f>
        <v>Própria</v>
      </c>
      <c r="Q258" s="10">
        <f>VLOOKUP(E258,Premissas!$A$32:$B$35,2,FALSE)</f>
        <v>1121</v>
      </c>
      <c r="R258" s="10">
        <f>Q258*(1-Premissas!$B$5)</f>
        <v>890.6345</v>
      </c>
      <c r="S258">
        <f t="shared" ref="S258:S304" si="17">IF(J258&gt;=3,1,IF(N258="Alta",2,IF(K258=1,3,IF(N258="Média",4,5))))</f>
        <v>4</v>
      </c>
      <c r="T258" t="str">
        <f t="shared" ref="T258:T321" si="18">CHOOSE(S258,"1. Fechar (lead ativo em Reunião/Proposta)","2. Prospectar tier Alta","3. Requalificar ou encerrar lead parado","4. Nutrir (marketing/inbound)","5. Régua automatizada")</f>
        <v>4. Nutrir (marketing/inbound)</v>
      </c>
      <c r="U258">
        <f t="shared" ref="U258:U304" si="19">COUNTIFS($O$2:$O$304,O258,$S$2:$S$304,"&lt;"&amp;S258)+COUNTIFS($O$2:$O$304,O258,$S$2:$S$304,S258,$R$2:$R$304,"&gt;"&amp;R258)+1</f>
        <v>9</v>
      </c>
      <c r="V258" t="s">
        <v>200</v>
      </c>
      <c r="W258" t="s">
        <v>207</v>
      </c>
      <c r="X258" s="13">
        <v>0.47770000000000001</v>
      </c>
    </row>
    <row r="259" spans="1:24" x14ac:dyDescent="0.25">
      <c r="A259" t="s">
        <v>526</v>
      </c>
      <c r="B259" t="s">
        <v>64</v>
      </c>
      <c r="C259" t="s">
        <v>349</v>
      </c>
      <c r="D259" t="s">
        <v>113</v>
      </c>
      <c r="E259" t="s">
        <v>75</v>
      </c>
      <c r="F259">
        <v>12</v>
      </c>
      <c r="G259" t="s">
        <v>204</v>
      </c>
      <c r="H259" t="s">
        <v>226</v>
      </c>
      <c r="I259" t="s">
        <v>205</v>
      </c>
      <c r="J259">
        <v>0</v>
      </c>
      <c r="K259">
        <v>0</v>
      </c>
      <c r="L259">
        <v>0</v>
      </c>
      <c r="M259" s="8">
        <v>1</v>
      </c>
      <c r="N259" t="s">
        <v>212</v>
      </c>
      <c r="O259" t="str">
        <f>IF(B259="SP",IF(C259="São Paulo","FRQ001","FRQ002"),VLOOKUP(B259,Premissas!$A$11:$B$28,2,FALSE))</f>
        <v>FRQ006</v>
      </c>
      <c r="P259" t="str">
        <f t="shared" si="16"/>
        <v>Própria</v>
      </c>
      <c r="Q259" s="10">
        <f>VLOOKUP(E259,Premissas!$A$32:$B$35,2,FALSE)</f>
        <v>938</v>
      </c>
      <c r="R259" s="10">
        <f>Q259*(1-Premissas!$B$5)</f>
        <v>745.24099999999999</v>
      </c>
      <c r="S259">
        <f t="shared" si="17"/>
        <v>5</v>
      </c>
      <c r="T259" t="str">
        <f t="shared" si="18"/>
        <v>5. Régua automatizada</v>
      </c>
      <c r="U259">
        <f t="shared" si="19"/>
        <v>6</v>
      </c>
      <c r="V259" t="s">
        <v>221</v>
      </c>
      <c r="W259" t="s">
        <v>207</v>
      </c>
      <c r="X259" s="13">
        <v>0.2402</v>
      </c>
    </row>
    <row r="260" spans="1:24" x14ac:dyDescent="0.25">
      <c r="A260" t="s">
        <v>527</v>
      </c>
      <c r="B260" t="s">
        <v>42</v>
      </c>
      <c r="C260" t="s">
        <v>329</v>
      </c>
      <c r="D260" t="s">
        <v>107</v>
      </c>
      <c r="E260" t="s">
        <v>75</v>
      </c>
      <c r="F260">
        <v>24</v>
      </c>
      <c r="G260" t="s">
        <v>216</v>
      </c>
      <c r="H260" t="s">
        <v>197</v>
      </c>
      <c r="I260" t="s">
        <v>205</v>
      </c>
      <c r="J260">
        <v>0</v>
      </c>
      <c r="K260">
        <v>0</v>
      </c>
      <c r="L260">
        <v>0</v>
      </c>
      <c r="M260" s="8">
        <v>2</v>
      </c>
      <c r="N260" t="s">
        <v>212</v>
      </c>
      <c r="O260" t="str">
        <f>IF(B260="SP",IF(C260="São Paulo","FRQ001","FRQ002"),VLOOKUP(B260,Premissas!$A$11:$B$28,2,FALSE))</f>
        <v>FRQ015</v>
      </c>
      <c r="P260" t="str">
        <f t="shared" si="16"/>
        <v>Própria</v>
      </c>
      <c r="Q260" s="10">
        <f>VLOOKUP(E260,Premissas!$A$32:$B$35,2,FALSE)</f>
        <v>938</v>
      </c>
      <c r="R260" s="10">
        <f>Q260*(1-Premissas!$B$5)</f>
        <v>745.24099999999999</v>
      </c>
      <c r="S260">
        <f t="shared" si="17"/>
        <v>5</v>
      </c>
      <c r="T260" t="str">
        <f t="shared" si="18"/>
        <v>5. Régua automatizada</v>
      </c>
      <c r="U260">
        <f t="shared" si="19"/>
        <v>8</v>
      </c>
      <c r="V260" t="s">
        <v>213</v>
      </c>
      <c r="W260" t="s">
        <v>207</v>
      </c>
      <c r="X260" s="13">
        <v>0.2261</v>
      </c>
    </row>
    <row r="261" spans="1:24" x14ac:dyDescent="0.25">
      <c r="A261" t="s">
        <v>528</v>
      </c>
      <c r="B261" t="s">
        <v>66</v>
      </c>
      <c r="C261" t="s">
        <v>215</v>
      </c>
      <c r="D261" t="s">
        <v>107</v>
      </c>
      <c r="E261" t="s">
        <v>75</v>
      </c>
      <c r="F261">
        <v>6</v>
      </c>
      <c r="G261" t="s">
        <v>204</v>
      </c>
      <c r="H261" t="s">
        <v>197</v>
      </c>
      <c r="I261" t="s">
        <v>205</v>
      </c>
      <c r="J261">
        <v>0</v>
      </c>
      <c r="K261">
        <v>1</v>
      </c>
      <c r="L261">
        <v>0</v>
      </c>
      <c r="M261" s="8">
        <v>1</v>
      </c>
      <c r="N261" t="s">
        <v>212</v>
      </c>
      <c r="O261" t="str">
        <f>IF(B261="SP",IF(C261="São Paulo","FRQ001","FRQ002"),VLOOKUP(B261,Premissas!$A$11:$B$28,2,FALSE))</f>
        <v>FRQ002</v>
      </c>
      <c r="P261" t="str">
        <f t="shared" si="16"/>
        <v>Própria</v>
      </c>
      <c r="Q261" s="10">
        <f>VLOOKUP(E261,Premissas!$A$32:$B$35,2,FALSE)</f>
        <v>938</v>
      </c>
      <c r="R261" s="10">
        <f>Q261*(1-Premissas!$B$5)</f>
        <v>745.24099999999999</v>
      </c>
      <c r="S261">
        <f t="shared" si="17"/>
        <v>3</v>
      </c>
      <c r="T261" t="str">
        <f t="shared" si="18"/>
        <v>3. Requalificar ou encerrar lead parado</v>
      </c>
      <c r="U261">
        <f t="shared" si="19"/>
        <v>5</v>
      </c>
      <c r="V261" t="s">
        <v>221</v>
      </c>
      <c r="W261" t="s">
        <v>207</v>
      </c>
      <c r="X261" s="13">
        <v>0.2402</v>
      </c>
    </row>
    <row r="262" spans="1:24" x14ac:dyDescent="0.25">
      <c r="A262" t="s">
        <v>529</v>
      </c>
      <c r="B262" t="s">
        <v>59</v>
      </c>
      <c r="C262" t="s">
        <v>261</v>
      </c>
      <c r="D262" t="s">
        <v>107</v>
      </c>
      <c r="E262" t="s">
        <v>75</v>
      </c>
      <c r="F262">
        <v>6</v>
      </c>
      <c r="G262" t="s">
        <v>219</v>
      </c>
      <c r="H262" t="s">
        <v>197</v>
      </c>
      <c r="I262" t="s">
        <v>231</v>
      </c>
      <c r="J262">
        <v>4</v>
      </c>
      <c r="K262">
        <v>0</v>
      </c>
      <c r="L262">
        <v>0</v>
      </c>
      <c r="M262" s="8">
        <v>3</v>
      </c>
      <c r="N262" t="s">
        <v>206</v>
      </c>
      <c r="O262" t="str">
        <f>IF(B262="SP",IF(C262="São Paulo","FRQ001","FRQ002"),VLOOKUP(B262,Premissas!$A$11:$B$28,2,FALSE))</f>
        <v>FRQ003</v>
      </c>
      <c r="P262" t="str">
        <f t="shared" si="16"/>
        <v>Própria</v>
      </c>
      <c r="Q262" s="10">
        <f>VLOOKUP(E262,Premissas!$A$32:$B$35,2,FALSE)</f>
        <v>938</v>
      </c>
      <c r="R262" s="10">
        <f>Q262*(1-Premissas!$B$5)</f>
        <v>745.24099999999999</v>
      </c>
      <c r="S262">
        <f t="shared" si="17"/>
        <v>1</v>
      </c>
      <c r="T262" t="str">
        <f t="shared" si="18"/>
        <v>1. Fechar (lead ativo em Reunião/Proposta)</v>
      </c>
      <c r="U262">
        <f t="shared" si="19"/>
        <v>2</v>
      </c>
      <c r="V262" t="s">
        <v>221</v>
      </c>
      <c r="W262" t="s">
        <v>232</v>
      </c>
      <c r="X262" s="13">
        <v>0.1779</v>
      </c>
    </row>
    <row r="263" spans="1:24" x14ac:dyDescent="0.25">
      <c r="A263" t="s">
        <v>530</v>
      </c>
      <c r="B263" t="s">
        <v>51</v>
      </c>
      <c r="C263" t="s">
        <v>326</v>
      </c>
      <c r="D263" t="s">
        <v>117</v>
      </c>
      <c r="E263" t="s">
        <v>75</v>
      </c>
      <c r="F263">
        <v>9</v>
      </c>
      <c r="G263" t="s">
        <v>196</v>
      </c>
      <c r="H263" t="s">
        <v>211</v>
      </c>
      <c r="I263" t="s">
        <v>205</v>
      </c>
      <c r="J263">
        <v>0</v>
      </c>
      <c r="K263">
        <v>0</v>
      </c>
      <c r="L263">
        <v>0</v>
      </c>
      <c r="M263" s="8">
        <v>1</v>
      </c>
      <c r="N263" t="s">
        <v>212</v>
      </c>
      <c r="O263" t="str">
        <f>IF(B263="SP",IF(C263="São Paulo","FRQ001","FRQ002"),VLOOKUP(B263,Premissas!$A$11:$B$28,2,FALSE))</f>
        <v>Sem franquia</v>
      </c>
      <c r="P263" t="str">
        <f t="shared" si="16"/>
        <v>Sem franquia</v>
      </c>
      <c r="Q263" s="10">
        <f>VLOOKUP(E263,Premissas!$A$32:$B$35,2,FALSE)</f>
        <v>938</v>
      </c>
      <c r="R263" s="10">
        <f>Q263*(1-Premissas!$B$5)</f>
        <v>745.24099999999999</v>
      </c>
      <c r="S263">
        <f t="shared" si="17"/>
        <v>5</v>
      </c>
      <c r="T263" t="str">
        <f t="shared" si="18"/>
        <v>5. Régua automatizada</v>
      </c>
      <c r="U263">
        <f t="shared" si="19"/>
        <v>18</v>
      </c>
      <c r="V263" t="s">
        <v>221</v>
      </c>
      <c r="W263" t="s">
        <v>207</v>
      </c>
      <c r="X263" s="13">
        <v>0.1757</v>
      </c>
    </row>
    <row r="264" spans="1:24" x14ac:dyDescent="0.25">
      <c r="A264" t="s">
        <v>531</v>
      </c>
      <c r="B264" t="s">
        <v>59</v>
      </c>
      <c r="C264" t="s">
        <v>228</v>
      </c>
      <c r="D264" t="s">
        <v>107</v>
      </c>
      <c r="E264" t="s">
        <v>72</v>
      </c>
      <c r="F264">
        <v>47</v>
      </c>
      <c r="G264" t="s">
        <v>237</v>
      </c>
      <c r="H264" t="s">
        <v>197</v>
      </c>
      <c r="I264" t="s">
        <v>205</v>
      </c>
      <c r="J264">
        <v>0</v>
      </c>
      <c r="K264">
        <v>0</v>
      </c>
      <c r="L264">
        <v>0</v>
      </c>
      <c r="M264" s="8">
        <v>3</v>
      </c>
      <c r="N264" t="s">
        <v>206</v>
      </c>
      <c r="O264" t="str">
        <f>IF(B264="SP",IF(C264="São Paulo","FRQ001","FRQ002"),VLOOKUP(B264,Premissas!$A$11:$B$28,2,FALSE))</f>
        <v>FRQ003</v>
      </c>
      <c r="P264" t="str">
        <f t="shared" si="16"/>
        <v>Própria</v>
      </c>
      <c r="Q264" s="10">
        <f>VLOOKUP(E264,Premissas!$A$32:$B$35,2,FALSE)</f>
        <v>1121</v>
      </c>
      <c r="R264" s="10">
        <f>Q264*(1-Premissas!$B$5)</f>
        <v>890.6345</v>
      </c>
      <c r="S264">
        <f t="shared" si="17"/>
        <v>4</v>
      </c>
      <c r="T264" t="str">
        <f t="shared" si="18"/>
        <v>4. Nutrir (marketing/inbound)</v>
      </c>
      <c r="U264">
        <f t="shared" si="19"/>
        <v>14</v>
      </c>
      <c r="V264" t="s">
        <v>200</v>
      </c>
      <c r="W264" t="s">
        <v>207</v>
      </c>
      <c r="X264" s="13">
        <v>0.37569999999999998</v>
      </c>
    </row>
    <row r="265" spans="1:24" x14ac:dyDescent="0.25">
      <c r="A265" t="s">
        <v>532</v>
      </c>
      <c r="B265" t="s">
        <v>66</v>
      </c>
      <c r="C265" t="s">
        <v>225</v>
      </c>
      <c r="D265" t="s">
        <v>107</v>
      </c>
      <c r="E265" t="s">
        <v>75</v>
      </c>
      <c r="F265">
        <v>11</v>
      </c>
      <c r="G265" t="s">
        <v>196</v>
      </c>
      <c r="H265" t="s">
        <v>211</v>
      </c>
      <c r="I265" t="s">
        <v>205</v>
      </c>
      <c r="J265">
        <v>0</v>
      </c>
      <c r="K265">
        <v>0</v>
      </c>
      <c r="L265">
        <v>0</v>
      </c>
      <c r="M265" s="8">
        <v>1</v>
      </c>
      <c r="N265" t="s">
        <v>212</v>
      </c>
      <c r="O265" t="str">
        <f>IF(B265="SP",IF(C265="São Paulo","FRQ001","FRQ002"),VLOOKUP(B265,Premissas!$A$11:$B$28,2,FALSE))</f>
        <v>FRQ002</v>
      </c>
      <c r="P265" t="str">
        <f t="shared" si="16"/>
        <v>Própria</v>
      </c>
      <c r="Q265" s="10">
        <f>VLOOKUP(E265,Premissas!$A$32:$B$35,2,FALSE)</f>
        <v>938</v>
      </c>
      <c r="R265" s="10">
        <f>Q265*(1-Premissas!$B$5)</f>
        <v>745.24099999999999</v>
      </c>
      <c r="S265">
        <f t="shared" si="17"/>
        <v>5</v>
      </c>
      <c r="T265" t="str">
        <f t="shared" si="18"/>
        <v>5. Régua automatizada</v>
      </c>
      <c r="U265">
        <f t="shared" si="19"/>
        <v>26</v>
      </c>
      <c r="V265" t="s">
        <v>221</v>
      </c>
      <c r="W265" t="s">
        <v>207</v>
      </c>
      <c r="X265" s="13">
        <v>0.1757</v>
      </c>
    </row>
    <row r="266" spans="1:24" x14ac:dyDescent="0.25">
      <c r="A266" t="s">
        <v>533</v>
      </c>
      <c r="B266" t="s">
        <v>57</v>
      </c>
      <c r="C266" t="s">
        <v>315</v>
      </c>
      <c r="D266" t="s">
        <v>113</v>
      </c>
      <c r="E266" t="s">
        <v>75</v>
      </c>
      <c r="F266">
        <v>15</v>
      </c>
      <c r="G266" t="s">
        <v>204</v>
      </c>
      <c r="H266" t="s">
        <v>211</v>
      </c>
      <c r="I266" t="s">
        <v>205</v>
      </c>
      <c r="J266">
        <v>0</v>
      </c>
      <c r="K266">
        <v>0</v>
      </c>
      <c r="L266">
        <v>0</v>
      </c>
      <c r="M266" s="8">
        <v>2</v>
      </c>
      <c r="N266" t="s">
        <v>212</v>
      </c>
      <c r="O266" t="str">
        <f>IF(B266="SP",IF(C266="São Paulo","FRQ001","FRQ002"),VLOOKUP(B266,Premissas!$A$11:$B$28,2,FALSE))</f>
        <v>FRQ005</v>
      </c>
      <c r="P266" t="str">
        <f t="shared" si="16"/>
        <v>Própria</v>
      </c>
      <c r="Q266" s="10">
        <f>VLOOKUP(E266,Premissas!$A$32:$B$35,2,FALSE)</f>
        <v>938</v>
      </c>
      <c r="R266" s="10">
        <f>Q266*(1-Premissas!$B$5)</f>
        <v>745.24099999999999</v>
      </c>
      <c r="S266">
        <f t="shared" si="17"/>
        <v>5</v>
      </c>
      <c r="T266" t="str">
        <f t="shared" si="18"/>
        <v>5. Régua automatizada</v>
      </c>
      <c r="U266">
        <f t="shared" si="19"/>
        <v>8</v>
      </c>
      <c r="V266" t="s">
        <v>213</v>
      </c>
      <c r="W266" t="s">
        <v>207</v>
      </c>
      <c r="X266" s="13">
        <v>0.2402</v>
      </c>
    </row>
    <row r="267" spans="1:24" x14ac:dyDescent="0.25">
      <c r="A267" t="s">
        <v>534</v>
      </c>
      <c r="B267" t="s">
        <v>51</v>
      </c>
      <c r="C267" t="s">
        <v>535</v>
      </c>
      <c r="D267" t="s">
        <v>117</v>
      </c>
      <c r="E267" t="s">
        <v>72</v>
      </c>
      <c r="F267">
        <v>46</v>
      </c>
      <c r="G267" t="s">
        <v>237</v>
      </c>
      <c r="H267" t="s">
        <v>211</v>
      </c>
      <c r="I267" t="s">
        <v>205</v>
      </c>
      <c r="J267">
        <v>0</v>
      </c>
      <c r="K267">
        <v>0</v>
      </c>
      <c r="L267">
        <v>0</v>
      </c>
      <c r="M267" s="8">
        <v>3</v>
      </c>
      <c r="N267" t="s">
        <v>206</v>
      </c>
      <c r="O267" t="str">
        <f>IF(B267="SP",IF(C267="São Paulo","FRQ001","FRQ002"),VLOOKUP(B267,Premissas!$A$11:$B$28,2,FALSE))</f>
        <v>Sem franquia</v>
      </c>
      <c r="P267" t="str">
        <f t="shared" si="16"/>
        <v>Sem franquia</v>
      </c>
      <c r="Q267" s="10">
        <f>VLOOKUP(E267,Premissas!$A$32:$B$35,2,FALSE)</f>
        <v>1121</v>
      </c>
      <c r="R267" s="10">
        <f>Q267*(1-Premissas!$B$5)</f>
        <v>890.6345</v>
      </c>
      <c r="S267">
        <f t="shared" si="17"/>
        <v>4</v>
      </c>
      <c r="T267" t="str">
        <f t="shared" si="18"/>
        <v>4. Nutrir (marketing/inbound)</v>
      </c>
      <c r="U267">
        <f t="shared" si="19"/>
        <v>12</v>
      </c>
      <c r="V267" t="s">
        <v>200</v>
      </c>
      <c r="W267" t="s">
        <v>207</v>
      </c>
      <c r="X267" s="13">
        <v>0.31690000000000002</v>
      </c>
    </row>
    <row r="268" spans="1:24" x14ac:dyDescent="0.25">
      <c r="A268" t="s">
        <v>536</v>
      </c>
      <c r="B268" t="s">
        <v>46</v>
      </c>
      <c r="C268" t="s">
        <v>380</v>
      </c>
      <c r="D268" t="s">
        <v>120</v>
      </c>
      <c r="E268" t="s">
        <v>72</v>
      </c>
      <c r="F268">
        <v>43</v>
      </c>
      <c r="G268" t="s">
        <v>204</v>
      </c>
      <c r="H268" t="s">
        <v>211</v>
      </c>
      <c r="I268" t="s">
        <v>205</v>
      </c>
      <c r="J268">
        <v>0</v>
      </c>
      <c r="K268">
        <v>0</v>
      </c>
      <c r="L268">
        <v>0</v>
      </c>
      <c r="M268" s="8">
        <v>3</v>
      </c>
      <c r="N268" t="s">
        <v>206</v>
      </c>
      <c r="O268" t="str">
        <f>IF(B268="SP",IF(C268="São Paulo","FRQ001","FRQ002"),VLOOKUP(B268,Premissas!$A$11:$B$28,2,FALSE))</f>
        <v>Sem franquia</v>
      </c>
      <c r="P268" t="str">
        <f t="shared" si="16"/>
        <v>Sem franquia</v>
      </c>
      <c r="Q268" s="10">
        <f>VLOOKUP(E268,Premissas!$A$32:$B$35,2,FALSE)</f>
        <v>1121</v>
      </c>
      <c r="R268" s="10">
        <f>Q268*(1-Premissas!$B$5)</f>
        <v>890.6345</v>
      </c>
      <c r="S268">
        <f t="shared" si="17"/>
        <v>4</v>
      </c>
      <c r="T268" t="str">
        <f t="shared" si="18"/>
        <v>4. Nutrir (marketing/inbound)</v>
      </c>
      <c r="U268">
        <f t="shared" si="19"/>
        <v>12</v>
      </c>
      <c r="V268" t="s">
        <v>200</v>
      </c>
      <c r="W268" t="s">
        <v>207</v>
      </c>
      <c r="X268" s="13">
        <v>0.33439999999999998</v>
      </c>
    </row>
    <row r="269" spans="1:24" x14ac:dyDescent="0.25">
      <c r="A269" t="s">
        <v>537</v>
      </c>
      <c r="B269" t="s">
        <v>66</v>
      </c>
      <c r="C269" t="s">
        <v>234</v>
      </c>
      <c r="D269" t="s">
        <v>107</v>
      </c>
      <c r="E269" t="s">
        <v>75</v>
      </c>
      <c r="F269">
        <v>12</v>
      </c>
      <c r="G269" t="s">
        <v>210</v>
      </c>
      <c r="H269" t="s">
        <v>211</v>
      </c>
      <c r="I269" t="s">
        <v>205</v>
      </c>
      <c r="J269">
        <v>0</v>
      </c>
      <c r="K269">
        <v>0</v>
      </c>
      <c r="L269">
        <v>0</v>
      </c>
      <c r="M269" s="8">
        <v>1</v>
      </c>
      <c r="N269" t="s">
        <v>212</v>
      </c>
      <c r="O269" t="str">
        <f>IF(B269="SP",IF(C269="São Paulo","FRQ001","FRQ002"),VLOOKUP(B269,Premissas!$A$11:$B$28,2,FALSE))</f>
        <v>FRQ002</v>
      </c>
      <c r="P269" t="str">
        <f t="shared" si="16"/>
        <v>Própria</v>
      </c>
      <c r="Q269" s="10">
        <f>VLOOKUP(E269,Premissas!$A$32:$B$35,2,FALSE)</f>
        <v>938</v>
      </c>
      <c r="R269" s="10">
        <f>Q269*(1-Premissas!$B$5)</f>
        <v>745.24099999999999</v>
      </c>
      <c r="S269">
        <f t="shared" si="17"/>
        <v>5</v>
      </c>
      <c r="T269" t="str">
        <f t="shared" si="18"/>
        <v>5. Régua automatizada</v>
      </c>
      <c r="U269">
        <f t="shared" si="19"/>
        <v>26</v>
      </c>
      <c r="V269" t="s">
        <v>221</v>
      </c>
      <c r="W269" t="s">
        <v>207</v>
      </c>
      <c r="X269" s="13">
        <v>9.64E-2</v>
      </c>
    </row>
    <row r="270" spans="1:24" x14ac:dyDescent="0.25">
      <c r="A270" t="s">
        <v>538</v>
      </c>
      <c r="B270" t="s">
        <v>66</v>
      </c>
      <c r="C270" t="s">
        <v>234</v>
      </c>
      <c r="D270" t="s">
        <v>107</v>
      </c>
      <c r="E270" t="s">
        <v>75</v>
      </c>
      <c r="F270">
        <v>24</v>
      </c>
      <c r="G270" t="s">
        <v>210</v>
      </c>
      <c r="H270" t="s">
        <v>226</v>
      </c>
      <c r="I270" t="s">
        <v>205</v>
      </c>
      <c r="J270">
        <v>0</v>
      </c>
      <c r="K270">
        <v>0</v>
      </c>
      <c r="L270">
        <v>0</v>
      </c>
      <c r="M270" s="8">
        <v>2</v>
      </c>
      <c r="N270" t="s">
        <v>212</v>
      </c>
      <c r="O270" t="str">
        <f>IF(B270="SP",IF(C270="São Paulo","FRQ001","FRQ002"),VLOOKUP(B270,Premissas!$A$11:$B$28,2,FALSE))</f>
        <v>FRQ002</v>
      </c>
      <c r="P270" t="str">
        <f t="shared" si="16"/>
        <v>Própria</v>
      </c>
      <c r="Q270" s="10">
        <f>VLOOKUP(E270,Premissas!$A$32:$B$35,2,FALSE)</f>
        <v>938</v>
      </c>
      <c r="R270" s="10">
        <f>Q270*(1-Premissas!$B$5)</f>
        <v>745.24099999999999</v>
      </c>
      <c r="S270">
        <f t="shared" si="17"/>
        <v>5</v>
      </c>
      <c r="T270" t="str">
        <f t="shared" si="18"/>
        <v>5. Régua automatizada</v>
      </c>
      <c r="U270">
        <f t="shared" si="19"/>
        <v>26</v>
      </c>
      <c r="V270" t="s">
        <v>213</v>
      </c>
      <c r="W270" t="s">
        <v>207</v>
      </c>
      <c r="X270" s="13">
        <v>0.1263</v>
      </c>
    </row>
    <row r="271" spans="1:24" x14ac:dyDescent="0.25">
      <c r="A271" t="s">
        <v>539</v>
      </c>
      <c r="B271" t="s">
        <v>64</v>
      </c>
      <c r="C271" t="s">
        <v>255</v>
      </c>
      <c r="D271" t="s">
        <v>113</v>
      </c>
      <c r="E271" t="s">
        <v>75</v>
      </c>
      <c r="F271">
        <v>5</v>
      </c>
      <c r="G271" t="s">
        <v>210</v>
      </c>
      <c r="H271" t="s">
        <v>211</v>
      </c>
      <c r="I271" t="s">
        <v>205</v>
      </c>
      <c r="J271">
        <v>0</v>
      </c>
      <c r="K271">
        <v>0</v>
      </c>
      <c r="L271">
        <v>0</v>
      </c>
      <c r="M271" s="8">
        <v>1</v>
      </c>
      <c r="N271" t="s">
        <v>212</v>
      </c>
      <c r="O271" t="str">
        <f>IF(B271="SP",IF(C271="São Paulo","FRQ001","FRQ002"),VLOOKUP(B271,Premissas!$A$11:$B$28,2,FALSE))</f>
        <v>FRQ006</v>
      </c>
      <c r="P271" t="str">
        <f t="shared" si="16"/>
        <v>Própria</v>
      </c>
      <c r="Q271" s="10">
        <f>VLOOKUP(E271,Premissas!$A$32:$B$35,2,FALSE)</f>
        <v>938</v>
      </c>
      <c r="R271" s="10">
        <f>Q271*(1-Premissas!$B$5)</f>
        <v>745.24099999999999</v>
      </c>
      <c r="S271">
        <f t="shared" si="17"/>
        <v>5</v>
      </c>
      <c r="T271" t="str">
        <f t="shared" si="18"/>
        <v>5. Régua automatizada</v>
      </c>
      <c r="U271">
        <f t="shared" si="19"/>
        <v>6</v>
      </c>
      <c r="V271" t="s">
        <v>221</v>
      </c>
      <c r="W271" t="s">
        <v>207</v>
      </c>
      <c r="X271" s="13">
        <v>0.16489999999999999</v>
      </c>
    </row>
    <row r="272" spans="1:24" x14ac:dyDescent="0.25">
      <c r="A272" t="s">
        <v>540</v>
      </c>
      <c r="B272" t="s">
        <v>66</v>
      </c>
      <c r="C272" t="s">
        <v>271</v>
      </c>
      <c r="D272" t="s">
        <v>107</v>
      </c>
      <c r="E272" t="s">
        <v>75</v>
      </c>
      <c r="F272">
        <v>20</v>
      </c>
      <c r="G272" t="s">
        <v>219</v>
      </c>
      <c r="H272" t="s">
        <v>211</v>
      </c>
      <c r="I272" t="s">
        <v>205</v>
      </c>
      <c r="J272">
        <v>0</v>
      </c>
      <c r="K272">
        <v>0</v>
      </c>
      <c r="L272">
        <v>0</v>
      </c>
      <c r="M272" s="8">
        <v>2</v>
      </c>
      <c r="N272" t="s">
        <v>212</v>
      </c>
      <c r="O272" t="str">
        <f>IF(B272="SP",IF(C272="São Paulo","FRQ001","FRQ002"),VLOOKUP(B272,Premissas!$A$11:$B$28,2,FALSE))</f>
        <v>FRQ002</v>
      </c>
      <c r="P272" t="str">
        <f t="shared" si="16"/>
        <v>Própria</v>
      </c>
      <c r="Q272" s="10">
        <f>VLOOKUP(E272,Premissas!$A$32:$B$35,2,FALSE)</f>
        <v>938</v>
      </c>
      <c r="R272" s="10">
        <f>Q272*(1-Premissas!$B$5)</f>
        <v>745.24099999999999</v>
      </c>
      <c r="S272">
        <f t="shared" si="17"/>
        <v>5</v>
      </c>
      <c r="T272" t="str">
        <f t="shared" si="18"/>
        <v>5. Régua automatizada</v>
      </c>
      <c r="U272">
        <f t="shared" si="19"/>
        <v>26</v>
      </c>
      <c r="V272" t="s">
        <v>213</v>
      </c>
      <c r="W272" t="s">
        <v>207</v>
      </c>
      <c r="X272" s="13">
        <v>0.13919999999999999</v>
      </c>
    </row>
    <row r="273" spans="1:24" x14ac:dyDescent="0.25">
      <c r="A273" t="s">
        <v>541</v>
      </c>
      <c r="B273" t="s">
        <v>62</v>
      </c>
      <c r="C273" t="s">
        <v>264</v>
      </c>
      <c r="D273" t="s">
        <v>113</v>
      </c>
      <c r="E273" t="s">
        <v>75</v>
      </c>
      <c r="F273">
        <v>18</v>
      </c>
      <c r="G273" t="s">
        <v>216</v>
      </c>
      <c r="H273" t="s">
        <v>226</v>
      </c>
      <c r="I273" t="s">
        <v>231</v>
      </c>
      <c r="J273">
        <v>4</v>
      </c>
      <c r="K273">
        <v>0</v>
      </c>
      <c r="L273">
        <v>0</v>
      </c>
      <c r="M273" s="8">
        <v>4</v>
      </c>
      <c r="N273" t="s">
        <v>199</v>
      </c>
      <c r="O273" t="str">
        <f>IF(B273="SP",IF(C273="São Paulo","FRQ001","FRQ002"),VLOOKUP(B273,Premissas!$A$11:$B$28,2,FALSE))</f>
        <v>FRQ007</v>
      </c>
      <c r="P273" t="str">
        <f t="shared" si="16"/>
        <v>Própria</v>
      </c>
      <c r="Q273" s="10">
        <f>VLOOKUP(E273,Premissas!$A$32:$B$35,2,FALSE)</f>
        <v>938</v>
      </c>
      <c r="R273" s="10">
        <f>Q273*(1-Premissas!$B$5)</f>
        <v>745.24099999999999</v>
      </c>
      <c r="S273">
        <f t="shared" si="17"/>
        <v>1</v>
      </c>
      <c r="T273" t="str">
        <f t="shared" si="18"/>
        <v>1. Fechar (lead ativo em Reunião/Proposta)</v>
      </c>
      <c r="U273">
        <f t="shared" si="19"/>
        <v>1</v>
      </c>
      <c r="V273" t="s">
        <v>213</v>
      </c>
      <c r="W273" t="s">
        <v>232</v>
      </c>
      <c r="X273" s="13">
        <v>0.19620000000000001</v>
      </c>
    </row>
    <row r="274" spans="1:24" x14ac:dyDescent="0.25">
      <c r="A274" t="s">
        <v>542</v>
      </c>
      <c r="B274" t="s">
        <v>66</v>
      </c>
      <c r="C274" t="s">
        <v>234</v>
      </c>
      <c r="D274" t="s">
        <v>107</v>
      </c>
      <c r="E274" t="s">
        <v>72</v>
      </c>
      <c r="F274">
        <v>16</v>
      </c>
      <c r="G274" t="s">
        <v>237</v>
      </c>
      <c r="H274" t="s">
        <v>211</v>
      </c>
      <c r="I274" t="s">
        <v>205</v>
      </c>
      <c r="J274">
        <v>0</v>
      </c>
      <c r="K274">
        <v>0</v>
      </c>
      <c r="L274">
        <v>0</v>
      </c>
      <c r="M274" s="8">
        <v>2</v>
      </c>
      <c r="N274" t="s">
        <v>212</v>
      </c>
      <c r="O274" t="str">
        <f>IF(B274="SP",IF(C274="São Paulo","FRQ001","FRQ002"),VLOOKUP(B274,Premissas!$A$11:$B$28,2,FALSE))</f>
        <v>FRQ002</v>
      </c>
      <c r="P274" t="str">
        <f t="shared" si="16"/>
        <v>Própria</v>
      </c>
      <c r="Q274" s="10">
        <f>VLOOKUP(E274,Premissas!$A$32:$B$35,2,FALSE)</f>
        <v>1121</v>
      </c>
      <c r="R274" s="10">
        <f>Q274*(1-Premissas!$B$5)</f>
        <v>890.6345</v>
      </c>
      <c r="S274">
        <f t="shared" si="17"/>
        <v>5</v>
      </c>
      <c r="T274" t="str">
        <f t="shared" si="18"/>
        <v>5. Régua automatizada</v>
      </c>
      <c r="U274">
        <f t="shared" si="19"/>
        <v>22</v>
      </c>
      <c r="V274" t="s">
        <v>213</v>
      </c>
      <c r="W274" t="s">
        <v>207</v>
      </c>
      <c r="X274" s="13">
        <v>0.38019999999999998</v>
      </c>
    </row>
    <row r="275" spans="1:24" x14ac:dyDescent="0.25">
      <c r="A275" t="s">
        <v>543</v>
      </c>
      <c r="B275" t="s">
        <v>36</v>
      </c>
      <c r="C275" t="s">
        <v>371</v>
      </c>
      <c r="D275" t="s">
        <v>120</v>
      </c>
      <c r="E275" t="s">
        <v>75</v>
      </c>
      <c r="F275">
        <v>25</v>
      </c>
      <c r="G275" t="s">
        <v>216</v>
      </c>
      <c r="H275" t="s">
        <v>211</v>
      </c>
      <c r="I275" t="s">
        <v>205</v>
      </c>
      <c r="J275">
        <v>0</v>
      </c>
      <c r="K275">
        <v>0</v>
      </c>
      <c r="L275">
        <v>0</v>
      </c>
      <c r="M275" s="8">
        <v>3</v>
      </c>
      <c r="N275" t="s">
        <v>206</v>
      </c>
      <c r="O275" t="str">
        <f>IF(B275="SP",IF(C275="São Paulo","FRQ001","FRQ002"),VLOOKUP(B275,Premissas!$A$11:$B$28,2,FALSE))</f>
        <v>FRQ010</v>
      </c>
      <c r="P275" t="str">
        <f t="shared" si="16"/>
        <v>Própria</v>
      </c>
      <c r="Q275" s="10">
        <f>VLOOKUP(E275,Premissas!$A$32:$B$35,2,FALSE)</f>
        <v>938</v>
      </c>
      <c r="R275" s="10">
        <f>Q275*(1-Premissas!$B$5)</f>
        <v>745.24099999999999</v>
      </c>
      <c r="S275">
        <f t="shared" si="17"/>
        <v>4</v>
      </c>
      <c r="T275" t="str">
        <f t="shared" si="18"/>
        <v>4. Nutrir (marketing/inbound)</v>
      </c>
      <c r="U275">
        <f t="shared" si="19"/>
        <v>9</v>
      </c>
      <c r="V275" t="s">
        <v>200</v>
      </c>
      <c r="W275" t="s">
        <v>207</v>
      </c>
      <c r="X275" s="13">
        <v>0.2261</v>
      </c>
    </row>
    <row r="276" spans="1:24" x14ac:dyDescent="0.25">
      <c r="A276" t="s">
        <v>544</v>
      </c>
      <c r="B276" t="s">
        <v>33</v>
      </c>
      <c r="C276" t="s">
        <v>251</v>
      </c>
      <c r="D276" t="s">
        <v>124</v>
      </c>
      <c r="E276" t="s">
        <v>75</v>
      </c>
      <c r="F276">
        <v>8</v>
      </c>
      <c r="G276" t="s">
        <v>204</v>
      </c>
      <c r="H276" t="s">
        <v>197</v>
      </c>
      <c r="I276" t="s">
        <v>198</v>
      </c>
      <c r="J276">
        <v>2</v>
      </c>
      <c r="K276">
        <v>1</v>
      </c>
      <c r="L276">
        <v>0</v>
      </c>
      <c r="M276" s="8">
        <v>2</v>
      </c>
      <c r="N276" t="s">
        <v>212</v>
      </c>
      <c r="O276" t="str">
        <f>IF(B276="SP",IF(C276="São Paulo","FRQ001","FRQ002"),VLOOKUP(B276,Premissas!$A$11:$B$28,2,FALSE))</f>
        <v>FRQ013</v>
      </c>
      <c r="P276" t="str">
        <f t="shared" si="16"/>
        <v>Própria</v>
      </c>
      <c r="Q276" s="10">
        <f>VLOOKUP(E276,Premissas!$A$32:$B$35,2,FALSE)</f>
        <v>938</v>
      </c>
      <c r="R276" s="10">
        <f>Q276*(1-Premissas!$B$5)</f>
        <v>745.24099999999999</v>
      </c>
      <c r="S276">
        <f t="shared" si="17"/>
        <v>3</v>
      </c>
      <c r="T276" t="str">
        <f t="shared" si="18"/>
        <v>3. Requalificar ou encerrar lead parado</v>
      </c>
      <c r="U276">
        <f t="shared" si="19"/>
        <v>3</v>
      </c>
      <c r="V276" t="s">
        <v>221</v>
      </c>
      <c r="W276" t="s">
        <v>201</v>
      </c>
      <c r="X276" s="13">
        <v>0.2402</v>
      </c>
    </row>
    <row r="277" spans="1:24" x14ac:dyDescent="0.25">
      <c r="A277" t="s">
        <v>545</v>
      </c>
      <c r="B277" t="s">
        <v>59</v>
      </c>
      <c r="C277" t="s">
        <v>195</v>
      </c>
      <c r="D277" t="s">
        <v>107</v>
      </c>
      <c r="E277" t="s">
        <v>72</v>
      </c>
      <c r="F277">
        <v>70</v>
      </c>
      <c r="G277" t="s">
        <v>216</v>
      </c>
      <c r="H277" t="s">
        <v>197</v>
      </c>
      <c r="I277" t="s">
        <v>205</v>
      </c>
      <c r="J277">
        <v>0</v>
      </c>
      <c r="K277">
        <v>0</v>
      </c>
      <c r="L277">
        <v>0</v>
      </c>
      <c r="M277" s="8">
        <v>3</v>
      </c>
      <c r="N277" t="s">
        <v>206</v>
      </c>
      <c r="O277" t="str">
        <f>IF(B277="SP",IF(C277="São Paulo","FRQ001","FRQ002"),VLOOKUP(B277,Premissas!$A$11:$B$28,2,FALSE))</f>
        <v>FRQ003</v>
      </c>
      <c r="P277" t="str">
        <f t="shared" si="16"/>
        <v>Própria</v>
      </c>
      <c r="Q277" s="10">
        <f>VLOOKUP(E277,Premissas!$A$32:$B$35,2,FALSE)</f>
        <v>1121</v>
      </c>
      <c r="R277" s="10">
        <f>Q277*(1-Premissas!$B$5)</f>
        <v>890.6345</v>
      </c>
      <c r="S277">
        <f t="shared" si="17"/>
        <v>4</v>
      </c>
      <c r="T277" t="str">
        <f t="shared" si="18"/>
        <v>4. Nutrir (marketing/inbound)</v>
      </c>
      <c r="U277">
        <f t="shared" si="19"/>
        <v>14</v>
      </c>
      <c r="V277" t="s">
        <v>200</v>
      </c>
      <c r="W277" t="s">
        <v>207</v>
      </c>
      <c r="X277" s="13">
        <v>0.4264</v>
      </c>
    </row>
    <row r="278" spans="1:24" x14ac:dyDescent="0.25">
      <c r="A278" t="s">
        <v>546</v>
      </c>
      <c r="B278" t="s">
        <v>44</v>
      </c>
      <c r="C278" t="s">
        <v>308</v>
      </c>
      <c r="D278" t="s">
        <v>117</v>
      </c>
      <c r="E278" t="s">
        <v>75</v>
      </c>
      <c r="F278">
        <v>10</v>
      </c>
      <c r="G278" t="s">
        <v>216</v>
      </c>
      <c r="H278" t="s">
        <v>197</v>
      </c>
      <c r="I278" t="s">
        <v>198</v>
      </c>
      <c r="J278">
        <v>2</v>
      </c>
      <c r="K278">
        <v>0</v>
      </c>
      <c r="L278">
        <v>0</v>
      </c>
      <c r="M278" s="8">
        <v>2</v>
      </c>
      <c r="N278" t="s">
        <v>212</v>
      </c>
      <c r="O278" t="str">
        <f>IF(B278="SP",IF(C278="São Paulo","FRQ001","FRQ002"),VLOOKUP(B278,Premissas!$A$11:$B$28,2,FALSE))</f>
        <v>FRQ009</v>
      </c>
      <c r="P278" t="str">
        <f t="shared" si="16"/>
        <v>Própria</v>
      </c>
      <c r="Q278" s="10">
        <f>VLOOKUP(E278,Premissas!$A$32:$B$35,2,FALSE)</f>
        <v>938</v>
      </c>
      <c r="R278" s="10">
        <f>Q278*(1-Premissas!$B$5)</f>
        <v>745.24099999999999</v>
      </c>
      <c r="S278">
        <f t="shared" si="17"/>
        <v>5</v>
      </c>
      <c r="T278" t="str">
        <f t="shared" si="18"/>
        <v>5. Régua automatizada</v>
      </c>
      <c r="U278">
        <f t="shared" si="19"/>
        <v>6</v>
      </c>
      <c r="V278" t="s">
        <v>221</v>
      </c>
      <c r="W278" t="s">
        <v>201</v>
      </c>
      <c r="X278" s="13">
        <v>0.19620000000000001</v>
      </c>
    </row>
    <row r="279" spans="1:24" x14ac:dyDescent="0.25">
      <c r="A279" t="s">
        <v>547</v>
      </c>
      <c r="B279" t="s">
        <v>62</v>
      </c>
      <c r="C279" t="s">
        <v>458</v>
      </c>
      <c r="D279" t="s">
        <v>113</v>
      </c>
      <c r="E279" t="s">
        <v>75</v>
      </c>
      <c r="F279">
        <v>9</v>
      </c>
      <c r="G279" t="s">
        <v>216</v>
      </c>
      <c r="H279" t="s">
        <v>197</v>
      </c>
      <c r="I279" t="s">
        <v>205</v>
      </c>
      <c r="J279">
        <v>0</v>
      </c>
      <c r="K279">
        <v>0</v>
      </c>
      <c r="L279">
        <v>0</v>
      </c>
      <c r="M279" s="8">
        <v>1</v>
      </c>
      <c r="N279" t="s">
        <v>212</v>
      </c>
      <c r="O279" t="str">
        <f>IF(B279="SP",IF(C279="São Paulo","FRQ001","FRQ002"),VLOOKUP(B279,Premissas!$A$11:$B$28,2,FALSE))</f>
        <v>FRQ007</v>
      </c>
      <c r="P279" t="str">
        <f t="shared" si="16"/>
        <v>Própria</v>
      </c>
      <c r="Q279" s="10">
        <f>VLOOKUP(E279,Premissas!$A$32:$B$35,2,FALSE)</f>
        <v>938</v>
      </c>
      <c r="R279" s="10">
        <f>Q279*(1-Premissas!$B$5)</f>
        <v>745.24099999999999</v>
      </c>
      <c r="S279">
        <f t="shared" si="17"/>
        <v>5</v>
      </c>
      <c r="T279" t="str">
        <f t="shared" si="18"/>
        <v>5. Régua automatizada</v>
      </c>
      <c r="U279">
        <f t="shared" si="19"/>
        <v>5</v>
      </c>
      <c r="V279" t="s">
        <v>221</v>
      </c>
      <c r="W279" t="s">
        <v>207</v>
      </c>
      <c r="X279" s="13">
        <v>0.12759999999999999</v>
      </c>
    </row>
    <row r="280" spans="1:24" x14ac:dyDescent="0.25">
      <c r="A280" t="s">
        <v>548</v>
      </c>
      <c r="B280" t="s">
        <v>62</v>
      </c>
      <c r="C280" t="s">
        <v>264</v>
      </c>
      <c r="D280" t="s">
        <v>113</v>
      </c>
      <c r="E280" t="s">
        <v>72</v>
      </c>
      <c r="F280">
        <v>20</v>
      </c>
      <c r="G280" t="s">
        <v>237</v>
      </c>
      <c r="H280" t="s">
        <v>226</v>
      </c>
      <c r="I280" t="s">
        <v>205</v>
      </c>
      <c r="J280">
        <v>0</v>
      </c>
      <c r="K280">
        <v>0</v>
      </c>
      <c r="L280">
        <v>0</v>
      </c>
      <c r="M280" s="8">
        <v>2</v>
      </c>
      <c r="N280" t="s">
        <v>212</v>
      </c>
      <c r="O280" t="str">
        <f>IF(B280="SP",IF(C280="São Paulo","FRQ001","FRQ002"),VLOOKUP(B280,Premissas!$A$11:$B$28,2,FALSE))</f>
        <v>FRQ007</v>
      </c>
      <c r="P280" t="str">
        <f t="shared" si="16"/>
        <v>Própria</v>
      </c>
      <c r="Q280" s="10">
        <f>VLOOKUP(E280,Premissas!$A$32:$B$35,2,FALSE)</f>
        <v>1121</v>
      </c>
      <c r="R280" s="10">
        <f>Q280*(1-Premissas!$B$5)</f>
        <v>890.6345</v>
      </c>
      <c r="S280">
        <f t="shared" si="17"/>
        <v>5</v>
      </c>
      <c r="T280" t="str">
        <f t="shared" si="18"/>
        <v>5. Régua automatizada</v>
      </c>
      <c r="U280">
        <f t="shared" si="19"/>
        <v>4</v>
      </c>
      <c r="V280" t="s">
        <v>213</v>
      </c>
      <c r="W280" t="s">
        <v>207</v>
      </c>
      <c r="X280" s="13">
        <v>0.37569999999999998</v>
      </c>
    </row>
    <row r="281" spans="1:24" x14ac:dyDescent="0.25">
      <c r="A281" t="s">
        <v>549</v>
      </c>
      <c r="B281" t="s">
        <v>66</v>
      </c>
      <c r="C281" t="s">
        <v>242</v>
      </c>
      <c r="D281" t="s">
        <v>107</v>
      </c>
      <c r="E281" t="s">
        <v>75</v>
      </c>
      <c r="F281">
        <v>5</v>
      </c>
      <c r="G281" t="s">
        <v>204</v>
      </c>
      <c r="H281" t="s">
        <v>197</v>
      </c>
      <c r="I281" t="s">
        <v>283</v>
      </c>
      <c r="J281">
        <v>3</v>
      </c>
      <c r="K281">
        <v>1</v>
      </c>
      <c r="L281">
        <v>0</v>
      </c>
      <c r="M281" s="8">
        <v>3</v>
      </c>
      <c r="N281" t="s">
        <v>206</v>
      </c>
      <c r="O281" t="str">
        <f>IF(B281="SP",IF(C281="São Paulo","FRQ001","FRQ002"),VLOOKUP(B281,Premissas!$A$11:$B$28,2,FALSE))</f>
        <v>FRQ002</v>
      </c>
      <c r="P281" t="str">
        <f t="shared" si="16"/>
        <v>Própria</v>
      </c>
      <c r="Q281" s="10">
        <f>VLOOKUP(E281,Premissas!$A$32:$B$35,2,FALSE)</f>
        <v>938</v>
      </c>
      <c r="R281" s="10">
        <f>Q281*(1-Premissas!$B$5)</f>
        <v>745.24099999999999</v>
      </c>
      <c r="S281">
        <f t="shared" si="17"/>
        <v>1</v>
      </c>
      <c r="T281" t="str">
        <f t="shared" si="18"/>
        <v>1. Fechar (lead ativo em Reunião/Proposta)</v>
      </c>
      <c r="U281">
        <f t="shared" si="19"/>
        <v>3</v>
      </c>
      <c r="V281" t="s">
        <v>221</v>
      </c>
      <c r="W281" t="s">
        <v>232</v>
      </c>
      <c r="X281" s="13">
        <v>0.1716</v>
      </c>
    </row>
    <row r="282" spans="1:24" x14ac:dyDescent="0.25">
      <c r="A282" t="s">
        <v>550</v>
      </c>
      <c r="B282" t="s">
        <v>53</v>
      </c>
      <c r="C282" t="s">
        <v>358</v>
      </c>
      <c r="D282" t="s">
        <v>124</v>
      </c>
      <c r="E282" t="s">
        <v>75</v>
      </c>
      <c r="F282">
        <v>24</v>
      </c>
      <c r="G282" t="s">
        <v>204</v>
      </c>
      <c r="H282" t="s">
        <v>211</v>
      </c>
      <c r="I282" t="s">
        <v>205</v>
      </c>
      <c r="J282">
        <v>0</v>
      </c>
      <c r="K282">
        <v>0</v>
      </c>
      <c r="L282">
        <v>0</v>
      </c>
      <c r="M282" s="8">
        <v>2</v>
      </c>
      <c r="N282" t="s">
        <v>212</v>
      </c>
      <c r="O282" t="str">
        <f>IF(B282="SP",IF(C282="São Paulo","FRQ001","FRQ002"),VLOOKUP(B282,Premissas!$A$11:$B$28,2,FALSE))</f>
        <v>FRQ014</v>
      </c>
      <c r="P282" t="str">
        <f t="shared" si="16"/>
        <v>Própria</v>
      </c>
      <c r="Q282" s="10">
        <f>VLOOKUP(E282,Premissas!$A$32:$B$35,2,FALSE)</f>
        <v>938</v>
      </c>
      <c r="R282" s="10">
        <f>Q282*(1-Premissas!$B$5)</f>
        <v>745.24099999999999</v>
      </c>
      <c r="S282">
        <f t="shared" si="17"/>
        <v>5</v>
      </c>
      <c r="T282" t="str">
        <f t="shared" si="18"/>
        <v>5. Régua automatizada</v>
      </c>
      <c r="U282">
        <f t="shared" si="19"/>
        <v>2</v>
      </c>
      <c r="V282" t="s">
        <v>213</v>
      </c>
      <c r="W282" t="s">
        <v>207</v>
      </c>
      <c r="X282" s="13">
        <v>0.2702</v>
      </c>
    </row>
    <row r="283" spans="1:24" x14ac:dyDescent="0.25">
      <c r="A283" t="s">
        <v>551</v>
      </c>
      <c r="B283" t="s">
        <v>40</v>
      </c>
      <c r="C283" t="s">
        <v>351</v>
      </c>
      <c r="D283" t="s">
        <v>117</v>
      </c>
      <c r="E283" t="s">
        <v>72</v>
      </c>
      <c r="F283">
        <v>50</v>
      </c>
      <c r="G283" t="s">
        <v>243</v>
      </c>
      <c r="H283" t="s">
        <v>226</v>
      </c>
      <c r="I283" t="s">
        <v>205</v>
      </c>
      <c r="J283">
        <v>0</v>
      </c>
      <c r="K283">
        <v>0</v>
      </c>
      <c r="L283">
        <v>1</v>
      </c>
      <c r="M283" s="8">
        <v>3</v>
      </c>
      <c r="N283" t="s">
        <v>206</v>
      </c>
      <c r="O283" t="str">
        <f>IF(B283="SP",IF(C283="São Paulo","FRQ001","FRQ002"),VLOOKUP(B283,Premissas!$A$11:$B$28,2,FALSE))</f>
        <v>FRQ008</v>
      </c>
      <c r="P283" t="str">
        <f t="shared" si="16"/>
        <v>Própria</v>
      </c>
      <c r="Q283" s="10">
        <f>VLOOKUP(E283,Premissas!$A$32:$B$35,2,FALSE)</f>
        <v>1121</v>
      </c>
      <c r="R283" s="10">
        <f>Q283*(1-Premissas!$B$5)</f>
        <v>890.6345</v>
      </c>
      <c r="S283">
        <f t="shared" si="17"/>
        <v>4</v>
      </c>
      <c r="T283" t="str">
        <f t="shared" si="18"/>
        <v>4. Nutrir (marketing/inbound)</v>
      </c>
      <c r="U283">
        <f t="shared" si="19"/>
        <v>3</v>
      </c>
      <c r="V283" t="s">
        <v>200</v>
      </c>
      <c r="W283" t="s">
        <v>207</v>
      </c>
      <c r="X283" s="13">
        <v>0.49149999999999999</v>
      </c>
    </row>
    <row r="284" spans="1:24" x14ac:dyDescent="0.25">
      <c r="A284" t="s">
        <v>552</v>
      </c>
      <c r="B284" t="s">
        <v>49</v>
      </c>
      <c r="C284" t="s">
        <v>239</v>
      </c>
      <c r="D284" t="s">
        <v>107</v>
      </c>
      <c r="E284" t="s">
        <v>75</v>
      </c>
      <c r="F284">
        <v>20</v>
      </c>
      <c r="G284" t="s">
        <v>204</v>
      </c>
      <c r="H284" t="s">
        <v>211</v>
      </c>
      <c r="I284" t="s">
        <v>205</v>
      </c>
      <c r="J284">
        <v>0</v>
      </c>
      <c r="K284">
        <v>0</v>
      </c>
      <c r="L284">
        <v>0</v>
      </c>
      <c r="M284" s="8">
        <v>2</v>
      </c>
      <c r="N284" t="s">
        <v>212</v>
      </c>
      <c r="O284" t="str">
        <f>IF(B284="SP",IF(C284="São Paulo","FRQ001","FRQ002"),VLOOKUP(B284,Premissas!$A$11:$B$28,2,FALSE))</f>
        <v>FRQ004</v>
      </c>
      <c r="P284" t="str">
        <f t="shared" si="16"/>
        <v>Própria</v>
      </c>
      <c r="Q284" s="10">
        <f>VLOOKUP(E284,Premissas!$A$32:$B$35,2,FALSE)</f>
        <v>938</v>
      </c>
      <c r="R284" s="10">
        <f>Q284*(1-Premissas!$B$5)</f>
        <v>745.24099999999999</v>
      </c>
      <c r="S284">
        <f t="shared" si="17"/>
        <v>5</v>
      </c>
      <c r="T284" t="str">
        <f t="shared" si="18"/>
        <v>5. Régua automatizada</v>
      </c>
      <c r="U284">
        <f t="shared" si="19"/>
        <v>20</v>
      </c>
      <c r="V284" t="s">
        <v>213</v>
      </c>
      <c r="W284" t="s">
        <v>207</v>
      </c>
      <c r="X284" s="13">
        <v>0.2702</v>
      </c>
    </row>
    <row r="285" spans="1:24" x14ac:dyDescent="0.25">
      <c r="A285" t="s">
        <v>553</v>
      </c>
      <c r="B285" t="s">
        <v>49</v>
      </c>
      <c r="C285" t="s">
        <v>218</v>
      </c>
      <c r="D285" t="s">
        <v>107</v>
      </c>
      <c r="E285" t="s">
        <v>75</v>
      </c>
      <c r="F285">
        <v>8</v>
      </c>
      <c r="G285" t="s">
        <v>216</v>
      </c>
      <c r="H285" t="s">
        <v>197</v>
      </c>
      <c r="I285" t="s">
        <v>220</v>
      </c>
      <c r="J285">
        <v>1</v>
      </c>
      <c r="K285">
        <v>0</v>
      </c>
      <c r="L285">
        <v>0</v>
      </c>
      <c r="M285" s="8">
        <v>2</v>
      </c>
      <c r="N285" t="s">
        <v>212</v>
      </c>
      <c r="O285" t="str">
        <f>IF(B285="SP",IF(C285="São Paulo","FRQ001","FRQ002"),VLOOKUP(B285,Premissas!$A$11:$B$28,2,FALSE))</f>
        <v>FRQ004</v>
      </c>
      <c r="P285" t="str">
        <f t="shared" si="16"/>
        <v>Própria</v>
      </c>
      <c r="Q285" s="10">
        <f>VLOOKUP(E285,Premissas!$A$32:$B$35,2,FALSE)</f>
        <v>938</v>
      </c>
      <c r="R285" s="10">
        <f>Q285*(1-Premissas!$B$5)</f>
        <v>745.24099999999999</v>
      </c>
      <c r="S285">
        <f t="shared" si="17"/>
        <v>5</v>
      </c>
      <c r="T285" t="str">
        <f t="shared" si="18"/>
        <v>5. Régua automatizada</v>
      </c>
      <c r="U285">
        <f t="shared" si="19"/>
        <v>20</v>
      </c>
      <c r="V285" t="s">
        <v>221</v>
      </c>
      <c r="W285" t="s">
        <v>201</v>
      </c>
      <c r="X285" s="13">
        <v>0.12759999999999999</v>
      </c>
    </row>
    <row r="286" spans="1:24" x14ac:dyDescent="0.25">
      <c r="A286" t="s">
        <v>554</v>
      </c>
      <c r="B286" t="s">
        <v>49</v>
      </c>
      <c r="C286" t="s">
        <v>266</v>
      </c>
      <c r="D286" t="s">
        <v>107</v>
      </c>
      <c r="E286" t="s">
        <v>72</v>
      </c>
      <c r="F286">
        <v>17</v>
      </c>
      <c r="G286" t="s">
        <v>204</v>
      </c>
      <c r="H286" t="s">
        <v>197</v>
      </c>
      <c r="I286" t="s">
        <v>283</v>
      </c>
      <c r="J286">
        <v>3</v>
      </c>
      <c r="K286">
        <v>0</v>
      </c>
      <c r="L286">
        <v>0</v>
      </c>
      <c r="M286" s="8">
        <v>4</v>
      </c>
      <c r="N286" t="s">
        <v>199</v>
      </c>
      <c r="O286" t="str">
        <f>IF(B286="SP",IF(C286="São Paulo","FRQ001","FRQ002"),VLOOKUP(B286,Premissas!$A$11:$B$28,2,FALSE))</f>
        <v>FRQ004</v>
      </c>
      <c r="P286" t="str">
        <f t="shared" si="16"/>
        <v>Própria</v>
      </c>
      <c r="Q286" s="10">
        <f>VLOOKUP(E286,Premissas!$A$32:$B$35,2,FALSE)</f>
        <v>1121</v>
      </c>
      <c r="R286" s="10">
        <f>Q286*(1-Premissas!$B$5)</f>
        <v>890.6345</v>
      </c>
      <c r="S286">
        <f t="shared" si="17"/>
        <v>1</v>
      </c>
      <c r="T286" t="str">
        <f t="shared" si="18"/>
        <v>1. Fechar (lead ativo em Reunião/Proposta)</v>
      </c>
      <c r="U286">
        <f t="shared" si="19"/>
        <v>1</v>
      </c>
      <c r="V286" t="s">
        <v>213</v>
      </c>
      <c r="W286" t="s">
        <v>232</v>
      </c>
      <c r="X286" s="13">
        <v>0.2457</v>
      </c>
    </row>
    <row r="287" spans="1:24" x14ac:dyDescent="0.25">
      <c r="A287" t="s">
        <v>555</v>
      </c>
      <c r="B287" t="s">
        <v>33</v>
      </c>
      <c r="C287" t="s">
        <v>251</v>
      </c>
      <c r="D287" t="s">
        <v>124</v>
      </c>
      <c r="E287" t="s">
        <v>75</v>
      </c>
      <c r="F287">
        <v>15</v>
      </c>
      <c r="G287" t="s">
        <v>210</v>
      </c>
      <c r="H287" t="s">
        <v>226</v>
      </c>
      <c r="I287" t="s">
        <v>205</v>
      </c>
      <c r="J287">
        <v>0</v>
      </c>
      <c r="K287">
        <v>0</v>
      </c>
      <c r="L287">
        <v>0</v>
      </c>
      <c r="M287" s="8">
        <v>2</v>
      </c>
      <c r="N287" t="s">
        <v>212</v>
      </c>
      <c r="O287" t="str">
        <f>IF(B287="SP",IF(C287="São Paulo","FRQ001","FRQ002"),VLOOKUP(B287,Premissas!$A$11:$B$28,2,FALSE))</f>
        <v>FRQ013</v>
      </c>
      <c r="P287" t="str">
        <f t="shared" si="16"/>
        <v>Própria</v>
      </c>
      <c r="Q287" s="10">
        <f>VLOOKUP(E287,Premissas!$A$32:$B$35,2,FALSE)</f>
        <v>938</v>
      </c>
      <c r="R287" s="10">
        <f>Q287*(1-Premissas!$B$5)</f>
        <v>745.24099999999999</v>
      </c>
      <c r="S287">
        <f t="shared" si="17"/>
        <v>5</v>
      </c>
      <c r="T287" t="str">
        <f t="shared" si="18"/>
        <v>5. Régua automatizada</v>
      </c>
      <c r="U287">
        <f t="shared" si="19"/>
        <v>5</v>
      </c>
      <c r="V287" t="s">
        <v>213</v>
      </c>
      <c r="W287" t="s">
        <v>207</v>
      </c>
      <c r="X287" s="13">
        <v>9.6199999999999994E-2</v>
      </c>
    </row>
    <row r="288" spans="1:24" x14ac:dyDescent="0.25">
      <c r="A288" t="s">
        <v>556</v>
      </c>
      <c r="B288" t="s">
        <v>36</v>
      </c>
      <c r="C288" t="s">
        <v>257</v>
      </c>
      <c r="D288" t="s">
        <v>120</v>
      </c>
      <c r="E288" t="s">
        <v>75</v>
      </c>
      <c r="F288">
        <v>12</v>
      </c>
      <c r="G288" t="s">
        <v>204</v>
      </c>
      <c r="H288" t="s">
        <v>211</v>
      </c>
      <c r="I288" t="s">
        <v>205</v>
      </c>
      <c r="J288">
        <v>0</v>
      </c>
      <c r="K288">
        <v>0</v>
      </c>
      <c r="L288">
        <v>0</v>
      </c>
      <c r="M288" s="8">
        <v>1</v>
      </c>
      <c r="N288" t="s">
        <v>212</v>
      </c>
      <c r="O288" t="str">
        <f>IF(B288="SP",IF(C288="São Paulo","FRQ001","FRQ002"),VLOOKUP(B288,Premissas!$A$11:$B$28,2,FALSE))</f>
        <v>FRQ010</v>
      </c>
      <c r="P288" t="str">
        <f t="shared" si="16"/>
        <v>Própria</v>
      </c>
      <c r="Q288" s="10">
        <f>VLOOKUP(E288,Premissas!$A$32:$B$35,2,FALSE)</f>
        <v>938</v>
      </c>
      <c r="R288" s="10">
        <f>Q288*(1-Premissas!$B$5)</f>
        <v>745.24099999999999</v>
      </c>
      <c r="S288">
        <f t="shared" si="17"/>
        <v>5</v>
      </c>
      <c r="T288" t="str">
        <f t="shared" si="18"/>
        <v>5. Régua automatizada</v>
      </c>
      <c r="U288">
        <f t="shared" si="19"/>
        <v>10</v>
      </c>
      <c r="V288" t="s">
        <v>221</v>
      </c>
      <c r="W288" t="s">
        <v>207</v>
      </c>
      <c r="X288" s="13">
        <v>0.2402</v>
      </c>
    </row>
    <row r="289" spans="1:24" x14ac:dyDescent="0.25">
      <c r="A289" t="s">
        <v>557</v>
      </c>
      <c r="B289" t="s">
        <v>49</v>
      </c>
      <c r="C289" t="s">
        <v>218</v>
      </c>
      <c r="D289" t="s">
        <v>107</v>
      </c>
      <c r="E289" t="s">
        <v>75</v>
      </c>
      <c r="F289">
        <v>21</v>
      </c>
      <c r="G289" t="s">
        <v>204</v>
      </c>
      <c r="H289" t="s">
        <v>211</v>
      </c>
      <c r="I289" t="s">
        <v>205</v>
      </c>
      <c r="J289">
        <v>0</v>
      </c>
      <c r="K289">
        <v>0</v>
      </c>
      <c r="L289">
        <v>0</v>
      </c>
      <c r="M289" s="8">
        <v>2</v>
      </c>
      <c r="N289" t="s">
        <v>212</v>
      </c>
      <c r="O289" t="str">
        <f>IF(B289="SP",IF(C289="São Paulo","FRQ001","FRQ002"),VLOOKUP(B289,Premissas!$A$11:$B$28,2,FALSE))</f>
        <v>FRQ004</v>
      </c>
      <c r="P289" t="str">
        <f t="shared" si="16"/>
        <v>Própria</v>
      </c>
      <c r="Q289" s="10">
        <f>VLOOKUP(E289,Premissas!$A$32:$B$35,2,FALSE)</f>
        <v>938</v>
      </c>
      <c r="R289" s="10">
        <f>Q289*(1-Premissas!$B$5)</f>
        <v>745.24099999999999</v>
      </c>
      <c r="S289">
        <f t="shared" si="17"/>
        <v>5</v>
      </c>
      <c r="T289" t="str">
        <f t="shared" si="18"/>
        <v>5. Régua automatizada</v>
      </c>
      <c r="U289">
        <f t="shared" si="19"/>
        <v>20</v>
      </c>
      <c r="V289" t="s">
        <v>213</v>
      </c>
      <c r="W289" t="s">
        <v>207</v>
      </c>
      <c r="X289" s="13">
        <v>0.2702</v>
      </c>
    </row>
    <row r="290" spans="1:24" x14ac:dyDescent="0.25">
      <c r="A290" t="s">
        <v>558</v>
      </c>
      <c r="B290" t="s">
        <v>33</v>
      </c>
      <c r="C290" t="s">
        <v>453</v>
      </c>
      <c r="D290" t="s">
        <v>124</v>
      </c>
      <c r="E290" t="s">
        <v>75</v>
      </c>
      <c r="F290">
        <v>21</v>
      </c>
      <c r="G290" t="s">
        <v>219</v>
      </c>
      <c r="H290" t="s">
        <v>247</v>
      </c>
      <c r="I290" t="s">
        <v>205</v>
      </c>
      <c r="J290">
        <v>0</v>
      </c>
      <c r="K290">
        <v>0</v>
      </c>
      <c r="L290">
        <v>0</v>
      </c>
      <c r="M290" s="8">
        <v>2</v>
      </c>
      <c r="N290" t="s">
        <v>212</v>
      </c>
      <c r="O290" t="str">
        <f>IF(B290="SP",IF(C290="São Paulo","FRQ001","FRQ002"),VLOOKUP(B290,Premissas!$A$11:$B$28,2,FALSE))</f>
        <v>FRQ013</v>
      </c>
      <c r="P290" t="str">
        <f t="shared" si="16"/>
        <v>Própria</v>
      </c>
      <c r="Q290" s="10">
        <f>VLOOKUP(E290,Premissas!$A$32:$B$35,2,FALSE)</f>
        <v>938</v>
      </c>
      <c r="R290" s="10">
        <f>Q290*(1-Premissas!$B$5)</f>
        <v>745.24099999999999</v>
      </c>
      <c r="S290">
        <f t="shared" si="17"/>
        <v>5</v>
      </c>
      <c r="T290" t="str">
        <f t="shared" si="18"/>
        <v>5. Régua automatizada</v>
      </c>
      <c r="U290">
        <f t="shared" si="19"/>
        <v>5</v>
      </c>
      <c r="V290" t="s">
        <v>213</v>
      </c>
      <c r="W290" t="s">
        <v>207</v>
      </c>
      <c r="X290" s="13">
        <v>0.1394</v>
      </c>
    </row>
    <row r="291" spans="1:24" x14ac:dyDescent="0.25">
      <c r="A291" t="s">
        <v>559</v>
      </c>
      <c r="B291" t="s">
        <v>59</v>
      </c>
      <c r="C291" t="s">
        <v>195</v>
      </c>
      <c r="D291" t="s">
        <v>107</v>
      </c>
      <c r="E291" t="s">
        <v>75</v>
      </c>
      <c r="F291">
        <v>15</v>
      </c>
      <c r="G291" t="s">
        <v>216</v>
      </c>
      <c r="H291" t="s">
        <v>226</v>
      </c>
      <c r="I291" t="s">
        <v>205</v>
      </c>
      <c r="J291">
        <v>0</v>
      </c>
      <c r="K291">
        <v>1</v>
      </c>
      <c r="L291">
        <v>0</v>
      </c>
      <c r="M291" s="8">
        <v>2</v>
      </c>
      <c r="N291" t="s">
        <v>212</v>
      </c>
      <c r="O291" t="str">
        <f>IF(B291="SP",IF(C291="São Paulo","FRQ001","FRQ002"),VLOOKUP(B291,Premissas!$A$11:$B$28,2,FALSE))</f>
        <v>FRQ003</v>
      </c>
      <c r="P291" t="str">
        <f t="shared" si="16"/>
        <v>Própria</v>
      </c>
      <c r="Q291" s="10">
        <f>VLOOKUP(E291,Premissas!$A$32:$B$35,2,FALSE)</f>
        <v>938</v>
      </c>
      <c r="R291" s="10">
        <f>Q291*(1-Premissas!$B$5)</f>
        <v>745.24099999999999</v>
      </c>
      <c r="S291">
        <f t="shared" si="17"/>
        <v>3</v>
      </c>
      <c r="T291" t="str">
        <f t="shared" si="18"/>
        <v>3. Requalificar ou encerrar lead parado</v>
      </c>
      <c r="U291">
        <f t="shared" si="19"/>
        <v>11</v>
      </c>
      <c r="V291" t="s">
        <v>213</v>
      </c>
      <c r="W291" t="s">
        <v>207</v>
      </c>
      <c r="X291" s="13">
        <v>0.12759999999999999</v>
      </c>
    </row>
    <row r="292" spans="1:24" x14ac:dyDescent="0.25">
      <c r="A292" t="s">
        <v>560</v>
      </c>
      <c r="B292" t="s">
        <v>57</v>
      </c>
      <c r="C292" t="s">
        <v>249</v>
      </c>
      <c r="D292" t="s">
        <v>113</v>
      </c>
      <c r="E292" t="s">
        <v>75</v>
      </c>
      <c r="F292">
        <v>15</v>
      </c>
      <c r="G292" t="s">
        <v>204</v>
      </c>
      <c r="H292" t="s">
        <v>197</v>
      </c>
      <c r="I292" t="s">
        <v>283</v>
      </c>
      <c r="J292">
        <v>3</v>
      </c>
      <c r="K292">
        <v>0</v>
      </c>
      <c r="L292">
        <v>0</v>
      </c>
      <c r="M292" s="8">
        <v>4</v>
      </c>
      <c r="N292" t="s">
        <v>199</v>
      </c>
      <c r="O292" t="str">
        <f>IF(B292="SP",IF(C292="São Paulo","FRQ001","FRQ002"),VLOOKUP(B292,Premissas!$A$11:$B$28,2,FALSE))</f>
        <v>FRQ005</v>
      </c>
      <c r="P292" t="str">
        <f t="shared" si="16"/>
        <v>Própria</v>
      </c>
      <c r="Q292" s="10">
        <f>VLOOKUP(E292,Premissas!$A$32:$B$35,2,FALSE)</f>
        <v>938</v>
      </c>
      <c r="R292" s="10">
        <f>Q292*(1-Premissas!$B$5)</f>
        <v>745.24099999999999</v>
      </c>
      <c r="S292">
        <f t="shared" si="17"/>
        <v>1</v>
      </c>
      <c r="T292" t="str">
        <f t="shared" si="18"/>
        <v>1. Fechar (lead ativo em Reunião/Proposta)</v>
      </c>
      <c r="U292">
        <f t="shared" si="19"/>
        <v>1</v>
      </c>
      <c r="V292" t="s">
        <v>213</v>
      </c>
      <c r="W292" t="s">
        <v>232</v>
      </c>
      <c r="X292" s="13">
        <v>0.2402</v>
      </c>
    </row>
    <row r="293" spans="1:24" x14ac:dyDescent="0.25">
      <c r="A293" t="s">
        <v>561</v>
      </c>
      <c r="B293" t="s">
        <v>49</v>
      </c>
      <c r="C293" t="s">
        <v>218</v>
      </c>
      <c r="D293" t="s">
        <v>107</v>
      </c>
      <c r="E293" t="s">
        <v>75</v>
      </c>
      <c r="F293">
        <v>25</v>
      </c>
      <c r="G293" t="s">
        <v>196</v>
      </c>
      <c r="H293" t="s">
        <v>211</v>
      </c>
      <c r="I293" t="s">
        <v>205</v>
      </c>
      <c r="J293">
        <v>0</v>
      </c>
      <c r="K293">
        <v>0</v>
      </c>
      <c r="L293">
        <v>0</v>
      </c>
      <c r="M293" s="8">
        <v>3</v>
      </c>
      <c r="N293" t="s">
        <v>206</v>
      </c>
      <c r="O293" t="str">
        <f>IF(B293="SP",IF(C293="São Paulo","FRQ001","FRQ002"),VLOOKUP(B293,Premissas!$A$11:$B$28,2,FALSE))</f>
        <v>FRQ004</v>
      </c>
      <c r="P293" t="str">
        <f t="shared" si="16"/>
        <v>Própria</v>
      </c>
      <c r="Q293" s="10">
        <f>VLOOKUP(E293,Premissas!$A$32:$B$35,2,FALSE)</f>
        <v>938</v>
      </c>
      <c r="R293" s="10">
        <f>Q293*(1-Premissas!$B$5)</f>
        <v>745.24099999999999</v>
      </c>
      <c r="S293">
        <f t="shared" si="17"/>
        <v>4</v>
      </c>
      <c r="T293" t="str">
        <f t="shared" si="18"/>
        <v>4. Nutrir (marketing/inbound)</v>
      </c>
      <c r="U293">
        <f t="shared" si="19"/>
        <v>17</v>
      </c>
      <c r="V293" t="s">
        <v>200</v>
      </c>
      <c r="W293" t="s">
        <v>207</v>
      </c>
      <c r="X293" s="13">
        <v>0.20580000000000001</v>
      </c>
    </row>
    <row r="294" spans="1:24" x14ac:dyDescent="0.25">
      <c r="A294" t="s">
        <v>562</v>
      </c>
      <c r="B294" t="s">
        <v>52</v>
      </c>
      <c r="C294" t="s">
        <v>246</v>
      </c>
      <c r="D294" t="s">
        <v>117</v>
      </c>
      <c r="E294" t="s">
        <v>72</v>
      </c>
      <c r="F294">
        <v>25</v>
      </c>
      <c r="G294" t="s">
        <v>237</v>
      </c>
      <c r="H294" t="s">
        <v>211</v>
      </c>
      <c r="I294" t="s">
        <v>205</v>
      </c>
      <c r="J294">
        <v>0</v>
      </c>
      <c r="K294">
        <v>0</v>
      </c>
      <c r="L294">
        <v>0</v>
      </c>
      <c r="M294" s="8">
        <v>3</v>
      </c>
      <c r="N294" t="s">
        <v>206</v>
      </c>
      <c r="O294" t="str">
        <f>IF(B294="SP",IF(C294="São Paulo","FRQ001","FRQ002"),VLOOKUP(B294,Premissas!$A$11:$B$28,2,FALSE))</f>
        <v>Sem franquia</v>
      </c>
      <c r="P294" t="str">
        <f t="shared" si="16"/>
        <v>Sem franquia</v>
      </c>
      <c r="Q294" s="10">
        <f>VLOOKUP(E294,Premissas!$A$32:$B$35,2,FALSE)</f>
        <v>1121</v>
      </c>
      <c r="R294" s="10">
        <f>Q294*(1-Premissas!$B$5)</f>
        <v>890.6345</v>
      </c>
      <c r="S294">
        <f t="shared" si="17"/>
        <v>4</v>
      </c>
      <c r="T294" t="str">
        <f t="shared" si="18"/>
        <v>4. Nutrir (marketing/inbound)</v>
      </c>
      <c r="U294">
        <f t="shared" si="19"/>
        <v>12</v>
      </c>
      <c r="V294" t="s">
        <v>200</v>
      </c>
      <c r="W294" t="s">
        <v>207</v>
      </c>
      <c r="X294" s="13">
        <v>0.37569999999999998</v>
      </c>
    </row>
    <row r="295" spans="1:24" x14ac:dyDescent="0.25">
      <c r="A295" t="s">
        <v>563</v>
      </c>
      <c r="B295" t="s">
        <v>66</v>
      </c>
      <c r="C295" t="s">
        <v>215</v>
      </c>
      <c r="D295" t="s">
        <v>107</v>
      </c>
      <c r="E295" t="s">
        <v>72</v>
      </c>
      <c r="F295">
        <v>21</v>
      </c>
      <c r="G295" t="s">
        <v>237</v>
      </c>
      <c r="H295" t="s">
        <v>211</v>
      </c>
      <c r="I295" t="s">
        <v>205</v>
      </c>
      <c r="J295">
        <v>0</v>
      </c>
      <c r="K295">
        <v>0</v>
      </c>
      <c r="L295">
        <v>0</v>
      </c>
      <c r="M295" s="8">
        <v>2</v>
      </c>
      <c r="N295" t="s">
        <v>212</v>
      </c>
      <c r="O295" t="str">
        <f>IF(B295="SP",IF(C295="São Paulo","FRQ001","FRQ002"),VLOOKUP(B295,Premissas!$A$11:$B$28,2,FALSE))</f>
        <v>FRQ002</v>
      </c>
      <c r="P295" t="str">
        <f t="shared" si="16"/>
        <v>Própria</v>
      </c>
      <c r="Q295" s="10">
        <f>VLOOKUP(E295,Premissas!$A$32:$B$35,2,FALSE)</f>
        <v>1121</v>
      </c>
      <c r="R295" s="10">
        <f>Q295*(1-Premissas!$B$5)</f>
        <v>890.6345</v>
      </c>
      <c r="S295">
        <f t="shared" si="17"/>
        <v>5</v>
      </c>
      <c r="T295" t="str">
        <f t="shared" si="18"/>
        <v>5. Régua automatizada</v>
      </c>
      <c r="U295">
        <f t="shared" si="19"/>
        <v>22</v>
      </c>
      <c r="V295" t="s">
        <v>213</v>
      </c>
      <c r="W295" t="s">
        <v>207</v>
      </c>
      <c r="X295" s="13">
        <v>0.37590000000000001</v>
      </c>
    </row>
    <row r="296" spans="1:24" x14ac:dyDescent="0.25">
      <c r="A296" t="s">
        <v>564</v>
      </c>
      <c r="B296" t="s">
        <v>55</v>
      </c>
      <c r="C296" t="s">
        <v>281</v>
      </c>
      <c r="D296" t="s">
        <v>120</v>
      </c>
      <c r="E296" t="s">
        <v>75</v>
      </c>
      <c r="F296">
        <v>6</v>
      </c>
      <c r="G296" t="s">
        <v>204</v>
      </c>
      <c r="H296" t="s">
        <v>226</v>
      </c>
      <c r="I296" t="s">
        <v>283</v>
      </c>
      <c r="J296">
        <v>3</v>
      </c>
      <c r="K296">
        <v>1</v>
      </c>
      <c r="L296">
        <v>0</v>
      </c>
      <c r="M296" s="8">
        <v>3</v>
      </c>
      <c r="N296" t="s">
        <v>206</v>
      </c>
      <c r="O296" t="str">
        <f>IF(B296="SP",IF(C296="São Paulo","FRQ001","FRQ002"),VLOOKUP(B296,Premissas!$A$11:$B$28,2,FALSE))</f>
        <v>FRQ011</v>
      </c>
      <c r="P296" t="str">
        <f t="shared" si="16"/>
        <v>Própria</v>
      </c>
      <c r="Q296" s="10">
        <f>VLOOKUP(E296,Premissas!$A$32:$B$35,2,FALSE)</f>
        <v>938</v>
      </c>
      <c r="R296" s="10">
        <f>Q296*(1-Premissas!$B$5)</f>
        <v>745.24099999999999</v>
      </c>
      <c r="S296">
        <f t="shared" si="17"/>
        <v>1</v>
      </c>
      <c r="T296" t="str">
        <f t="shared" si="18"/>
        <v>1. Fechar (lead ativo em Reunião/Proposta)</v>
      </c>
      <c r="U296">
        <f t="shared" si="19"/>
        <v>1</v>
      </c>
      <c r="V296" t="s">
        <v>221</v>
      </c>
      <c r="W296" t="s">
        <v>232</v>
      </c>
      <c r="X296" s="13">
        <v>0.2402</v>
      </c>
    </row>
    <row r="297" spans="1:24" x14ac:dyDescent="0.25">
      <c r="A297" t="s">
        <v>565</v>
      </c>
      <c r="B297" t="s">
        <v>59</v>
      </c>
      <c r="C297" t="s">
        <v>261</v>
      </c>
      <c r="D297" t="s">
        <v>107</v>
      </c>
      <c r="E297" t="s">
        <v>75</v>
      </c>
      <c r="F297">
        <v>16</v>
      </c>
      <c r="G297" t="s">
        <v>196</v>
      </c>
      <c r="H297" t="s">
        <v>197</v>
      </c>
      <c r="I297" t="s">
        <v>205</v>
      </c>
      <c r="J297">
        <v>0</v>
      </c>
      <c r="K297">
        <v>0</v>
      </c>
      <c r="L297">
        <v>0</v>
      </c>
      <c r="M297" s="8">
        <v>2</v>
      </c>
      <c r="N297" t="s">
        <v>212</v>
      </c>
      <c r="O297" t="str">
        <f>IF(B297="SP",IF(C297="São Paulo","FRQ001","FRQ002"),VLOOKUP(B297,Premissas!$A$11:$B$28,2,FALSE))</f>
        <v>FRQ003</v>
      </c>
      <c r="P297" t="str">
        <f t="shared" si="16"/>
        <v>Própria</v>
      </c>
      <c r="Q297" s="10">
        <f>VLOOKUP(E297,Premissas!$A$32:$B$35,2,FALSE)</f>
        <v>938</v>
      </c>
      <c r="R297" s="10">
        <f>Q297*(1-Premissas!$B$5)</f>
        <v>745.24099999999999</v>
      </c>
      <c r="S297">
        <f t="shared" si="17"/>
        <v>5</v>
      </c>
      <c r="T297" t="str">
        <f t="shared" si="18"/>
        <v>5. Régua automatizada</v>
      </c>
      <c r="U297">
        <f t="shared" si="19"/>
        <v>31</v>
      </c>
      <c r="V297" t="s">
        <v>213</v>
      </c>
      <c r="W297" t="s">
        <v>207</v>
      </c>
      <c r="X297" s="13">
        <v>0.24440000000000001</v>
      </c>
    </row>
    <row r="298" spans="1:24" x14ac:dyDescent="0.25">
      <c r="A298" t="s">
        <v>566</v>
      </c>
      <c r="B298" t="s">
        <v>42</v>
      </c>
      <c r="C298" t="s">
        <v>288</v>
      </c>
      <c r="D298" t="s">
        <v>107</v>
      </c>
      <c r="E298" t="s">
        <v>75</v>
      </c>
      <c r="F298">
        <v>10</v>
      </c>
      <c r="G298" t="s">
        <v>219</v>
      </c>
      <c r="H298" t="s">
        <v>197</v>
      </c>
      <c r="I298" t="s">
        <v>205</v>
      </c>
      <c r="J298">
        <v>0</v>
      </c>
      <c r="K298">
        <v>1</v>
      </c>
      <c r="L298">
        <v>0</v>
      </c>
      <c r="M298" s="8">
        <v>1</v>
      </c>
      <c r="N298" t="s">
        <v>212</v>
      </c>
      <c r="O298" t="str">
        <f>IF(B298="SP",IF(C298="São Paulo","FRQ001","FRQ002"),VLOOKUP(B298,Premissas!$A$11:$B$28,2,FALSE))</f>
        <v>FRQ015</v>
      </c>
      <c r="P298" t="str">
        <f t="shared" si="16"/>
        <v>Própria</v>
      </c>
      <c r="Q298" s="10">
        <f>VLOOKUP(E298,Premissas!$A$32:$B$35,2,FALSE)</f>
        <v>938</v>
      </c>
      <c r="R298" s="10">
        <f>Q298*(1-Premissas!$B$5)</f>
        <v>745.24099999999999</v>
      </c>
      <c r="S298">
        <f t="shared" si="17"/>
        <v>3</v>
      </c>
      <c r="T298" t="str">
        <f t="shared" si="18"/>
        <v>3. Requalificar ou encerrar lead parado</v>
      </c>
      <c r="U298">
        <f t="shared" si="19"/>
        <v>3</v>
      </c>
      <c r="V298" t="s">
        <v>221</v>
      </c>
      <c r="W298" t="s">
        <v>207</v>
      </c>
      <c r="X298" s="13">
        <v>0.1779</v>
      </c>
    </row>
    <row r="299" spans="1:24" x14ac:dyDescent="0.25">
      <c r="A299" t="s">
        <v>567</v>
      </c>
      <c r="B299" t="s">
        <v>66</v>
      </c>
      <c r="C299" t="s">
        <v>234</v>
      </c>
      <c r="D299" t="s">
        <v>107</v>
      </c>
      <c r="E299" t="s">
        <v>75</v>
      </c>
      <c r="F299">
        <v>22</v>
      </c>
      <c r="G299" t="s">
        <v>219</v>
      </c>
      <c r="H299" t="s">
        <v>211</v>
      </c>
      <c r="I299" t="s">
        <v>205</v>
      </c>
      <c r="J299">
        <v>0</v>
      </c>
      <c r="K299">
        <v>0</v>
      </c>
      <c r="L299">
        <v>0</v>
      </c>
      <c r="M299" s="8">
        <v>2</v>
      </c>
      <c r="N299" t="s">
        <v>212</v>
      </c>
      <c r="O299" t="str">
        <f>IF(B299="SP",IF(C299="São Paulo","FRQ001","FRQ002"),VLOOKUP(B299,Premissas!$A$11:$B$28,2,FALSE))</f>
        <v>FRQ002</v>
      </c>
      <c r="P299" t="str">
        <f t="shared" si="16"/>
        <v>Própria</v>
      </c>
      <c r="Q299" s="10">
        <f>VLOOKUP(E299,Premissas!$A$32:$B$35,2,FALSE)</f>
        <v>938</v>
      </c>
      <c r="R299" s="10">
        <f>Q299*(1-Premissas!$B$5)</f>
        <v>745.24099999999999</v>
      </c>
      <c r="S299">
        <f t="shared" si="17"/>
        <v>5</v>
      </c>
      <c r="T299" t="str">
        <f t="shared" si="18"/>
        <v>5. Régua automatizada</v>
      </c>
      <c r="U299">
        <f t="shared" si="19"/>
        <v>26</v>
      </c>
      <c r="V299" t="s">
        <v>213</v>
      </c>
      <c r="W299" t="s">
        <v>207</v>
      </c>
      <c r="X299" s="13">
        <v>0.1394</v>
      </c>
    </row>
    <row r="300" spans="1:24" x14ac:dyDescent="0.25">
      <c r="A300" t="s">
        <v>568</v>
      </c>
      <c r="B300" t="s">
        <v>36</v>
      </c>
      <c r="C300" t="s">
        <v>322</v>
      </c>
      <c r="D300" t="s">
        <v>120</v>
      </c>
      <c r="E300" t="s">
        <v>75</v>
      </c>
      <c r="F300">
        <v>22</v>
      </c>
      <c r="G300" t="s">
        <v>196</v>
      </c>
      <c r="H300" t="s">
        <v>211</v>
      </c>
      <c r="I300" t="s">
        <v>205</v>
      </c>
      <c r="J300">
        <v>0</v>
      </c>
      <c r="K300">
        <v>0</v>
      </c>
      <c r="L300">
        <v>0</v>
      </c>
      <c r="M300" s="8">
        <v>2</v>
      </c>
      <c r="N300" t="s">
        <v>212</v>
      </c>
      <c r="O300" t="str">
        <f>IF(B300="SP",IF(C300="São Paulo","FRQ001","FRQ002"),VLOOKUP(B300,Premissas!$A$11:$B$28,2,FALSE))</f>
        <v>FRQ010</v>
      </c>
      <c r="P300" t="str">
        <f t="shared" si="16"/>
        <v>Própria</v>
      </c>
      <c r="Q300" s="10">
        <f>VLOOKUP(E300,Premissas!$A$32:$B$35,2,FALSE)</f>
        <v>938</v>
      </c>
      <c r="R300" s="10">
        <f>Q300*(1-Premissas!$B$5)</f>
        <v>745.24099999999999</v>
      </c>
      <c r="S300">
        <f t="shared" si="17"/>
        <v>5</v>
      </c>
      <c r="T300" t="str">
        <f t="shared" si="18"/>
        <v>5. Régua automatizada</v>
      </c>
      <c r="U300">
        <f t="shared" si="19"/>
        <v>10</v>
      </c>
      <c r="V300" t="s">
        <v>213</v>
      </c>
      <c r="W300" t="s">
        <v>207</v>
      </c>
      <c r="X300" s="13">
        <v>0.20569999999999999</v>
      </c>
    </row>
    <row r="301" spans="1:24" x14ac:dyDescent="0.25">
      <c r="A301" t="s">
        <v>569</v>
      </c>
      <c r="B301" t="s">
        <v>66</v>
      </c>
      <c r="C301" t="s">
        <v>215</v>
      </c>
      <c r="D301" t="s">
        <v>107</v>
      </c>
      <c r="E301" t="s">
        <v>72</v>
      </c>
      <c r="F301">
        <v>56</v>
      </c>
      <c r="G301" t="s">
        <v>196</v>
      </c>
      <c r="H301" t="s">
        <v>211</v>
      </c>
      <c r="I301" t="s">
        <v>205</v>
      </c>
      <c r="J301">
        <v>0</v>
      </c>
      <c r="K301">
        <v>0</v>
      </c>
      <c r="L301">
        <v>0</v>
      </c>
      <c r="M301" s="8">
        <v>3</v>
      </c>
      <c r="N301" t="s">
        <v>206</v>
      </c>
      <c r="O301" t="str">
        <f>IF(B301="SP",IF(C301="São Paulo","FRQ001","FRQ002"),VLOOKUP(B301,Premissas!$A$11:$B$28,2,FALSE))</f>
        <v>FRQ002</v>
      </c>
      <c r="P301" t="str">
        <f t="shared" si="16"/>
        <v>Própria</v>
      </c>
      <c r="Q301" s="10">
        <f>VLOOKUP(E301,Premissas!$A$32:$B$35,2,FALSE)</f>
        <v>1121</v>
      </c>
      <c r="R301" s="10">
        <f>Q301*(1-Premissas!$B$5)</f>
        <v>890.6345</v>
      </c>
      <c r="S301">
        <f t="shared" si="17"/>
        <v>4</v>
      </c>
      <c r="T301" t="str">
        <f t="shared" si="18"/>
        <v>4. Nutrir (marketing/inbound)</v>
      </c>
      <c r="U301">
        <f t="shared" si="19"/>
        <v>9</v>
      </c>
      <c r="V301" t="s">
        <v>200</v>
      </c>
      <c r="W301" t="s">
        <v>207</v>
      </c>
      <c r="X301" s="13">
        <v>0.40600000000000003</v>
      </c>
    </row>
    <row r="302" spans="1:24" x14ac:dyDescent="0.25">
      <c r="A302" t="s">
        <v>570</v>
      </c>
      <c r="B302" t="s">
        <v>40</v>
      </c>
      <c r="C302" t="s">
        <v>351</v>
      </c>
      <c r="D302" t="s">
        <v>117</v>
      </c>
      <c r="E302" t="s">
        <v>75</v>
      </c>
      <c r="F302">
        <v>3</v>
      </c>
      <c r="G302" t="s">
        <v>196</v>
      </c>
      <c r="H302" t="s">
        <v>247</v>
      </c>
      <c r="I302" t="s">
        <v>205</v>
      </c>
      <c r="J302">
        <v>0</v>
      </c>
      <c r="K302">
        <v>0</v>
      </c>
      <c r="L302">
        <v>0</v>
      </c>
      <c r="M302" s="8">
        <v>1</v>
      </c>
      <c r="N302" t="s">
        <v>212</v>
      </c>
      <c r="O302" t="str">
        <f>IF(B302="SP",IF(C302="São Paulo","FRQ001","FRQ002"),VLOOKUP(B302,Premissas!$A$11:$B$28,2,FALSE))</f>
        <v>FRQ008</v>
      </c>
      <c r="P302" t="str">
        <f t="shared" si="16"/>
        <v>Própria</v>
      </c>
      <c r="Q302" s="10">
        <f>VLOOKUP(E302,Premissas!$A$32:$B$35,2,FALSE)</f>
        <v>938</v>
      </c>
      <c r="R302" s="10">
        <f>Q302*(1-Premissas!$B$5)</f>
        <v>745.24099999999999</v>
      </c>
      <c r="S302">
        <f t="shared" si="17"/>
        <v>5</v>
      </c>
      <c r="T302" t="str">
        <f t="shared" si="18"/>
        <v>5. Régua automatizada</v>
      </c>
      <c r="U302">
        <f t="shared" si="19"/>
        <v>6</v>
      </c>
      <c r="V302" t="s">
        <v>221</v>
      </c>
      <c r="W302" t="s">
        <v>207</v>
      </c>
      <c r="X302" s="13">
        <v>0.24440000000000001</v>
      </c>
    </row>
    <row r="303" spans="1:24" x14ac:dyDescent="0.25">
      <c r="A303" t="s">
        <v>571</v>
      </c>
      <c r="B303" t="s">
        <v>49</v>
      </c>
      <c r="C303" t="s">
        <v>253</v>
      </c>
      <c r="D303" t="s">
        <v>107</v>
      </c>
      <c r="E303" t="s">
        <v>75</v>
      </c>
      <c r="F303">
        <v>23</v>
      </c>
      <c r="G303" t="s">
        <v>219</v>
      </c>
      <c r="H303" t="s">
        <v>226</v>
      </c>
      <c r="I303" t="s">
        <v>205</v>
      </c>
      <c r="J303">
        <v>0</v>
      </c>
      <c r="K303">
        <v>0</v>
      </c>
      <c r="L303">
        <v>0</v>
      </c>
      <c r="M303" s="8">
        <v>2</v>
      </c>
      <c r="N303" t="s">
        <v>212</v>
      </c>
      <c r="O303" t="str">
        <f>IF(B303="SP",IF(C303="São Paulo","FRQ001","FRQ002"),VLOOKUP(B303,Premissas!$A$11:$B$28,2,FALSE))</f>
        <v>FRQ004</v>
      </c>
      <c r="P303" t="str">
        <f t="shared" si="16"/>
        <v>Própria</v>
      </c>
      <c r="Q303" s="10">
        <f>VLOOKUP(E303,Premissas!$A$32:$B$35,2,FALSE)</f>
        <v>938</v>
      </c>
      <c r="R303" s="10">
        <f>Q303*(1-Premissas!$B$5)</f>
        <v>745.24099999999999</v>
      </c>
      <c r="S303">
        <f t="shared" si="17"/>
        <v>5</v>
      </c>
      <c r="T303" t="str">
        <f t="shared" si="18"/>
        <v>5. Régua automatizada</v>
      </c>
      <c r="U303">
        <f t="shared" si="19"/>
        <v>20</v>
      </c>
      <c r="V303" t="s">
        <v>213</v>
      </c>
      <c r="W303" t="s">
        <v>207</v>
      </c>
      <c r="X303" s="13">
        <v>0.1394</v>
      </c>
    </row>
    <row r="304" spans="1:24" x14ac:dyDescent="0.25">
      <c r="A304" t="s">
        <v>572</v>
      </c>
      <c r="B304" t="s">
        <v>55</v>
      </c>
      <c r="C304" t="s">
        <v>333</v>
      </c>
      <c r="D304" t="s">
        <v>120</v>
      </c>
      <c r="E304" t="s">
        <v>72</v>
      </c>
      <c r="F304">
        <v>49</v>
      </c>
      <c r="G304" t="s">
        <v>196</v>
      </c>
      <c r="H304" t="s">
        <v>211</v>
      </c>
      <c r="I304" t="s">
        <v>205</v>
      </c>
      <c r="J304">
        <v>0</v>
      </c>
      <c r="K304">
        <v>0</v>
      </c>
      <c r="L304">
        <v>0</v>
      </c>
      <c r="M304" s="8">
        <v>3</v>
      </c>
      <c r="N304" t="s">
        <v>206</v>
      </c>
      <c r="O304" t="str">
        <f>IF(B304="SP",IF(C304="São Paulo","FRQ001","FRQ002"),VLOOKUP(B304,Premissas!$A$11:$B$28,2,FALSE))</f>
        <v>FRQ011</v>
      </c>
      <c r="P304" t="str">
        <f t="shared" si="16"/>
        <v>Própria</v>
      </c>
      <c r="Q304" s="10">
        <f>VLOOKUP(E304,Premissas!$A$32:$B$35,2,FALSE)</f>
        <v>1121</v>
      </c>
      <c r="R304" s="10">
        <f>Q304*(1-Premissas!$B$5)</f>
        <v>890.6345</v>
      </c>
      <c r="S304">
        <f t="shared" si="17"/>
        <v>4</v>
      </c>
      <c r="T304" t="str">
        <f t="shared" si="18"/>
        <v>4. Nutrir (marketing/inbound)</v>
      </c>
      <c r="U304">
        <f t="shared" si="19"/>
        <v>7</v>
      </c>
      <c r="V304" t="s">
        <v>200</v>
      </c>
      <c r="W304" t="s">
        <v>207</v>
      </c>
      <c r="X304" s="13">
        <v>0.373</v>
      </c>
    </row>
  </sheetData>
  <autoFilter ref="A1:X30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"/>
  <sheetViews>
    <sheetView workbookViewId="0"/>
  </sheetViews>
  <sheetFormatPr defaultRowHeight="15" x14ac:dyDescent="0.25"/>
  <cols>
    <col min="1" max="1" width="22" customWidth="1"/>
    <col min="2" max="2" width="40" customWidth="1"/>
    <col min="3" max="3" width="38" customWidth="1"/>
    <col min="4" max="4" width="26" customWidth="1"/>
    <col min="5" max="5" width="30" customWidth="1"/>
    <col min="6" max="6" width="11" customWidth="1"/>
    <col min="7" max="7" width="16" customWidth="1"/>
    <col min="8" max="8" width="10" customWidth="1"/>
    <col min="9" max="9" width="13" customWidth="1"/>
    <col min="10" max="10" width="18" customWidth="1"/>
    <col min="11" max="12" width="8" customWidth="1"/>
  </cols>
  <sheetData>
    <row r="1" spans="1:12" ht="18.75" x14ac:dyDescent="0.3">
      <c r="A1" s="4" t="s">
        <v>573</v>
      </c>
    </row>
    <row r="2" spans="1:12" x14ac:dyDescent="0.25">
      <c r="A2" t="s">
        <v>574</v>
      </c>
    </row>
    <row r="4" spans="1:12" ht="30" x14ac:dyDescent="0.25">
      <c r="A4" s="5" t="s">
        <v>188</v>
      </c>
      <c r="B4" s="5" t="s">
        <v>575</v>
      </c>
      <c r="C4" s="5" t="s">
        <v>576</v>
      </c>
      <c r="D4" s="5" t="s">
        <v>577</v>
      </c>
      <c r="E4" s="5" t="s">
        <v>578</v>
      </c>
      <c r="F4" s="5" t="s">
        <v>579</v>
      </c>
      <c r="G4" s="5" t="s">
        <v>187</v>
      </c>
    </row>
    <row r="5" spans="1:12" ht="45" customHeight="1" x14ac:dyDescent="0.25">
      <c r="A5" s="2" t="s">
        <v>580</v>
      </c>
      <c r="B5" s="2" t="s">
        <v>581</v>
      </c>
      <c r="C5" s="2" t="s">
        <v>582</v>
      </c>
      <c r="D5" s="2" t="s">
        <v>583</v>
      </c>
      <c r="E5" s="2" t="s">
        <v>584</v>
      </c>
      <c r="F5">
        <f>COUNTIF(Priorizacao!$S$2:$S$304,1)</f>
        <v>15</v>
      </c>
      <c r="G5" s="10">
        <f>SUMIF(Priorizacao!$S$2:$S$304,1,Priorizacao!$R$2:$R$304)</f>
        <v>11760.189</v>
      </c>
    </row>
    <row r="6" spans="1:12" ht="45" customHeight="1" x14ac:dyDescent="0.25">
      <c r="A6" s="2" t="s">
        <v>585</v>
      </c>
      <c r="B6" s="2" t="s">
        <v>586</v>
      </c>
      <c r="C6" s="2" t="s">
        <v>587</v>
      </c>
      <c r="D6" s="2" t="s">
        <v>588</v>
      </c>
      <c r="E6" s="2" t="s">
        <v>589</v>
      </c>
      <c r="F6">
        <f>COUNTIF(Priorizacao!$S$2:$S$304,2)</f>
        <v>13</v>
      </c>
      <c r="G6" s="10">
        <f>SUMIF(Priorizacao!$S$2:$S$304,2,Priorizacao!$R$2:$R$304)</f>
        <v>11432.855</v>
      </c>
    </row>
    <row r="7" spans="1:12" ht="45" customHeight="1" x14ac:dyDescent="0.25">
      <c r="A7" s="2" t="s">
        <v>590</v>
      </c>
      <c r="B7" s="2" t="s">
        <v>591</v>
      </c>
      <c r="C7" s="2" t="s">
        <v>592</v>
      </c>
      <c r="D7" s="2" t="s">
        <v>593</v>
      </c>
      <c r="E7" s="2" t="s">
        <v>594</v>
      </c>
      <c r="F7">
        <f>COUNTIF(Priorizacao!$S$2:$S$304,3)</f>
        <v>54</v>
      </c>
      <c r="G7" s="10">
        <f>SUMIF(Priorizacao!$S$2:$S$304,3,Priorizacao!$R$2:$R$304)</f>
        <v>43477.423500000034</v>
      </c>
    </row>
    <row r="8" spans="1:12" ht="45" customHeight="1" x14ac:dyDescent="0.25">
      <c r="A8" s="2" t="s">
        <v>595</v>
      </c>
      <c r="B8" s="2" t="s">
        <v>596</v>
      </c>
      <c r="C8" s="2" t="s">
        <v>597</v>
      </c>
      <c r="D8" s="2" t="s">
        <v>598</v>
      </c>
      <c r="E8" s="2" t="s">
        <v>599</v>
      </c>
      <c r="F8">
        <f>COUNTIF(Priorizacao!$S$2:$S$304,4)</f>
        <v>66</v>
      </c>
      <c r="G8" s="10">
        <f>SUMIF(Priorizacao!$S$2:$S$304,4,Priorizacao!$R$2:$R$304)</f>
        <v>57709.302000000011</v>
      </c>
    </row>
    <row r="9" spans="1:12" ht="45" customHeight="1" x14ac:dyDescent="0.25">
      <c r="A9" s="2" t="s">
        <v>600</v>
      </c>
      <c r="B9" s="2" t="s">
        <v>601</v>
      </c>
      <c r="C9" s="2" t="s">
        <v>602</v>
      </c>
      <c r="D9" s="2" t="s">
        <v>603</v>
      </c>
      <c r="E9" s="2" t="s">
        <v>604</v>
      </c>
      <c r="F9">
        <f>COUNTIF(Priorizacao!$S$2:$S$304,5)</f>
        <v>155</v>
      </c>
      <c r="G9" s="10">
        <f>SUMIF(Priorizacao!$S$2:$S$304,5,Priorizacao!$R$2:$R$304)</f>
        <v>116820.89649999977</v>
      </c>
    </row>
    <row r="10" spans="1:12" x14ac:dyDescent="0.25">
      <c r="E10" t="s">
        <v>154</v>
      </c>
      <c r="F10">
        <f>SUM(F5:F9)</f>
        <v>303</v>
      </c>
      <c r="G10" s="10">
        <f>SUM(G5:G9)</f>
        <v>241200.66599999979</v>
      </c>
    </row>
    <row r="13" spans="1:12" x14ac:dyDescent="0.25">
      <c r="A13" s="9" t="s">
        <v>605</v>
      </c>
    </row>
    <row r="14" spans="1:12" ht="45" customHeight="1" x14ac:dyDescent="0.25">
      <c r="A14" s="5" t="s">
        <v>78</v>
      </c>
      <c r="B14" s="5" t="s">
        <v>31</v>
      </c>
      <c r="C14" s="5" t="s">
        <v>149</v>
      </c>
      <c r="D14" s="5" t="s">
        <v>606</v>
      </c>
      <c r="E14" s="5" t="s">
        <v>607</v>
      </c>
      <c r="F14" s="5" t="s">
        <v>608</v>
      </c>
      <c r="G14" s="5" t="s">
        <v>609</v>
      </c>
      <c r="H14" s="5" t="s">
        <v>610</v>
      </c>
      <c r="I14" s="5" t="s">
        <v>611</v>
      </c>
      <c r="J14" s="5" t="s">
        <v>612</v>
      </c>
      <c r="K14" s="5" t="s">
        <v>613</v>
      </c>
      <c r="L14" s="5" t="s">
        <v>614</v>
      </c>
    </row>
    <row r="15" spans="1:12" x14ac:dyDescent="0.25">
      <c r="A15" t="str">
        <f>Gap_Meta!A5</f>
        <v>FRQ001</v>
      </c>
      <c r="B15" t="str">
        <f>Gap_Meta!B5</f>
        <v>Franquia SP Capital</v>
      </c>
      <c r="C15">
        <f>Gap_Meta!F5</f>
        <v>6</v>
      </c>
      <c r="D15" s="8">
        <f>C15*Premissas!$B$4</f>
        <v>99</v>
      </c>
      <c r="E15">
        <f>COUNTIFS(Priorizacao!$O$2:$O$304,$A15,Priorizacao!$S$2:$S$304,1)</f>
        <v>0</v>
      </c>
      <c r="F15">
        <f>COUNTIFS(Priorizacao!$O$2:$O$304,$A15,Priorizacao!$S$2:$S$304,2)</f>
        <v>0</v>
      </c>
      <c r="G15">
        <f>COUNTIFS(Priorizacao!$O$2:$O$304,$A15,Priorizacao!$S$2:$S$304,3)</f>
        <v>2</v>
      </c>
      <c r="H15">
        <f t="shared" ref="H15:H29" si="0">SUM(E15:G15)</f>
        <v>2</v>
      </c>
      <c r="I15" s="13">
        <f t="shared" ref="I15:I29" si="1">H15/D15</f>
        <v>2.0202020202020204E-2</v>
      </c>
      <c r="J15" s="10">
        <f>SUMIFS(Priorizacao!$R$2:$R$304,Priorizacao!$O$2:$O$304,$A15,Priorizacao!$S$2:$S$304,1)+SUMIFS(Priorizacao!$R$2:$R$304,Priorizacao!$O$2:$O$304,$A15,Priorizacao!$S$2:$S$304,2)</f>
        <v>0</v>
      </c>
      <c r="K15">
        <f>COUNTIFS(Priorizacao!$O$2:$O$304,$A15,Priorizacao!$S$2:$S$304,4)</f>
        <v>0</v>
      </c>
      <c r="L15">
        <f>COUNTIFS(Priorizacao!$O$2:$O$304,$A15,Priorizacao!$S$2:$S$304,5)</f>
        <v>4</v>
      </c>
    </row>
    <row r="16" spans="1:12" x14ac:dyDescent="0.25">
      <c r="A16" t="str">
        <f>Gap_Meta!A6</f>
        <v>FRQ002</v>
      </c>
      <c r="B16" t="str">
        <f>Gap_Meta!B6</f>
        <v>Franquia SP Interior</v>
      </c>
      <c r="C16">
        <f>Gap_Meta!F6</f>
        <v>4</v>
      </c>
      <c r="D16" s="8">
        <f>C16*Premissas!$B$4</f>
        <v>66</v>
      </c>
      <c r="E16">
        <f>COUNTIFS(Priorizacao!$O$2:$O$304,$A16,Priorizacao!$S$2:$S$304,1)</f>
        <v>3</v>
      </c>
      <c r="F16">
        <f>COUNTIFS(Priorizacao!$O$2:$O$304,$A16,Priorizacao!$S$2:$S$304,2)</f>
        <v>0</v>
      </c>
      <c r="G16">
        <f>COUNTIFS(Priorizacao!$O$2:$O$304,$A16,Priorizacao!$S$2:$S$304,3)</f>
        <v>5</v>
      </c>
      <c r="H16">
        <f t="shared" si="0"/>
        <v>8</v>
      </c>
      <c r="I16" s="13">
        <f t="shared" si="1"/>
        <v>0.12121212121212122</v>
      </c>
      <c r="J16" s="10">
        <f>SUMIFS(Priorizacao!$R$2:$R$304,Priorizacao!$O$2:$O$304,$A16,Priorizacao!$S$2:$S$304,1)+SUMIFS(Priorizacao!$R$2:$R$304,Priorizacao!$O$2:$O$304,$A16,Priorizacao!$S$2:$S$304,2)</f>
        <v>2526.5100000000002</v>
      </c>
      <c r="K16">
        <f>COUNTIFS(Priorizacao!$O$2:$O$304,$A16,Priorizacao!$S$2:$S$304,4)</f>
        <v>13</v>
      </c>
      <c r="L16">
        <f>COUNTIFS(Priorizacao!$O$2:$O$304,$A16,Priorizacao!$S$2:$S$304,5)</f>
        <v>31</v>
      </c>
    </row>
    <row r="17" spans="1:12" x14ac:dyDescent="0.25">
      <c r="A17" t="str">
        <f>Gap_Meta!A7</f>
        <v>FRQ003</v>
      </c>
      <c r="B17" t="str">
        <f>Gap_Meta!B7</f>
        <v>Franquia RJ</v>
      </c>
      <c r="C17">
        <f>Gap_Meta!F7</f>
        <v>5</v>
      </c>
      <c r="D17" s="8">
        <f>C17*Premissas!$B$4</f>
        <v>82.5</v>
      </c>
      <c r="E17">
        <f>COUNTIFS(Priorizacao!$O$2:$O$304,$A17,Priorizacao!$S$2:$S$304,1)</f>
        <v>4</v>
      </c>
      <c r="F17">
        <f>COUNTIFS(Priorizacao!$O$2:$O$304,$A17,Priorizacao!$S$2:$S$304,2)</f>
        <v>4</v>
      </c>
      <c r="G17">
        <f>COUNTIFS(Priorizacao!$O$2:$O$304,$A17,Priorizacao!$S$2:$S$304,3)</f>
        <v>5</v>
      </c>
      <c r="H17">
        <f t="shared" si="0"/>
        <v>13</v>
      </c>
      <c r="I17" s="13">
        <f t="shared" si="1"/>
        <v>0.15757575757575756</v>
      </c>
      <c r="J17" s="10">
        <f>SUMIFS(Priorizacao!$R$2:$R$304,Priorizacao!$O$2:$O$304,$A17,Priorizacao!$S$2:$S$304,1)+SUMIFS(Priorizacao!$R$2:$R$304,Priorizacao!$O$2:$O$304,$A17,Priorizacao!$S$2:$S$304,2)</f>
        <v>6543.5020000000004</v>
      </c>
      <c r="K17">
        <f>COUNTIFS(Priorizacao!$O$2:$O$304,$A17,Priorizacao!$S$2:$S$304,4)</f>
        <v>17</v>
      </c>
      <c r="L17">
        <f>COUNTIFS(Priorizacao!$O$2:$O$304,$A17,Priorizacao!$S$2:$S$304,5)</f>
        <v>23</v>
      </c>
    </row>
    <row r="18" spans="1:12" x14ac:dyDescent="0.25">
      <c r="A18" t="str">
        <f>Gap_Meta!A8</f>
        <v>FRQ004</v>
      </c>
      <c r="B18" t="str">
        <f>Gap_Meta!B8</f>
        <v>Franquia MG</v>
      </c>
      <c r="C18">
        <f>Gap_Meta!F8</f>
        <v>3</v>
      </c>
      <c r="D18" s="8">
        <f>C18*Premissas!$B$4</f>
        <v>49.5</v>
      </c>
      <c r="E18">
        <f>COUNTIFS(Priorizacao!$O$2:$O$304,$A18,Priorizacao!$S$2:$S$304,1)</f>
        <v>2</v>
      </c>
      <c r="F18">
        <f>COUNTIFS(Priorizacao!$O$2:$O$304,$A18,Priorizacao!$S$2:$S$304,2)</f>
        <v>1</v>
      </c>
      <c r="G18">
        <f>COUNTIFS(Priorizacao!$O$2:$O$304,$A18,Priorizacao!$S$2:$S$304,3)</f>
        <v>6</v>
      </c>
      <c r="H18">
        <f t="shared" si="0"/>
        <v>9</v>
      </c>
      <c r="I18" s="13">
        <f t="shared" si="1"/>
        <v>0.18181818181818182</v>
      </c>
      <c r="J18" s="10">
        <f>SUMIFS(Priorizacao!$R$2:$R$304,Priorizacao!$O$2:$O$304,$A18,Priorizacao!$S$2:$S$304,1)+SUMIFS(Priorizacao!$R$2:$R$304,Priorizacao!$O$2:$O$304,$A18,Priorizacao!$S$2:$S$304,2)</f>
        <v>2526.5100000000002</v>
      </c>
      <c r="K18">
        <f>COUNTIFS(Priorizacao!$O$2:$O$304,$A18,Priorizacao!$S$2:$S$304,4)</f>
        <v>9</v>
      </c>
      <c r="L18">
        <f>COUNTIFS(Priorizacao!$O$2:$O$304,$A18,Priorizacao!$S$2:$S$304,5)</f>
        <v>14</v>
      </c>
    </row>
    <row r="19" spans="1:12" x14ac:dyDescent="0.25">
      <c r="A19" t="str">
        <f>Gap_Meta!A9</f>
        <v>FRQ005</v>
      </c>
      <c r="B19" t="str">
        <f>Gap_Meta!B9</f>
        <v>Franquia PR</v>
      </c>
      <c r="C19">
        <f>Gap_Meta!F9</f>
        <v>5</v>
      </c>
      <c r="D19" s="8">
        <f>C19*Premissas!$B$4</f>
        <v>82.5</v>
      </c>
      <c r="E19">
        <f>COUNTIFS(Priorizacao!$O$2:$O$304,$A19,Priorizacao!$S$2:$S$304,1)</f>
        <v>2</v>
      </c>
      <c r="F19">
        <f>COUNTIFS(Priorizacao!$O$2:$O$304,$A19,Priorizacao!$S$2:$S$304,2)</f>
        <v>1</v>
      </c>
      <c r="G19">
        <f>COUNTIFS(Priorizacao!$O$2:$O$304,$A19,Priorizacao!$S$2:$S$304,3)</f>
        <v>3</v>
      </c>
      <c r="H19">
        <f t="shared" si="0"/>
        <v>6</v>
      </c>
      <c r="I19" s="13">
        <f t="shared" si="1"/>
        <v>7.2727272727272724E-2</v>
      </c>
      <c r="J19" s="10">
        <f>SUMIFS(Priorizacao!$R$2:$R$304,Priorizacao!$O$2:$O$304,$A19,Priorizacao!$S$2:$S$304,1)+SUMIFS(Priorizacao!$R$2:$R$304,Priorizacao!$O$2:$O$304,$A19,Priorizacao!$S$2:$S$304,2)</f>
        <v>2381.1165000000001</v>
      </c>
      <c r="K19">
        <f>COUNTIFS(Priorizacao!$O$2:$O$304,$A19,Priorizacao!$S$2:$S$304,4)</f>
        <v>1</v>
      </c>
      <c r="L19">
        <f>COUNTIFS(Priorizacao!$O$2:$O$304,$A19,Priorizacao!$S$2:$S$304,5)</f>
        <v>9</v>
      </c>
    </row>
    <row r="20" spans="1:12" x14ac:dyDescent="0.25">
      <c r="A20" t="str">
        <f>Gap_Meta!A10</f>
        <v>FRQ006</v>
      </c>
      <c r="B20" t="str">
        <f>Gap_Meta!B10</f>
        <v>Franquia SC</v>
      </c>
      <c r="C20">
        <f>Gap_Meta!F10</f>
        <v>3</v>
      </c>
      <c r="D20" s="8">
        <f>C20*Premissas!$B$4</f>
        <v>49.5</v>
      </c>
      <c r="E20">
        <f>COUNTIFS(Priorizacao!$O$2:$O$304,$A20,Priorizacao!$S$2:$S$304,1)</f>
        <v>1</v>
      </c>
      <c r="F20">
        <f>COUNTIFS(Priorizacao!$O$2:$O$304,$A20,Priorizacao!$S$2:$S$304,2)</f>
        <v>1</v>
      </c>
      <c r="G20">
        <f>COUNTIFS(Priorizacao!$O$2:$O$304,$A20,Priorizacao!$S$2:$S$304,3)</f>
        <v>2</v>
      </c>
      <c r="H20">
        <f t="shared" si="0"/>
        <v>4</v>
      </c>
      <c r="I20" s="13">
        <f t="shared" si="1"/>
        <v>8.0808080808080815E-2</v>
      </c>
      <c r="J20" s="10">
        <f>SUMIFS(Priorizacao!$R$2:$R$304,Priorizacao!$O$2:$O$304,$A20,Priorizacao!$S$2:$S$304,1)+SUMIFS(Priorizacao!$R$2:$R$304,Priorizacao!$O$2:$O$304,$A20,Priorizacao!$S$2:$S$304,2)</f>
        <v>1635.8755000000001</v>
      </c>
      <c r="K20">
        <f>COUNTIFS(Priorizacao!$O$2:$O$304,$A20,Priorizacao!$S$2:$S$304,4)</f>
        <v>1</v>
      </c>
      <c r="L20">
        <f>COUNTIFS(Priorizacao!$O$2:$O$304,$A20,Priorizacao!$S$2:$S$304,5)</f>
        <v>6</v>
      </c>
    </row>
    <row r="21" spans="1:12" x14ac:dyDescent="0.25">
      <c r="A21" t="str">
        <f>Gap_Meta!A11</f>
        <v>FRQ007</v>
      </c>
      <c r="B21" t="str">
        <f>Gap_Meta!B11</f>
        <v>Franquia RS</v>
      </c>
      <c r="C21">
        <f>Gap_Meta!F11</f>
        <v>4</v>
      </c>
      <c r="D21" s="8">
        <f>C21*Premissas!$B$4</f>
        <v>66</v>
      </c>
      <c r="E21">
        <f>COUNTIFS(Priorizacao!$O$2:$O$304,$A21,Priorizacao!$S$2:$S$304,1)</f>
        <v>1</v>
      </c>
      <c r="F21">
        <f>COUNTIFS(Priorizacao!$O$2:$O$304,$A21,Priorizacao!$S$2:$S$304,2)</f>
        <v>0</v>
      </c>
      <c r="G21">
        <f>COUNTIFS(Priorizacao!$O$2:$O$304,$A21,Priorizacao!$S$2:$S$304,3)</f>
        <v>2</v>
      </c>
      <c r="H21">
        <f t="shared" si="0"/>
        <v>3</v>
      </c>
      <c r="I21" s="13">
        <f t="shared" si="1"/>
        <v>4.5454545454545456E-2</v>
      </c>
      <c r="J21" s="10">
        <f>SUMIFS(Priorizacao!$R$2:$R$304,Priorizacao!$O$2:$O$304,$A21,Priorizacao!$S$2:$S$304,1)+SUMIFS(Priorizacao!$R$2:$R$304,Priorizacao!$O$2:$O$304,$A21,Priorizacao!$S$2:$S$304,2)</f>
        <v>745.24099999999999</v>
      </c>
      <c r="K21">
        <f>COUNTIFS(Priorizacao!$O$2:$O$304,$A21,Priorizacao!$S$2:$S$304,4)</f>
        <v>0</v>
      </c>
      <c r="L21">
        <f>COUNTIFS(Priorizacao!$O$2:$O$304,$A21,Priorizacao!$S$2:$S$304,5)</f>
        <v>10</v>
      </c>
    </row>
    <row r="22" spans="1:12" x14ac:dyDescent="0.25">
      <c r="A22" t="str">
        <f>Gap_Meta!A12</f>
        <v>FRQ008</v>
      </c>
      <c r="B22" t="str">
        <f>Gap_Meta!B12</f>
        <v>Franquia DF</v>
      </c>
      <c r="C22">
        <f>Gap_Meta!F12</f>
        <v>3</v>
      </c>
      <c r="D22" s="8">
        <f>C22*Premissas!$B$4</f>
        <v>49.5</v>
      </c>
      <c r="E22">
        <f>COUNTIFS(Priorizacao!$O$2:$O$304,$A22,Priorizacao!$S$2:$S$304,1)</f>
        <v>0</v>
      </c>
      <c r="F22">
        <f>COUNTIFS(Priorizacao!$O$2:$O$304,$A22,Priorizacao!$S$2:$S$304,2)</f>
        <v>0</v>
      </c>
      <c r="G22">
        <f>COUNTIFS(Priorizacao!$O$2:$O$304,$A22,Priorizacao!$S$2:$S$304,3)</f>
        <v>2</v>
      </c>
      <c r="H22">
        <f t="shared" si="0"/>
        <v>2</v>
      </c>
      <c r="I22" s="13">
        <f t="shared" si="1"/>
        <v>4.0404040404040407E-2</v>
      </c>
      <c r="J22" s="10">
        <f>SUMIFS(Priorizacao!$R$2:$R$304,Priorizacao!$O$2:$O$304,$A22,Priorizacao!$S$2:$S$304,1)+SUMIFS(Priorizacao!$R$2:$R$304,Priorizacao!$O$2:$O$304,$A22,Priorizacao!$S$2:$S$304,2)</f>
        <v>0</v>
      </c>
      <c r="K22">
        <f>COUNTIFS(Priorizacao!$O$2:$O$304,$A22,Priorizacao!$S$2:$S$304,4)</f>
        <v>3</v>
      </c>
      <c r="L22">
        <f>COUNTIFS(Priorizacao!$O$2:$O$304,$A22,Priorizacao!$S$2:$S$304,5)</f>
        <v>6</v>
      </c>
    </row>
    <row r="23" spans="1:12" x14ac:dyDescent="0.25">
      <c r="A23" t="str">
        <f>Gap_Meta!A13</f>
        <v>FRQ009</v>
      </c>
      <c r="B23" t="str">
        <f>Gap_Meta!B13</f>
        <v>Franquia GO</v>
      </c>
      <c r="C23">
        <f>Gap_Meta!F13</f>
        <v>2</v>
      </c>
      <c r="D23" s="8">
        <f>C23*Premissas!$B$4</f>
        <v>33</v>
      </c>
      <c r="E23">
        <f>COUNTIFS(Priorizacao!$O$2:$O$304,$A23,Priorizacao!$S$2:$S$304,1)</f>
        <v>0</v>
      </c>
      <c r="F23">
        <f>COUNTIFS(Priorizacao!$O$2:$O$304,$A23,Priorizacao!$S$2:$S$304,2)</f>
        <v>0</v>
      </c>
      <c r="G23">
        <f>COUNTIFS(Priorizacao!$O$2:$O$304,$A23,Priorizacao!$S$2:$S$304,3)</f>
        <v>3</v>
      </c>
      <c r="H23">
        <f t="shared" si="0"/>
        <v>3</v>
      </c>
      <c r="I23" s="13">
        <f t="shared" si="1"/>
        <v>9.0909090909090912E-2</v>
      </c>
      <c r="J23" s="10">
        <f>SUMIFS(Priorizacao!$R$2:$R$304,Priorizacao!$O$2:$O$304,$A23,Priorizacao!$S$2:$S$304,1)+SUMIFS(Priorizacao!$R$2:$R$304,Priorizacao!$O$2:$O$304,$A23,Priorizacao!$S$2:$S$304,2)</f>
        <v>0</v>
      </c>
      <c r="K23">
        <f>COUNTIFS(Priorizacao!$O$2:$O$304,$A23,Priorizacao!$S$2:$S$304,4)</f>
        <v>2</v>
      </c>
      <c r="L23">
        <f>COUNTIFS(Priorizacao!$O$2:$O$304,$A23,Priorizacao!$S$2:$S$304,5)</f>
        <v>6</v>
      </c>
    </row>
    <row r="24" spans="1:12" x14ac:dyDescent="0.25">
      <c r="A24" t="str">
        <f>Gap_Meta!A14</f>
        <v>FRQ010</v>
      </c>
      <c r="B24" t="str">
        <f>Gap_Meta!B14</f>
        <v>Franquia BA</v>
      </c>
      <c r="C24">
        <f>Gap_Meta!F14</f>
        <v>2</v>
      </c>
      <c r="D24" s="8">
        <f>C24*Premissas!$B$4</f>
        <v>33</v>
      </c>
      <c r="E24">
        <f>COUNTIFS(Priorizacao!$O$2:$O$304,$A24,Priorizacao!$S$2:$S$304,1)</f>
        <v>0</v>
      </c>
      <c r="F24">
        <f>COUNTIFS(Priorizacao!$O$2:$O$304,$A24,Priorizacao!$S$2:$S$304,2)</f>
        <v>1</v>
      </c>
      <c r="G24">
        <f>COUNTIFS(Priorizacao!$O$2:$O$304,$A24,Priorizacao!$S$2:$S$304,3)</f>
        <v>5</v>
      </c>
      <c r="H24">
        <f t="shared" si="0"/>
        <v>6</v>
      </c>
      <c r="I24" s="13">
        <f t="shared" si="1"/>
        <v>0.18181818181818182</v>
      </c>
      <c r="J24" s="10">
        <f>SUMIFS(Priorizacao!$R$2:$R$304,Priorizacao!$O$2:$O$304,$A24,Priorizacao!$S$2:$S$304,1)+SUMIFS(Priorizacao!$R$2:$R$304,Priorizacao!$O$2:$O$304,$A24,Priorizacao!$S$2:$S$304,2)</f>
        <v>890.6345</v>
      </c>
      <c r="K24">
        <f>COUNTIFS(Priorizacao!$O$2:$O$304,$A24,Priorizacao!$S$2:$S$304,4)</f>
        <v>3</v>
      </c>
      <c r="L24">
        <f>COUNTIFS(Priorizacao!$O$2:$O$304,$A24,Priorizacao!$S$2:$S$304,5)</f>
        <v>16</v>
      </c>
    </row>
    <row r="25" spans="1:12" x14ac:dyDescent="0.25">
      <c r="A25" t="str">
        <f>Gap_Meta!A15</f>
        <v>FRQ011</v>
      </c>
      <c r="B25" t="str">
        <f>Gap_Meta!B15</f>
        <v>Franquia PE</v>
      </c>
      <c r="C25">
        <f>Gap_Meta!F15</f>
        <v>2</v>
      </c>
      <c r="D25" s="8">
        <f>C25*Premissas!$B$4</f>
        <v>33</v>
      </c>
      <c r="E25">
        <f>COUNTIFS(Priorizacao!$O$2:$O$304,$A25,Priorizacao!$S$2:$S$304,1)</f>
        <v>1</v>
      </c>
      <c r="F25">
        <f>COUNTIFS(Priorizacao!$O$2:$O$304,$A25,Priorizacao!$S$2:$S$304,2)</f>
        <v>1</v>
      </c>
      <c r="G25">
        <f>COUNTIFS(Priorizacao!$O$2:$O$304,$A25,Priorizacao!$S$2:$S$304,3)</f>
        <v>4</v>
      </c>
      <c r="H25">
        <f t="shared" si="0"/>
        <v>6</v>
      </c>
      <c r="I25" s="13">
        <f t="shared" si="1"/>
        <v>0.18181818181818182</v>
      </c>
      <c r="J25" s="10">
        <f>SUMIFS(Priorizacao!$R$2:$R$304,Priorizacao!$O$2:$O$304,$A25,Priorizacao!$S$2:$S$304,1)+SUMIFS(Priorizacao!$R$2:$R$304,Priorizacao!$O$2:$O$304,$A25,Priorizacao!$S$2:$S$304,2)</f>
        <v>1635.8755000000001</v>
      </c>
      <c r="K25">
        <f>COUNTIFS(Priorizacao!$O$2:$O$304,$A25,Priorizacao!$S$2:$S$304,4)</f>
        <v>7</v>
      </c>
      <c r="L25">
        <f>COUNTIFS(Priorizacao!$O$2:$O$304,$A25,Priorizacao!$S$2:$S$304,5)</f>
        <v>3</v>
      </c>
    </row>
    <row r="26" spans="1:12" x14ac:dyDescent="0.25">
      <c r="A26" t="str">
        <f>Gap_Meta!A16</f>
        <v>FRQ012</v>
      </c>
      <c r="B26" t="str">
        <f>Gap_Meta!B16</f>
        <v>Franquia CE</v>
      </c>
      <c r="C26">
        <f>Gap_Meta!F16</f>
        <v>1</v>
      </c>
      <c r="D26" s="8">
        <f>C26*Premissas!$B$4</f>
        <v>16.5</v>
      </c>
      <c r="E26">
        <f>COUNTIFS(Priorizacao!$O$2:$O$304,$A26,Priorizacao!$S$2:$S$304,1)</f>
        <v>0</v>
      </c>
      <c r="F26">
        <f>COUNTIFS(Priorizacao!$O$2:$O$304,$A26,Priorizacao!$S$2:$S$304,2)</f>
        <v>0</v>
      </c>
      <c r="G26">
        <f>COUNTIFS(Priorizacao!$O$2:$O$304,$A26,Priorizacao!$S$2:$S$304,3)</f>
        <v>1</v>
      </c>
      <c r="H26">
        <f t="shared" si="0"/>
        <v>1</v>
      </c>
      <c r="I26" s="13">
        <f t="shared" si="1"/>
        <v>6.0606060606060608E-2</v>
      </c>
      <c r="J26" s="10">
        <f>SUMIFS(Priorizacao!$R$2:$R$304,Priorizacao!$O$2:$O$304,$A26,Priorizacao!$S$2:$S$304,1)+SUMIFS(Priorizacao!$R$2:$R$304,Priorizacao!$O$2:$O$304,$A26,Priorizacao!$S$2:$S$304,2)</f>
        <v>0</v>
      </c>
      <c r="K26">
        <f>COUNTIFS(Priorizacao!$O$2:$O$304,$A26,Priorizacao!$S$2:$S$304,4)</f>
        <v>2</v>
      </c>
      <c r="L26">
        <f>COUNTIFS(Priorizacao!$O$2:$O$304,$A26,Priorizacao!$S$2:$S$304,5)</f>
        <v>3</v>
      </c>
    </row>
    <row r="27" spans="1:12" x14ac:dyDescent="0.25">
      <c r="A27" t="str">
        <f>Gap_Meta!A17</f>
        <v>FRQ013</v>
      </c>
      <c r="B27" t="str">
        <f>Gap_Meta!B17</f>
        <v>Franquia AM</v>
      </c>
      <c r="C27">
        <f>Gap_Meta!F17</f>
        <v>1</v>
      </c>
      <c r="D27" s="8">
        <f>C27*Premissas!$B$4</f>
        <v>16.5</v>
      </c>
      <c r="E27">
        <f>COUNTIFS(Priorizacao!$O$2:$O$304,$A27,Priorizacao!$S$2:$S$304,1)</f>
        <v>0</v>
      </c>
      <c r="F27">
        <f>COUNTIFS(Priorizacao!$O$2:$O$304,$A27,Priorizacao!$S$2:$S$304,2)</f>
        <v>0</v>
      </c>
      <c r="G27">
        <f>COUNTIFS(Priorizacao!$O$2:$O$304,$A27,Priorizacao!$S$2:$S$304,3)</f>
        <v>4</v>
      </c>
      <c r="H27">
        <f t="shared" si="0"/>
        <v>4</v>
      </c>
      <c r="I27" s="13">
        <f t="shared" si="1"/>
        <v>0.24242424242424243</v>
      </c>
      <c r="J27" s="10">
        <f>SUMIFS(Priorizacao!$R$2:$R$304,Priorizacao!$O$2:$O$304,$A27,Priorizacao!$S$2:$S$304,1)+SUMIFS(Priorizacao!$R$2:$R$304,Priorizacao!$O$2:$O$304,$A27,Priorizacao!$S$2:$S$304,2)</f>
        <v>0</v>
      </c>
      <c r="K27">
        <f>COUNTIFS(Priorizacao!$O$2:$O$304,$A27,Priorizacao!$S$2:$S$304,4)</f>
        <v>0</v>
      </c>
      <c r="L27">
        <f>COUNTIFS(Priorizacao!$O$2:$O$304,$A27,Priorizacao!$S$2:$S$304,5)</f>
        <v>3</v>
      </c>
    </row>
    <row r="28" spans="1:12" x14ac:dyDescent="0.25">
      <c r="A28" t="str">
        <f>Gap_Meta!A18</f>
        <v>FRQ014</v>
      </c>
      <c r="B28" t="str">
        <f>Gap_Meta!B18</f>
        <v>Franquia PA</v>
      </c>
      <c r="C28">
        <f>Gap_Meta!F18</f>
        <v>1</v>
      </c>
      <c r="D28" s="8">
        <f>C28*Premissas!$B$4</f>
        <v>16.5</v>
      </c>
      <c r="E28">
        <f>COUNTIFS(Priorizacao!$O$2:$O$304,$A28,Priorizacao!$S$2:$S$304,1)</f>
        <v>0</v>
      </c>
      <c r="F28">
        <f>COUNTIFS(Priorizacao!$O$2:$O$304,$A28,Priorizacao!$S$2:$S$304,2)</f>
        <v>0</v>
      </c>
      <c r="G28">
        <f>COUNTIFS(Priorizacao!$O$2:$O$304,$A28,Priorizacao!$S$2:$S$304,3)</f>
        <v>0</v>
      </c>
      <c r="H28">
        <f t="shared" si="0"/>
        <v>0</v>
      </c>
      <c r="I28" s="13">
        <f t="shared" si="1"/>
        <v>0</v>
      </c>
      <c r="J28" s="10">
        <f>SUMIFS(Priorizacao!$R$2:$R$304,Priorizacao!$O$2:$O$304,$A28,Priorizacao!$S$2:$S$304,1)+SUMIFS(Priorizacao!$R$2:$R$304,Priorizacao!$O$2:$O$304,$A28,Priorizacao!$S$2:$S$304,2)</f>
        <v>0</v>
      </c>
      <c r="K28">
        <f>COUNTIFS(Priorizacao!$O$2:$O$304,$A28,Priorizacao!$S$2:$S$304,4)</f>
        <v>1</v>
      </c>
      <c r="L28">
        <f>COUNTIFS(Priorizacao!$O$2:$O$304,$A28,Priorizacao!$S$2:$S$304,5)</f>
        <v>3</v>
      </c>
    </row>
    <row r="29" spans="1:12" x14ac:dyDescent="0.25">
      <c r="A29" t="str">
        <f>Gap_Meta!A19</f>
        <v>FRQ015</v>
      </c>
      <c r="B29" t="str">
        <f>Gap_Meta!B19</f>
        <v>Franquia ES</v>
      </c>
      <c r="C29">
        <f>Gap_Meta!F19</f>
        <v>2</v>
      </c>
      <c r="D29" s="8">
        <f>C29*Premissas!$B$4</f>
        <v>33</v>
      </c>
      <c r="E29">
        <f>COUNTIFS(Priorizacao!$O$2:$O$304,$A29,Priorizacao!$S$2:$S$304,1)</f>
        <v>0</v>
      </c>
      <c r="F29">
        <f>COUNTIFS(Priorizacao!$O$2:$O$304,$A29,Priorizacao!$S$2:$S$304,2)</f>
        <v>0</v>
      </c>
      <c r="G29">
        <f>COUNTIFS(Priorizacao!$O$2:$O$304,$A29,Priorizacao!$S$2:$S$304,3)</f>
        <v>4</v>
      </c>
      <c r="H29">
        <f t="shared" si="0"/>
        <v>4</v>
      </c>
      <c r="I29" s="13">
        <f t="shared" si="1"/>
        <v>0.12121212121212122</v>
      </c>
      <c r="J29" s="10">
        <f>SUMIFS(Priorizacao!$R$2:$R$304,Priorizacao!$O$2:$O$304,$A29,Priorizacao!$S$2:$S$304,1)+SUMIFS(Priorizacao!$R$2:$R$304,Priorizacao!$O$2:$O$304,$A29,Priorizacao!$S$2:$S$304,2)</f>
        <v>0</v>
      </c>
      <c r="K29">
        <f>COUNTIFS(Priorizacao!$O$2:$O$304,$A29,Priorizacao!$S$2:$S$304,4)</f>
        <v>3</v>
      </c>
      <c r="L29">
        <f>COUNTIFS(Priorizacao!$O$2:$O$304,$A29,Priorizacao!$S$2:$S$304,5)</f>
        <v>6</v>
      </c>
    </row>
    <row r="31" spans="1:12" x14ac:dyDescent="0.25">
      <c r="A31" s="9" t="s">
        <v>129</v>
      </c>
    </row>
    <row r="32" spans="1:12" x14ac:dyDescent="0.25">
      <c r="A32" t="s">
        <v>615</v>
      </c>
    </row>
    <row r="33" spans="1:1" x14ac:dyDescent="0.25">
      <c r="A33" t="s">
        <v>616</v>
      </c>
    </row>
    <row r="34" spans="1:1" x14ac:dyDescent="0.25">
      <c r="A34" t="s">
        <v>617</v>
      </c>
    </row>
    <row r="35" spans="1:1" x14ac:dyDescent="0.25">
      <c r="A35" t="s">
        <v>618</v>
      </c>
    </row>
    <row r="36" spans="1:1" x14ac:dyDescent="0.25">
      <c r="A36" t="s">
        <v>619</v>
      </c>
    </row>
  </sheetData>
  <conditionalFormatting sqref="I15:I29">
    <cfRule type="colorScale" priority="1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0"/>
  <sheetViews>
    <sheetView workbookViewId="0"/>
  </sheetViews>
  <sheetFormatPr defaultRowHeight="15" x14ac:dyDescent="0.25"/>
  <cols>
    <col min="1" max="1" width="9" customWidth="1"/>
    <col min="2" max="2" width="21" customWidth="1"/>
    <col min="3" max="3" width="11" customWidth="1"/>
    <col min="4" max="4" width="6" customWidth="1"/>
    <col min="5" max="5" width="13" customWidth="1"/>
    <col min="6" max="6" width="12" customWidth="1"/>
    <col min="7" max="7" width="13" customWidth="1"/>
    <col min="8" max="8" width="14" customWidth="1"/>
    <col min="9" max="10" width="11" customWidth="1"/>
    <col min="11" max="11" width="12" customWidth="1"/>
    <col min="12" max="13" width="14" customWidth="1"/>
    <col min="14" max="14" width="12" customWidth="1"/>
    <col min="15" max="15" width="14" customWidth="1"/>
  </cols>
  <sheetData>
    <row r="1" spans="1:15" ht="18.75" x14ac:dyDescent="0.3">
      <c r="A1" s="4" t="s">
        <v>620</v>
      </c>
    </row>
    <row r="2" spans="1:15" x14ac:dyDescent="0.25">
      <c r="A2" t="s">
        <v>621</v>
      </c>
    </row>
    <row r="4" spans="1:15" ht="45" customHeight="1" x14ac:dyDescent="0.25">
      <c r="A4" s="5" t="s">
        <v>78</v>
      </c>
      <c r="B4" s="5" t="s">
        <v>31</v>
      </c>
      <c r="C4" s="5" t="s">
        <v>622</v>
      </c>
      <c r="D4" s="5" t="s">
        <v>149</v>
      </c>
      <c r="E4" s="5" t="s">
        <v>623</v>
      </c>
      <c r="F4" s="5" t="s">
        <v>624</v>
      </c>
      <c r="G4" s="5" t="s">
        <v>625</v>
      </c>
      <c r="H4" s="5" t="s">
        <v>626</v>
      </c>
      <c r="I4" s="5" t="s">
        <v>86</v>
      </c>
      <c r="J4" s="5" t="s">
        <v>85</v>
      </c>
      <c r="K4" s="5" t="s">
        <v>88</v>
      </c>
      <c r="L4" s="5" t="s">
        <v>627</v>
      </c>
      <c r="M4" s="5" t="s">
        <v>628</v>
      </c>
      <c r="N4" s="5" t="s">
        <v>629</v>
      </c>
      <c r="O4" s="5" t="s">
        <v>630</v>
      </c>
    </row>
    <row r="5" spans="1:15" x14ac:dyDescent="0.25">
      <c r="A5" t="str">
        <f>Gap_Meta!A5</f>
        <v>FRQ001</v>
      </c>
      <c r="B5" t="str">
        <f>Gap_Meta!B5</f>
        <v>Franquia SP Capital</v>
      </c>
      <c r="C5">
        <f>Gap_Meta!E5</f>
        <v>18</v>
      </c>
      <c r="D5">
        <f>Gap_Meta!F5</f>
        <v>6</v>
      </c>
      <c r="E5">
        <f>COUNTIF(Priorizacao!$O$2:$O$304,A5)</f>
        <v>6</v>
      </c>
      <c r="F5" s="6">
        <f t="shared" ref="F5:F19" si="0">E5/D5</f>
        <v>1</v>
      </c>
      <c r="G5" s="7">
        <f>Gap_Meta!Q5/Gap_Meta!N5</f>
        <v>3.8528896672504379E-2</v>
      </c>
      <c r="H5" s="11">
        <f t="shared" ref="H5:H19" si="1">F5*G5</f>
        <v>3.8528896672504379E-2</v>
      </c>
      <c r="I5" s="10">
        <f>Gap_Meta!J5</f>
        <v>0</v>
      </c>
      <c r="J5" s="13">
        <f>Gap_Meta!I5</f>
        <v>1.1555555555555554</v>
      </c>
      <c r="K5" s="10">
        <f>Gap_Meta!L5</f>
        <v>8666.6666666666661</v>
      </c>
      <c r="L5">
        <f t="shared" ref="L5:L19" si="2">RANK(H5,$H$5:$H$19)</f>
        <v>15</v>
      </c>
      <c r="M5">
        <f t="shared" ref="M5:M19" si="3">RANK(F5,$F$5:$F$19)</f>
        <v>15</v>
      </c>
      <c r="N5">
        <f t="shared" ref="N5:N19" si="4">RANK(G5,$G$5:$G$19)</f>
        <v>11</v>
      </c>
      <c r="O5" s="6">
        <f>AVERAGEIFS(Execucao!$E$2:$E$529,Execucao!$B$2:$B$529,A5)</f>
        <v>15.861111111111111</v>
      </c>
    </row>
    <row r="6" spans="1:15" x14ac:dyDescent="0.25">
      <c r="A6" t="str">
        <f>Gap_Meta!A6</f>
        <v>FRQ002</v>
      </c>
      <c r="B6" t="str">
        <f>Gap_Meta!B6</f>
        <v>Franquia SP Interior</v>
      </c>
      <c r="C6">
        <f>Gap_Meta!E6</f>
        <v>12</v>
      </c>
      <c r="D6">
        <f>Gap_Meta!F6</f>
        <v>4</v>
      </c>
      <c r="E6">
        <f>COUNTIF(Priorizacao!$O$2:$O$304,A6)</f>
        <v>52</v>
      </c>
      <c r="F6" s="6">
        <f t="shared" si="0"/>
        <v>13</v>
      </c>
      <c r="G6" s="7">
        <f>Gap_Meta!Q6/Gap_Meta!N6</f>
        <v>2.9150823827629912E-2</v>
      </c>
      <c r="H6" s="11">
        <f t="shared" si="1"/>
        <v>0.37896070975918883</v>
      </c>
      <c r="I6" s="10">
        <f>Gap_Meta!J6</f>
        <v>0</v>
      </c>
      <c r="J6" s="13">
        <f>Gap_Meta!I6</f>
        <v>1.1071428571428572</v>
      </c>
      <c r="K6" s="10">
        <f>Gap_Meta!L6</f>
        <v>7750</v>
      </c>
      <c r="L6">
        <f t="shared" si="2"/>
        <v>4</v>
      </c>
      <c r="M6">
        <f t="shared" si="3"/>
        <v>1</v>
      </c>
      <c r="N6">
        <f t="shared" si="4"/>
        <v>14</v>
      </c>
      <c r="O6" s="6">
        <f>AVERAGEIFS(Execucao!$E$2:$E$529,Execucao!$B$2:$B$529,A6)</f>
        <v>16.4375</v>
      </c>
    </row>
    <row r="7" spans="1:15" x14ac:dyDescent="0.25">
      <c r="A7" t="str">
        <f>Gap_Meta!A7</f>
        <v>FRQ003</v>
      </c>
      <c r="B7" t="str">
        <f>Gap_Meta!B7</f>
        <v>Franquia RJ</v>
      </c>
      <c r="C7">
        <f>Gap_Meta!E7</f>
        <v>14</v>
      </c>
      <c r="D7">
        <f>Gap_Meta!F7</f>
        <v>5</v>
      </c>
      <c r="E7">
        <f>COUNTIF(Priorizacao!$O$2:$O$304,A7)</f>
        <v>53</v>
      </c>
      <c r="F7" s="6">
        <f t="shared" si="0"/>
        <v>10.6</v>
      </c>
      <c r="G7" s="7">
        <f>Gap_Meta!Q7/Gap_Meta!N7</f>
        <v>4.0322580645161289E-2</v>
      </c>
      <c r="H7" s="11">
        <f t="shared" si="1"/>
        <v>0.42741935483870963</v>
      </c>
      <c r="I7" s="10">
        <f>Gap_Meta!J7</f>
        <v>4000</v>
      </c>
      <c r="J7" s="13">
        <f>Gap_Meta!I7</f>
        <v>0.875</v>
      </c>
      <c r="K7" s="10">
        <f>Gap_Meta!L7</f>
        <v>5600</v>
      </c>
      <c r="L7">
        <f t="shared" si="2"/>
        <v>3</v>
      </c>
      <c r="M7">
        <f t="shared" si="3"/>
        <v>4</v>
      </c>
      <c r="N7">
        <f t="shared" si="4"/>
        <v>9</v>
      </c>
      <c r="O7" s="6">
        <f>AVERAGEIFS(Execucao!$E$2:$E$529,Execucao!$B$2:$B$529,A7)</f>
        <v>16.533333333333335</v>
      </c>
    </row>
    <row r="8" spans="1:15" x14ac:dyDescent="0.25">
      <c r="A8" t="str">
        <f>Gap_Meta!A8</f>
        <v>FRQ004</v>
      </c>
      <c r="B8" t="str">
        <f>Gap_Meta!B8</f>
        <v>Franquia MG</v>
      </c>
      <c r="C8">
        <f>Gap_Meta!E8</f>
        <v>10</v>
      </c>
      <c r="D8">
        <f>Gap_Meta!F8</f>
        <v>3</v>
      </c>
      <c r="E8">
        <f>COUNTIF(Priorizacao!$O$2:$O$304,A8)</f>
        <v>32</v>
      </c>
      <c r="F8" s="6">
        <f t="shared" si="0"/>
        <v>10.666666666666666</v>
      </c>
      <c r="G8" s="7">
        <f>Gap_Meta!Q8/Gap_Meta!N8</f>
        <v>4.7217537942664416E-2</v>
      </c>
      <c r="H8" s="11">
        <f t="shared" si="1"/>
        <v>0.50365373805508706</v>
      </c>
      <c r="I8" s="10">
        <f>Gap_Meta!J8</f>
        <v>0</v>
      </c>
      <c r="J8" s="13">
        <f>Gap_Meta!I8</f>
        <v>1.1363636363636365</v>
      </c>
      <c r="K8" s="10">
        <f>Gap_Meta!L8</f>
        <v>8333.3333333333339</v>
      </c>
      <c r="L8">
        <f t="shared" si="2"/>
        <v>2</v>
      </c>
      <c r="M8">
        <f t="shared" si="3"/>
        <v>3</v>
      </c>
      <c r="N8">
        <f t="shared" si="4"/>
        <v>2</v>
      </c>
      <c r="O8" s="6">
        <f>AVERAGEIFS(Execucao!$E$2:$E$529,Execucao!$B$2:$B$529,A8)</f>
        <v>16.472222222222221</v>
      </c>
    </row>
    <row r="9" spans="1:15" x14ac:dyDescent="0.25">
      <c r="A9" t="str">
        <f>Gap_Meta!A9</f>
        <v>FRQ005</v>
      </c>
      <c r="B9" t="str">
        <f>Gap_Meta!B9</f>
        <v>Franquia PR</v>
      </c>
      <c r="C9">
        <f>Gap_Meta!E9</f>
        <v>16</v>
      </c>
      <c r="D9">
        <f>Gap_Meta!F9</f>
        <v>5</v>
      </c>
      <c r="E9">
        <f>COUNTIF(Priorizacao!$O$2:$O$304,A9)</f>
        <v>16</v>
      </c>
      <c r="F9" s="6">
        <f t="shared" si="0"/>
        <v>3.2</v>
      </c>
      <c r="G9" s="7">
        <f>Gap_Meta!Q9/Gap_Meta!N9</f>
        <v>3.5677879714576963E-2</v>
      </c>
      <c r="H9" s="11">
        <f t="shared" si="1"/>
        <v>0.11416921508664629</v>
      </c>
      <c r="I9" s="10">
        <f>Gap_Meta!J9</f>
        <v>0</v>
      </c>
      <c r="J9" s="13">
        <f>Gap_Meta!I9</f>
        <v>1.1333333333333333</v>
      </c>
      <c r="K9" s="10">
        <f>Gap_Meta!L9</f>
        <v>6800</v>
      </c>
      <c r="L9">
        <f t="shared" si="2"/>
        <v>14</v>
      </c>
      <c r="M9">
        <f t="shared" si="3"/>
        <v>14</v>
      </c>
      <c r="N9">
        <f t="shared" si="4"/>
        <v>13</v>
      </c>
      <c r="O9" s="6">
        <f>AVERAGEIFS(Execucao!$E$2:$E$529,Execucao!$B$2:$B$529,A9)</f>
        <v>16.350000000000001</v>
      </c>
    </row>
    <row r="10" spans="1:15" x14ac:dyDescent="0.25">
      <c r="A10" t="str">
        <f>Gap_Meta!A10</f>
        <v>FRQ006</v>
      </c>
      <c r="B10" t="str">
        <f>Gap_Meta!B10</f>
        <v>Franquia SC</v>
      </c>
      <c r="C10">
        <f>Gap_Meta!E10</f>
        <v>8</v>
      </c>
      <c r="D10">
        <f>Gap_Meta!F10</f>
        <v>3</v>
      </c>
      <c r="E10">
        <f>COUNTIF(Priorizacao!$O$2:$O$304,A10)</f>
        <v>11</v>
      </c>
      <c r="F10" s="6">
        <f t="shared" si="0"/>
        <v>3.6666666666666665</v>
      </c>
      <c r="G10" s="7">
        <f>Gap_Meta!Q10/Gap_Meta!N10</f>
        <v>4.1666666666666664E-2</v>
      </c>
      <c r="H10" s="11">
        <f t="shared" si="1"/>
        <v>0.15277777777777776</v>
      </c>
      <c r="I10" s="10">
        <f>Gap_Meta!J10</f>
        <v>0</v>
      </c>
      <c r="J10" s="13">
        <f>Gap_Meta!I10</f>
        <v>1.1666666666666667</v>
      </c>
      <c r="K10" s="10">
        <f>Gap_Meta!L10</f>
        <v>7000</v>
      </c>
      <c r="L10">
        <f t="shared" si="2"/>
        <v>10</v>
      </c>
      <c r="M10">
        <f t="shared" si="3"/>
        <v>11</v>
      </c>
      <c r="N10">
        <f t="shared" si="4"/>
        <v>5</v>
      </c>
      <c r="O10" s="6">
        <f>AVERAGEIFS(Execucao!$E$2:$E$529,Execucao!$B$2:$B$529,A10)</f>
        <v>16</v>
      </c>
    </row>
    <row r="11" spans="1:15" x14ac:dyDescent="0.25">
      <c r="A11" t="str">
        <f>Gap_Meta!A11</f>
        <v>FRQ007</v>
      </c>
      <c r="B11" t="str">
        <f>Gap_Meta!B11</f>
        <v>Franquia RS</v>
      </c>
      <c r="C11">
        <f>Gap_Meta!E11</f>
        <v>11</v>
      </c>
      <c r="D11">
        <f>Gap_Meta!F11</f>
        <v>4</v>
      </c>
      <c r="E11">
        <f>COUNTIF(Priorizacao!$O$2:$O$304,A11)</f>
        <v>13</v>
      </c>
      <c r="F11" s="6">
        <f t="shared" si="0"/>
        <v>3.25</v>
      </c>
      <c r="G11" s="7">
        <f>Gap_Meta!Q11/Gap_Meta!N11</f>
        <v>3.7647058823529408E-2</v>
      </c>
      <c r="H11" s="11">
        <f t="shared" si="1"/>
        <v>0.12235294117647058</v>
      </c>
      <c r="I11" s="10">
        <f>Gap_Meta!J11</f>
        <v>1000</v>
      </c>
      <c r="J11" s="13">
        <f>Gap_Meta!I11</f>
        <v>0.95833333333333337</v>
      </c>
      <c r="K11" s="10">
        <f>Gap_Meta!L11</f>
        <v>5750</v>
      </c>
      <c r="L11">
        <f t="shared" si="2"/>
        <v>12</v>
      </c>
      <c r="M11">
        <f t="shared" si="3"/>
        <v>13</v>
      </c>
      <c r="N11">
        <f t="shared" si="4"/>
        <v>12</v>
      </c>
      <c r="O11" s="6">
        <f>AVERAGEIFS(Execucao!$E$2:$E$529,Execucao!$B$2:$B$529,A11)</f>
        <v>17.708333333333332</v>
      </c>
    </row>
    <row r="12" spans="1:15" x14ac:dyDescent="0.25">
      <c r="A12" t="str">
        <f>Gap_Meta!A12</f>
        <v>FRQ008</v>
      </c>
      <c r="B12" t="str">
        <f>Gap_Meta!B12</f>
        <v>Franquia DF</v>
      </c>
      <c r="C12">
        <f>Gap_Meta!E12</f>
        <v>9</v>
      </c>
      <c r="D12">
        <f>Gap_Meta!F12</f>
        <v>3</v>
      </c>
      <c r="E12">
        <f>COUNTIF(Priorizacao!$O$2:$O$304,A12)</f>
        <v>11</v>
      </c>
      <c r="F12" s="6">
        <f t="shared" si="0"/>
        <v>3.6666666666666665</v>
      </c>
      <c r="G12" s="7">
        <f>Gap_Meta!Q12/Gap_Meta!N12</f>
        <v>4.1144901610017888E-2</v>
      </c>
      <c r="H12" s="11">
        <f t="shared" si="1"/>
        <v>0.15086463923673224</v>
      </c>
      <c r="I12" s="10">
        <f>Gap_Meta!J12</f>
        <v>2000</v>
      </c>
      <c r="J12" s="13">
        <f>Gap_Meta!I12</f>
        <v>0.9</v>
      </c>
      <c r="K12" s="10">
        <f>Gap_Meta!L12</f>
        <v>6000</v>
      </c>
      <c r="L12">
        <f t="shared" si="2"/>
        <v>11</v>
      </c>
      <c r="M12">
        <f t="shared" si="3"/>
        <v>11</v>
      </c>
      <c r="N12">
        <f t="shared" si="4"/>
        <v>8</v>
      </c>
      <c r="O12" s="6">
        <f>AVERAGEIFS(Execucao!$E$2:$E$529,Execucao!$B$2:$B$529,A12)</f>
        <v>15.527777777777779</v>
      </c>
    </row>
    <row r="13" spans="1:15" x14ac:dyDescent="0.25">
      <c r="A13" t="str">
        <f>Gap_Meta!A13</f>
        <v>FRQ009</v>
      </c>
      <c r="B13" t="str">
        <f>Gap_Meta!B13</f>
        <v>Franquia GO</v>
      </c>
      <c r="C13">
        <f>Gap_Meta!E13</f>
        <v>7</v>
      </c>
      <c r="D13">
        <f>Gap_Meta!F13</f>
        <v>2</v>
      </c>
      <c r="E13">
        <f>COUNTIF(Priorizacao!$O$2:$O$304,A13)</f>
        <v>11</v>
      </c>
      <c r="F13" s="6">
        <f t="shared" si="0"/>
        <v>5.5</v>
      </c>
      <c r="G13" s="7">
        <f>Gap_Meta!Q13/Gap_Meta!N13</f>
        <v>4.1463414634146344E-2</v>
      </c>
      <c r="H13" s="11">
        <f t="shared" si="1"/>
        <v>0.22804878048780489</v>
      </c>
      <c r="I13" s="10">
        <f>Gap_Meta!J13</f>
        <v>2000</v>
      </c>
      <c r="J13" s="13">
        <f>Gap_Meta!I13</f>
        <v>0.875</v>
      </c>
      <c r="K13" s="10">
        <f>Gap_Meta!L13</f>
        <v>7000</v>
      </c>
      <c r="L13">
        <f t="shared" si="2"/>
        <v>9</v>
      </c>
      <c r="M13">
        <f t="shared" si="3"/>
        <v>9</v>
      </c>
      <c r="N13">
        <f t="shared" si="4"/>
        <v>6</v>
      </c>
      <c r="O13" s="6">
        <f>AVERAGEIFS(Execucao!$E$2:$E$529,Execucao!$B$2:$B$529,A13)</f>
        <v>17.083333333333332</v>
      </c>
    </row>
    <row r="14" spans="1:15" x14ac:dyDescent="0.25">
      <c r="A14" t="str">
        <f>Gap_Meta!A14</f>
        <v>FRQ010</v>
      </c>
      <c r="B14" t="str">
        <f>Gap_Meta!B14</f>
        <v>Franquia BA</v>
      </c>
      <c r="C14">
        <f>Gap_Meta!E14</f>
        <v>6</v>
      </c>
      <c r="D14">
        <f>Gap_Meta!F14</f>
        <v>2</v>
      </c>
      <c r="E14">
        <f>COUNTIF(Priorizacao!$O$2:$O$304,A14)</f>
        <v>25</v>
      </c>
      <c r="F14" s="6">
        <f t="shared" si="0"/>
        <v>12.5</v>
      </c>
      <c r="G14" s="7">
        <f>Gap_Meta!Q14/Gap_Meta!N14</f>
        <v>4.4642857142857144E-2</v>
      </c>
      <c r="H14" s="11">
        <f t="shared" si="1"/>
        <v>0.5580357142857143</v>
      </c>
      <c r="I14" s="10">
        <f>Gap_Meta!J14</f>
        <v>3000</v>
      </c>
      <c r="J14" s="13">
        <f>Gap_Meta!I14</f>
        <v>0.7857142857142857</v>
      </c>
      <c r="K14" s="10">
        <f>Gap_Meta!L14</f>
        <v>5500</v>
      </c>
      <c r="L14">
        <f t="shared" si="2"/>
        <v>1</v>
      </c>
      <c r="M14">
        <f t="shared" si="3"/>
        <v>2</v>
      </c>
      <c r="N14">
        <f t="shared" si="4"/>
        <v>3</v>
      </c>
      <c r="O14" s="6">
        <f>AVERAGEIFS(Execucao!$E$2:$E$529,Execucao!$B$2:$B$529,A14)</f>
        <v>18.666666666666668</v>
      </c>
    </row>
    <row r="15" spans="1:15" x14ac:dyDescent="0.25">
      <c r="A15" t="str">
        <f>Gap_Meta!A15</f>
        <v>FRQ011</v>
      </c>
      <c r="B15" t="str">
        <f>Gap_Meta!B15</f>
        <v>Franquia PE</v>
      </c>
      <c r="C15">
        <f>Gap_Meta!E15</f>
        <v>5</v>
      </c>
      <c r="D15">
        <f>Gap_Meta!F15</f>
        <v>2</v>
      </c>
      <c r="E15">
        <f>COUNTIF(Priorizacao!$O$2:$O$304,A15)</f>
        <v>16</v>
      </c>
      <c r="F15" s="6">
        <f t="shared" si="0"/>
        <v>8</v>
      </c>
      <c r="G15" s="7">
        <f>Gap_Meta!Q15/Gap_Meta!N15</f>
        <v>4.4502617801047119E-2</v>
      </c>
      <c r="H15" s="11">
        <f t="shared" si="1"/>
        <v>0.35602094240837695</v>
      </c>
      <c r="I15" s="10">
        <f>Gap_Meta!J15</f>
        <v>2000</v>
      </c>
      <c r="J15" s="13">
        <f>Gap_Meta!I15</f>
        <v>0.83333333333333337</v>
      </c>
      <c r="K15" s="10">
        <f>Gap_Meta!L15</f>
        <v>5000</v>
      </c>
      <c r="L15">
        <f t="shared" si="2"/>
        <v>6</v>
      </c>
      <c r="M15">
        <f t="shared" si="3"/>
        <v>5</v>
      </c>
      <c r="N15">
        <f t="shared" si="4"/>
        <v>4</v>
      </c>
      <c r="O15" s="6">
        <f>AVERAGEIFS(Execucao!$E$2:$E$529,Execucao!$B$2:$B$529,A15)</f>
        <v>15.916666666666666</v>
      </c>
    </row>
    <row r="16" spans="1:15" x14ac:dyDescent="0.25">
      <c r="A16" t="str">
        <f>Gap_Meta!A16</f>
        <v>FRQ012</v>
      </c>
      <c r="B16" t="str">
        <f>Gap_Meta!B16</f>
        <v>Franquia CE</v>
      </c>
      <c r="C16">
        <f>Gap_Meta!E16</f>
        <v>4</v>
      </c>
      <c r="D16">
        <f>Gap_Meta!F16</f>
        <v>1</v>
      </c>
      <c r="E16">
        <f>COUNTIF(Priorizacao!$O$2:$O$304,A16)</f>
        <v>6</v>
      </c>
      <c r="F16" s="6">
        <f t="shared" si="0"/>
        <v>6</v>
      </c>
      <c r="G16" s="7">
        <f>Gap_Meta!Q16/Gap_Meta!N16</f>
        <v>4.1237113402061855E-2</v>
      </c>
      <c r="H16" s="11">
        <f t="shared" si="1"/>
        <v>0.24742268041237114</v>
      </c>
      <c r="I16" s="10">
        <f>Gap_Meta!J16</f>
        <v>1500</v>
      </c>
      <c r="J16" s="13">
        <f>Gap_Meta!I16</f>
        <v>0.85</v>
      </c>
      <c r="K16" s="10">
        <f>Gap_Meta!L16</f>
        <v>8500</v>
      </c>
      <c r="L16">
        <f t="shared" si="2"/>
        <v>8</v>
      </c>
      <c r="M16">
        <f t="shared" si="3"/>
        <v>8</v>
      </c>
      <c r="N16">
        <f t="shared" si="4"/>
        <v>7</v>
      </c>
      <c r="O16" s="6">
        <f>AVERAGEIFS(Execucao!$E$2:$E$529,Execucao!$B$2:$B$529,A16)</f>
        <v>16.166666666666668</v>
      </c>
    </row>
    <row r="17" spans="1:15" x14ac:dyDescent="0.25">
      <c r="A17" t="str">
        <f>Gap_Meta!A17</f>
        <v>FRQ013</v>
      </c>
      <c r="B17" t="str">
        <f>Gap_Meta!B17</f>
        <v>Franquia AM</v>
      </c>
      <c r="C17">
        <f>Gap_Meta!E17</f>
        <v>3</v>
      </c>
      <c r="D17">
        <f>Gap_Meta!F17</f>
        <v>1</v>
      </c>
      <c r="E17">
        <f>COUNTIF(Priorizacao!$O$2:$O$304,A17)</f>
        <v>7</v>
      </c>
      <c r="F17" s="6">
        <f t="shared" si="0"/>
        <v>7</v>
      </c>
      <c r="G17" s="7">
        <f>Gap_Meta!Q17/Gap_Meta!N17</f>
        <v>3.9325842696629212E-2</v>
      </c>
      <c r="H17" s="11">
        <f t="shared" si="1"/>
        <v>0.2752808988764045</v>
      </c>
      <c r="I17" s="10">
        <f>Gap_Meta!J17</f>
        <v>2000</v>
      </c>
      <c r="J17" s="13">
        <f>Gap_Meta!I17</f>
        <v>0.75</v>
      </c>
      <c r="K17" s="10">
        <f>Gap_Meta!L17</f>
        <v>6000</v>
      </c>
      <c r="L17">
        <f t="shared" si="2"/>
        <v>7</v>
      </c>
      <c r="M17">
        <f t="shared" si="3"/>
        <v>6</v>
      </c>
      <c r="N17">
        <f t="shared" si="4"/>
        <v>10</v>
      </c>
      <c r="O17" s="6">
        <f>AVERAGEIFS(Execucao!$E$2:$E$529,Execucao!$B$2:$B$529,A17)</f>
        <v>14.833333333333334</v>
      </c>
    </row>
    <row r="18" spans="1:15" x14ac:dyDescent="0.25">
      <c r="A18" t="str">
        <f>Gap_Meta!A18</f>
        <v>FRQ014</v>
      </c>
      <c r="B18" t="str">
        <f>Gap_Meta!B18</f>
        <v>Franquia PA</v>
      </c>
      <c r="C18">
        <f>Gap_Meta!E18</f>
        <v>3</v>
      </c>
      <c r="D18">
        <f>Gap_Meta!F18</f>
        <v>1</v>
      </c>
      <c r="E18">
        <f>COUNTIF(Priorizacao!$O$2:$O$304,A18)</f>
        <v>4</v>
      </c>
      <c r="F18" s="6">
        <f t="shared" si="0"/>
        <v>4</v>
      </c>
      <c r="G18" s="7">
        <f>Gap_Meta!Q18/Gap_Meta!N18</f>
        <v>2.8708133971291867E-2</v>
      </c>
      <c r="H18" s="11">
        <f t="shared" si="1"/>
        <v>0.11483253588516747</v>
      </c>
      <c r="I18" s="10">
        <f>Gap_Meta!J18</f>
        <v>2000</v>
      </c>
      <c r="J18" s="13">
        <f>Gap_Meta!I18</f>
        <v>0.73333333333333328</v>
      </c>
      <c r="K18" s="10">
        <f>Gap_Meta!L18</f>
        <v>5500</v>
      </c>
      <c r="L18">
        <f t="shared" si="2"/>
        <v>13</v>
      </c>
      <c r="M18">
        <f t="shared" si="3"/>
        <v>10</v>
      </c>
      <c r="N18">
        <f t="shared" si="4"/>
        <v>15</v>
      </c>
      <c r="O18" s="6">
        <f>AVERAGEIFS(Execucao!$E$2:$E$529,Execucao!$B$2:$B$529,A18)</f>
        <v>17.416666666666668</v>
      </c>
    </row>
    <row r="19" spans="1:15" x14ac:dyDescent="0.25">
      <c r="A19" t="str">
        <f>Gap_Meta!A19</f>
        <v>FRQ015</v>
      </c>
      <c r="B19" t="str">
        <f>Gap_Meta!B19</f>
        <v>Franquia ES</v>
      </c>
      <c r="C19">
        <f>Gap_Meta!E19</f>
        <v>5</v>
      </c>
      <c r="D19">
        <f>Gap_Meta!F19</f>
        <v>2</v>
      </c>
      <c r="E19">
        <f>COUNTIF(Priorizacao!$O$2:$O$304,A19)</f>
        <v>13</v>
      </c>
      <c r="F19" s="6">
        <f t="shared" si="0"/>
        <v>6.5</v>
      </c>
      <c r="G19" s="7">
        <f>Gap_Meta!Q19/Gap_Meta!N19</f>
        <v>5.5555555555555552E-2</v>
      </c>
      <c r="H19" s="11">
        <f t="shared" si="1"/>
        <v>0.3611111111111111</v>
      </c>
      <c r="I19" s="10">
        <f>Gap_Meta!J19</f>
        <v>0</v>
      </c>
      <c r="J19" s="13">
        <f>Gap_Meta!I19</f>
        <v>1.0909090909090908</v>
      </c>
      <c r="K19" s="10">
        <f>Gap_Meta!L19</f>
        <v>6000</v>
      </c>
      <c r="L19">
        <f t="shared" si="2"/>
        <v>5</v>
      </c>
      <c r="M19">
        <f t="shared" si="3"/>
        <v>7</v>
      </c>
      <c r="N19">
        <f t="shared" si="4"/>
        <v>1</v>
      </c>
      <c r="O19" s="6">
        <f>AVERAGEIFS(Execucao!$E$2:$E$529,Execucao!$B$2:$B$529,A19)</f>
        <v>16.5</v>
      </c>
    </row>
    <row r="21" spans="1:15" x14ac:dyDescent="0.25">
      <c r="A21" s="9" t="s">
        <v>631</v>
      </c>
    </row>
    <row r="22" spans="1:15" x14ac:dyDescent="0.25">
      <c r="A22" t="s">
        <v>632</v>
      </c>
      <c r="D22" s="18" t="str">
        <f>INDEX($B$5:$B$19,MATCH(1,$L$5:$L$19,0))</f>
        <v>Franquia BA</v>
      </c>
    </row>
    <row r="23" spans="1:15" x14ac:dyDescent="0.25">
      <c r="A23" t="s">
        <v>633</v>
      </c>
      <c r="D23" t="str">
        <f>INDEX($B$5:$B$19,MATCH(2,$L$5:$L$19,0))</f>
        <v>Franquia MG</v>
      </c>
    </row>
    <row r="24" spans="1:15" x14ac:dyDescent="0.25">
      <c r="A24" t="s">
        <v>634</v>
      </c>
      <c r="D24" t="str">
        <f>FIXED(INDEX($F$5:$F$19,MATCH(1,$L$5:$L$19,0)),1)&amp;" endereçáveis por EC (rede: "&amp;FIXED(SUM($E$5:$E$19)/SUM($D$5:$D$19),1)&amp;"), conversão do funil de "&amp;FIXED(INDEX($G$5:$G$19,MATCH(1,$L$5:$L$19,0))*100,1)&amp;"% (rede: "&amp;FIXED(Gap_Meta!Q20/Gap_Meta!N20*100,1)&amp;"%), ECs com "&amp;FIXED(INDEX($O$5:$O$19,MATCH(1,$L$5:$L$19,0)),1)&amp;" leads trabalhados por mês (rede: "&amp;FIXED(AVERAGE(Execucao!$E$2:$E$529),1)&amp;") e gap de R$ "&amp;FIXED(INDEX($I$5:$I$19,MATCH(1,$L$5:$L$19,0)),0)</f>
        <v>12,5 endereçáveis por EC (rede: 6,3), conversão do funil de 4,5% (rede: 4,0%), ECs com 18,7 leads trabalhados por mês (rede: 16,5) e gap de R$ 3.000</v>
      </c>
    </row>
    <row r="25" spans="1:15" x14ac:dyDescent="0.25">
      <c r="A25" t="s">
        <v>635</v>
      </c>
      <c r="D25" t="str">
        <f>"Só pela demanda: "&amp;INDEX($M$5:$M$19,MATCH(1,$L$5:$L$19,0))&amp;"º · só pela conversão: "&amp;INDEX($N$5:$N$19,MATCH(1,$L$5:$L$19,0))&amp;"º"</f>
        <v>Só pela demanda: 2º · só pela conversão: 3º</v>
      </c>
    </row>
    <row r="26" spans="1:15" x14ac:dyDescent="0.25">
      <c r="A26" t="s">
        <v>636</v>
      </c>
      <c r="D26" t="str">
        <f>COUNTIF(Priorizacao!$O$2:$O$304,"Sem franquia")&amp;" endereçáveis em MT, MA, RO e MS: sem EC nem histórico de execução para avaliar"</f>
        <v>27 endereçáveis em MT, MA, RO e MS: sem EC nem histórico de execução para avaliar</v>
      </c>
    </row>
    <row r="28" spans="1:15" x14ac:dyDescent="0.25">
      <c r="A28" s="9" t="s">
        <v>129</v>
      </c>
    </row>
    <row r="29" spans="1:15" x14ac:dyDescent="0.25">
      <c r="A29" t="s">
        <v>637</v>
      </c>
    </row>
    <row r="30" spans="1:15" x14ac:dyDescent="0.25">
      <c r="A30" t="s">
        <v>638</v>
      </c>
    </row>
  </sheetData>
  <conditionalFormatting sqref="H5:H19">
    <cfRule type="colorScale" priority="1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2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1" ht="45" x14ac:dyDescent="0.25">
      <c r="A1" s="5" t="s">
        <v>639</v>
      </c>
      <c r="B1" s="5" t="s">
        <v>640</v>
      </c>
      <c r="C1" s="5" t="s">
        <v>641</v>
      </c>
      <c r="D1" s="5" t="s">
        <v>642</v>
      </c>
      <c r="E1" s="5" t="s">
        <v>643</v>
      </c>
      <c r="F1" s="5" t="s">
        <v>644</v>
      </c>
      <c r="G1" s="5" t="s">
        <v>645</v>
      </c>
      <c r="H1" s="5" t="s">
        <v>646</v>
      </c>
      <c r="I1" s="5" t="s">
        <v>647</v>
      </c>
      <c r="J1" s="5" t="s">
        <v>648</v>
      </c>
      <c r="K1" s="5" t="s">
        <v>649</v>
      </c>
    </row>
    <row r="2" spans="1:11" x14ac:dyDescent="0.25">
      <c r="A2" t="s">
        <v>650</v>
      </c>
      <c r="B2" t="s">
        <v>105</v>
      </c>
      <c r="C2" t="s">
        <v>66</v>
      </c>
      <c r="D2" t="s">
        <v>651</v>
      </c>
      <c r="E2">
        <v>12</v>
      </c>
      <c r="F2">
        <v>4</v>
      </c>
      <c r="G2">
        <v>2</v>
      </c>
      <c r="H2">
        <v>0</v>
      </c>
      <c r="I2">
        <v>0</v>
      </c>
      <c r="J2" t="str">
        <f t="shared" ref="J2:J65" si="0">IF(VALUE(RIGHT(D2,2))&lt;=6,"H1","H2")</f>
        <v>H1</v>
      </c>
      <c r="K2">
        <f t="shared" ref="K2:K65" si="1">IF(H2=0,1,0)</f>
        <v>1</v>
      </c>
    </row>
    <row r="3" spans="1:11" x14ac:dyDescent="0.25">
      <c r="A3" t="s">
        <v>650</v>
      </c>
      <c r="B3" t="s">
        <v>105</v>
      </c>
      <c r="C3" t="s">
        <v>66</v>
      </c>
      <c r="D3" t="s">
        <v>651</v>
      </c>
      <c r="E3">
        <v>25</v>
      </c>
      <c r="F3">
        <v>12</v>
      </c>
      <c r="G3">
        <v>8</v>
      </c>
      <c r="H3">
        <v>1</v>
      </c>
      <c r="I3">
        <v>751.79</v>
      </c>
      <c r="J3" t="str">
        <f t="shared" si="0"/>
        <v>H1</v>
      </c>
      <c r="K3">
        <f t="shared" si="1"/>
        <v>0</v>
      </c>
    </row>
    <row r="4" spans="1:11" x14ac:dyDescent="0.25">
      <c r="A4" t="s">
        <v>650</v>
      </c>
      <c r="B4" t="s">
        <v>105</v>
      </c>
      <c r="C4" t="s">
        <v>66</v>
      </c>
      <c r="D4" t="s">
        <v>651</v>
      </c>
      <c r="E4">
        <v>19</v>
      </c>
      <c r="F4">
        <v>11</v>
      </c>
      <c r="G4">
        <v>6</v>
      </c>
      <c r="H4">
        <v>1</v>
      </c>
      <c r="I4">
        <v>523.97</v>
      </c>
      <c r="J4" t="str">
        <f t="shared" si="0"/>
        <v>H1</v>
      </c>
      <c r="K4">
        <f t="shared" si="1"/>
        <v>0</v>
      </c>
    </row>
    <row r="5" spans="1:11" x14ac:dyDescent="0.25">
      <c r="A5" t="s">
        <v>650</v>
      </c>
      <c r="B5" t="s">
        <v>105</v>
      </c>
      <c r="C5" t="s">
        <v>66</v>
      </c>
      <c r="D5" t="s">
        <v>651</v>
      </c>
      <c r="E5">
        <v>12</v>
      </c>
      <c r="F5">
        <v>5</v>
      </c>
      <c r="G5">
        <v>2</v>
      </c>
      <c r="H5">
        <v>0</v>
      </c>
      <c r="I5">
        <v>0</v>
      </c>
      <c r="J5" t="str">
        <f t="shared" si="0"/>
        <v>H1</v>
      </c>
      <c r="K5">
        <f t="shared" si="1"/>
        <v>1</v>
      </c>
    </row>
    <row r="6" spans="1:11" x14ac:dyDescent="0.25">
      <c r="A6" t="s">
        <v>650</v>
      </c>
      <c r="B6" t="s">
        <v>105</v>
      </c>
      <c r="C6" t="s">
        <v>66</v>
      </c>
      <c r="D6" t="s">
        <v>651</v>
      </c>
      <c r="E6">
        <v>16</v>
      </c>
      <c r="F6">
        <v>5</v>
      </c>
      <c r="G6">
        <v>3</v>
      </c>
      <c r="H6">
        <v>1</v>
      </c>
      <c r="I6">
        <v>724.5</v>
      </c>
      <c r="J6" t="str">
        <f t="shared" si="0"/>
        <v>H1</v>
      </c>
      <c r="K6">
        <f t="shared" si="1"/>
        <v>0</v>
      </c>
    </row>
    <row r="7" spans="1:11" x14ac:dyDescent="0.25">
      <c r="A7" t="s">
        <v>650</v>
      </c>
      <c r="B7" t="s">
        <v>105</v>
      </c>
      <c r="C7" t="s">
        <v>66</v>
      </c>
      <c r="D7" t="s">
        <v>651</v>
      </c>
      <c r="E7">
        <v>9</v>
      </c>
      <c r="F7">
        <v>3</v>
      </c>
      <c r="G7">
        <v>1</v>
      </c>
      <c r="H7">
        <v>0</v>
      </c>
      <c r="I7">
        <v>0</v>
      </c>
      <c r="J7" t="str">
        <f t="shared" si="0"/>
        <v>H1</v>
      </c>
      <c r="K7">
        <f t="shared" si="1"/>
        <v>1</v>
      </c>
    </row>
    <row r="8" spans="1:11" x14ac:dyDescent="0.25">
      <c r="A8" t="s">
        <v>650</v>
      </c>
      <c r="B8" t="s">
        <v>105</v>
      </c>
      <c r="C8" t="s">
        <v>66</v>
      </c>
      <c r="D8" t="s">
        <v>652</v>
      </c>
      <c r="E8">
        <v>9</v>
      </c>
      <c r="F8">
        <v>2</v>
      </c>
      <c r="G8">
        <v>1</v>
      </c>
      <c r="H8">
        <v>0</v>
      </c>
      <c r="I8">
        <v>0</v>
      </c>
      <c r="J8" t="str">
        <f t="shared" si="0"/>
        <v>H1</v>
      </c>
      <c r="K8">
        <f t="shared" si="1"/>
        <v>1</v>
      </c>
    </row>
    <row r="9" spans="1:11" x14ac:dyDescent="0.25">
      <c r="A9" t="s">
        <v>650</v>
      </c>
      <c r="B9" t="s">
        <v>105</v>
      </c>
      <c r="C9" t="s">
        <v>66</v>
      </c>
      <c r="D9" t="s">
        <v>652</v>
      </c>
      <c r="E9">
        <v>15</v>
      </c>
      <c r="F9">
        <v>7</v>
      </c>
      <c r="G9">
        <v>3</v>
      </c>
      <c r="H9">
        <v>1</v>
      </c>
      <c r="I9">
        <v>563.38</v>
      </c>
      <c r="J9" t="str">
        <f t="shared" si="0"/>
        <v>H1</v>
      </c>
      <c r="K9">
        <f t="shared" si="1"/>
        <v>0</v>
      </c>
    </row>
    <row r="10" spans="1:11" x14ac:dyDescent="0.25">
      <c r="A10" t="s">
        <v>650</v>
      </c>
      <c r="B10" t="s">
        <v>105</v>
      </c>
      <c r="C10" t="s">
        <v>66</v>
      </c>
      <c r="D10" t="s">
        <v>652</v>
      </c>
      <c r="E10">
        <v>14</v>
      </c>
      <c r="F10">
        <v>8</v>
      </c>
      <c r="G10">
        <v>5</v>
      </c>
      <c r="H10">
        <v>2</v>
      </c>
      <c r="I10">
        <v>742.55</v>
      </c>
      <c r="J10" t="str">
        <f t="shared" si="0"/>
        <v>H1</v>
      </c>
      <c r="K10">
        <f t="shared" si="1"/>
        <v>0</v>
      </c>
    </row>
    <row r="11" spans="1:11" x14ac:dyDescent="0.25">
      <c r="A11" t="s">
        <v>650</v>
      </c>
      <c r="B11" t="s">
        <v>105</v>
      </c>
      <c r="C11" t="s">
        <v>66</v>
      </c>
      <c r="D11" t="s">
        <v>652</v>
      </c>
      <c r="E11">
        <v>11</v>
      </c>
      <c r="F11">
        <v>3</v>
      </c>
      <c r="G11">
        <v>1</v>
      </c>
      <c r="H11">
        <v>0</v>
      </c>
      <c r="I11">
        <v>0</v>
      </c>
      <c r="J11" t="str">
        <f t="shared" si="0"/>
        <v>H1</v>
      </c>
      <c r="K11">
        <f t="shared" si="1"/>
        <v>1</v>
      </c>
    </row>
    <row r="12" spans="1:11" x14ac:dyDescent="0.25">
      <c r="A12" t="s">
        <v>650</v>
      </c>
      <c r="B12" t="s">
        <v>105</v>
      </c>
      <c r="C12" t="s">
        <v>66</v>
      </c>
      <c r="D12" t="s">
        <v>652</v>
      </c>
      <c r="E12">
        <v>14</v>
      </c>
      <c r="F12">
        <v>7</v>
      </c>
      <c r="G12">
        <v>4</v>
      </c>
      <c r="H12">
        <v>1</v>
      </c>
      <c r="I12">
        <v>606.86</v>
      </c>
      <c r="J12" t="str">
        <f t="shared" si="0"/>
        <v>H1</v>
      </c>
      <c r="K12">
        <f t="shared" si="1"/>
        <v>0</v>
      </c>
    </row>
    <row r="13" spans="1:11" x14ac:dyDescent="0.25">
      <c r="A13" t="s">
        <v>650</v>
      </c>
      <c r="B13" t="s">
        <v>105</v>
      </c>
      <c r="C13" t="s">
        <v>66</v>
      </c>
      <c r="D13" t="s">
        <v>652</v>
      </c>
      <c r="E13">
        <v>11</v>
      </c>
      <c r="F13">
        <v>4</v>
      </c>
      <c r="G13">
        <v>2</v>
      </c>
      <c r="H13">
        <v>0</v>
      </c>
      <c r="I13">
        <v>0</v>
      </c>
      <c r="J13" t="str">
        <f t="shared" si="0"/>
        <v>H1</v>
      </c>
      <c r="K13">
        <f t="shared" si="1"/>
        <v>1</v>
      </c>
    </row>
    <row r="14" spans="1:11" x14ac:dyDescent="0.25">
      <c r="A14" t="s">
        <v>650</v>
      </c>
      <c r="B14" t="s">
        <v>105</v>
      </c>
      <c r="C14" t="s">
        <v>66</v>
      </c>
      <c r="D14" t="s">
        <v>653</v>
      </c>
      <c r="E14">
        <v>19</v>
      </c>
      <c r="F14">
        <v>10</v>
      </c>
      <c r="G14">
        <v>5</v>
      </c>
      <c r="H14">
        <v>1</v>
      </c>
      <c r="I14">
        <v>556.66</v>
      </c>
      <c r="J14" t="str">
        <f t="shared" si="0"/>
        <v>H1</v>
      </c>
      <c r="K14">
        <f t="shared" si="1"/>
        <v>0</v>
      </c>
    </row>
    <row r="15" spans="1:11" x14ac:dyDescent="0.25">
      <c r="A15" t="s">
        <v>650</v>
      </c>
      <c r="B15" t="s">
        <v>105</v>
      </c>
      <c r="C15" t="s">
        <v>66</v>
      </c>
      <c r="D15" t="s">
        <v>653</v>
      </c>
      <c r="E15">
        <v>24</v>
      </c>
      <c r="F15">
        <v>11</v>
      </c>
      <c r="G15">
        <v>6</v>
      </c>
      <c r="H15">
        <v>2</v>
      </c>
      <c r="I15">
        <v>1352.37</v>
      </c>
      <c r="J15" t="str">
        <f t="shared" si="0"/>
        <v>H1</v>
      </c>
      <c r="K15">
        <f t="shared" si="1"/>
        <v>0</v>
      </c>
    </row>
    <row r="16" spans="1:11" x14ac:dyDescent="0.25">
      <c r="A16" t="s">
        <v>650</v>
      </c>
      <c r="B16" t="s">
        <v>105</v>
      </c>
      <c r="C16" t="s">
        <v>66</v>
      </c>
      <c r="D16" t="s">
        <v>653</v>
      </c>
      <c r="E16">
        <v>13</v>
      </c>
      <c r="F16">
        <v>5</v>
      </c>
      <c r="G16">
        <v>2</v>
      </c>
      <c r="H16">
        <v>0</v>
      </c>
      <c r="I16">
        <v>0</v>
      </c>
      <c r="J16" t="str">
        <f t="shared" si="0"/>
        <v>H1</v>
      </c>
      <c r="K16">
        <f t="shared" si="1"/>
        <v>1</v>
      </c>
    </row>
    <row r="17" spans="1:11" x14ac:dyDescent="0.25">
      <c r="A17" t="s">
        <v>650</v>
      </c>
      <c r="B17" t="s">
        <v>105</v>
      </c>
      <c r="C17" t="s">
        <v>66</v>
      </c>
      <c r="D17" t="s">
        <v>653</v>
      </c>
      <c r="E17">
        <v>23</v>
      </c>
      <c r="F17">
        <v>10</v>
      </c>
      <c r="G17">
        <v>6</v>
      </c>
      <c r="H17">
        <v>2</v>
      </c>
      <c r="I17">
        <v>989.87</v>
      </c>
      <c r="J17" t="str">
        <f t="shared" si="0"/>
        <v>H1</v>
      </c>
      <c r="K17">
        <f t="shared" si="1"/>
        <v>0</v>
      </c>
    </row>
    <row r="18" spans="1:11" x14ac:dyDescent="0.25">
      <c r="A18" t="s">
        <v>650</v>
      </c>
      <c r="B18" t="s">
        <v>105</v>
      </c>
      <c r="C18" t="s">
        <v>66</v>
      </c>
      <c r="D18" t="s">
        <v>653</v>
      </c>
      <c r="E18">
        <v>18</v>
      </c>
      <c r="F18">
        <v>6</v>
      </c>
      <c r="G18">
        <v>2</v>
      </c>
      <c r="H18">
        <v>0</v>
      </c>
      <c r="I18">
        <v>0</v>
      </c>
      <c r="J18" t="str">
        <f t="shared" si="0"/>
        <v>H1</v>
      </c>
      <c r="K18">
        <f t="shared" si="1"/>
        <v>1</v>
      </c>
    </row>
    <row r="19" spans="1:11" x14ac:dyDescent="0.25">
      <c r="A19" t="s">
        <v>650</v>
      </c>
      <c r="B19" t="s">
        <v>105</v>
      </c>
      <c r="C19" t="s">
        <v>66</v>
      </c>
      <c r="D19" t="s">
        <v>653</v>
      </c>
      <c r="E19">
        <v>11</v>
      </c>
      <c r="F19">
        <v>4</v>
      </c>
      <c r="G19">
        <v>2</v>
      </c>
      <c r="H19">
        <v>0</v>
      </c>
      <c r="I19">
        <v>0</v>
      </c>
      <c r="J19" t="str">
        <f t="shared" si="0"/>
        <v>H1</v>
      </c>
      <c r="K19">
        <f t="shared" si="1"/>
        <v>1</v>
      </c>
    </row>
    <row r="20" spans="1:11" x14ac:dyDescent="0.25">
      <c r="A20" t="s">
        <v>650</v>
      </c>
      <c r="B20" t="s">
        <v>105</v>
      </c>
      <c r="C20" t="s">
        <v>66</v>
      </c>
      <c r="D20" t="s">
        <v>654</v>
      </c>
      <c r="E20">
        <v>20</v>
      </c>
      <c r="F20">
        <v>7</v>
      </c>
      <c r="G20">
        <v>3</v>
      </c>
      <c r="H20">
        <v>1</v>
      </c>
      <c r="I20">
        <v>685.78</v>
      </c>
      <c r="J20" t="str">
        <f t="shared" si="0"/>
        <v>H1</v>
      </c>
      <c r="K20">
        <f t="shared" si="1"/>
        <v>0</v>
      </c>
    </row>
    <row r="21" spans="1:11" x14ac:dyDescent="0.25">
      <c r="A21" t="s">
        <v>650</v>
      </c>
      <c r="B21" t="s">
        <v>105</v>
      </c>
      <c r="C21" t="s">
        <v>66</v>
      </c>
      <c r="D21" t="s">
        <v>654</v>
      </c>
      <c r="E21">
        <v>20</v>
      </c>
      <c r="F21">
        <v>7</v>
      </c>
      <c r="G21">
        <v>3</v>
      </c>
      <c r="H21">
        <v>0</v>
      </c>
      <c r="I21">
        <v>0</v>
      </c>
      <c r="J21" t="str">
        <f t="shared" si="0"/>
        <v>H1</v>
      </c>
      <c r="K21">
        <f t="shared" si="1"/>
        <v>1</v>
      </c>
    </row>
    <row r="22" spans="1:11" x14ac:dyDescent="0.25">
      <c r="A22" t="s">
        <v>650</v>
      </c>
      <c r="B22" t="s">
        <v>105</v>
      </c>
      <c r="C22" t="s">
        <v>66</v>
      </c>
      <c r="D22" t="s">
        <v>654</v>
      </c>
      <c r="E22">
        <v>25</v>
      </c>
      <c r="F22">
        <v>9</v>
      </c>
      <c r="G22">
        <v>5</v>
      </c>
      <c r="H22">
        <v>1</v>
      </c>
      <c r="I22">
        <v>374.83</v>
      </c>
      <c r="J22" t="str">
        <f t="shared" si="0"/>
        <v>H1</v>
      </c>
      <c r="K22">
        <f t="shared" si="1"/>
        <v>0</v>
      </c>
    </row>
    <row r="23" spans="1:11" x14ac:dyDescent="0.25">
      <c r="A23" t="s">
        <v>650</v>
      </c>
      <c r="B23" t="s">
        <v>105</v>
      </c>
      <c r="C23" t="s">
        <v>66</v>
      </c>
      <c r="D23" t="s">
        <v>654</v>
      </c>
      <c r="E23">
        <v>8</v>
      </c>
      <c r="F23">
        <v>4</v>
      </c>
      <c r="G23">
        <v>1</v>
      </c>
      <c r="H23">
        <v>0</v>
      </c>
      <c r="I23">
        <v>0</v>
      </c>
      <c r="J23" t="str">
        <f t="shared" si="0"/>
        <v>H1</v>
      </c>
      <c r="K23">
        <f t="shared" si="1"/>
        <v>1</v>
      </c>
    </row>
    <row r="24" spans="1:11" x14ac:dyDescent="0.25">
      <c r="A24" t="s">
        <v>650</v>
      </c>
      <c r="B24" t="s">
        <v>105</v>
      </c>
      <c r="C24" t="s">
        <v>66</v>
      </c>
      <c r="D24" t="s">
        <v>654</v>
      </c>
      <c r="E24">
        <v>20</v>
      </c>
      <c r="F24">
        <v>9</v>
      </c>
      <c r="G24">
        <v>6</v>
      </c>
      <c r="H24">
        <v>2</v>
      </c>
      <c r="I24">
        <v>1066.6199999999999</v>
      </c>
      <c r="J24" t="str">
        <f t="shared" si="0"/>
        <v>H1</v>
      </c>
      <c r="K24">
        <f t="shared" si="1"/>
        <v>0</v>
      </c>
    </row>
    <row r="25" spans="1:11" x14ac:dyDescent="0.25">
      <c r="A25" t="s">
        <v>650</v>
      </c>
      <c r="B25" t="s">
        <v>105</v>
      </c>
      <c r="C25" t="s">
        <v>66</v>
      </c>
      <c r="D25" t="s">
        <v>654</v>
      </c>
      <c r="E25">
        <v>15</v>
      </c>
      <c r="F25">
        <v>5</v>
      </c>
      <c r="G25">
        <v>3</v>
      </c>
      <c r="H25">
        <v>1</v>
      </c>
      <c r="I25">
        <v>543.91</v>
      </c>
      <c r="J25" t="str">
        <f t="shared" si="0"/>
        <v>H1</v>
      </c>
      <c r="K25">
        <f t="shared" si="1"/>
        <v>0</v>
      </c>
    </row>
    <row r="26" spans="1:11" x14ac:dyDescent="0.25">
      <c r="A26" t="s">
        <v>650</v>
      </c>
      <c r="B26" t="s">
        <v>105</v>
      </c>
      <c r="C26" t="s">
        <v>66</v>
      </c>
      <c r="D26" t="s">
        <v>655</v>
      </c>
      <c r="E26">
        <v>9</v>
      </c>
      <c r="F26">
        <v>5</v>
      </c>
      <c r="G26">
        <v>3</v>
      </c>
      <c r="H26">
        <v>1</v>
      </c>
      <c r="I26">
        <v>334.5</v>
      </c>
      <c r="J26" t="str">
        <f t="shared" si="0"/>
        <v>H1</v>
      </c>
      <c r="K26">
        <f t="shared" si="1"/>
        <v>0</v>
      </c>
    </row>
    <row r="27" spans="1:11" x14ac:dyDescent="0.25">
      <c r="A27" t="s">
        <v>650</v>
      </c>
      <c r="B27" t="s">
        <v>105</v>
      </c>
      <c r="C27" t="s">
        <v>66</v>
      </c>
      <c r="D27" t="s">
        <v>655</v>
      </c>
      <c r="E27">
        <v>11</v>
      </c>
      <c r="F27">
        <v>6</v>
      </c>
      <c r="G27">
        <v>4</v>
      </c>
      <c r="H27">
        <v>0</v>
      </c>
      <c r="I27">
        <v>0</v>
      </c>
      <c r="J27" t="str">
        <f t="shared" si="0"/>
        <v>H1</v>
      </c>
      <c r="K27">
        <f t="shared" si="1"/>
        <v>1</v>
      </c>
    </row>
    <row r="28" spans="1:11" x14ac:dyDescent="0.25">
      <c r="A28" t="s">
        <v>650</v>
      </c>
      <c r="B28" t="s">
        <v>105</v>
      </c>
      <c r="C28" t="s">
        <v>66</v>
      </c>
      <c r="D28" t="s">
        <v>655</v>
      </c>
      <c r="E28">
        <v>13</v>
      </c>
      <c r="F28">
        <v>6</v>
      </c>
      <c r="G28">
        <v>3</v>
      </c>
      <c r="H28">
        <v>1</v>
      </c>
      <c r="I28">
        <v>777.2</v>
      </c>
      <c r="J28" t="str">
        <f t="shared" si="0"/>
        <v>H1</v>
      </c>
      <c r="K28">
        <f t="shared" si="1"/>
        <v>0</v>
      </c>
    </row>
    <row r="29" spans="1:11" x14ac:dyDescent="0.25">
      <c r="A29" t="s">
        <v>650</v>
      </c>
      <c r="B29" t="s">
        <v>105</v>
      </c>
      <c r="C29" t="s">
        <v>66</v>
      </c>
      <c r="D29" t="s">
        <v>655</v>
      </c>
      <c r="E29">
        <v>17</v>
      </c>
      <c r="F29">
        <v>6</v>
      </c>
      <c r="G29">
        <v>3</v>
      </c>
      <c r="H29">
        <v>0</v>
      </c>
      <c r="I29">
        <v>0</v>
      </c>
      <c r="J29" t="str">
        <f t="shared" si="0"/>
        <v>H1</v>
      </c>
      <c r="K29">
        <f t="shared" si="1"/>
        <v>1</v>
      </c>
    </row>
    <row r="30" spans="1:11" x14ac:dyDescent="0.25">
      <c r="A30" t="s">
        <v>650</v>
      </c>
      <c r="B30" t="s">
        <v>105</v>
      </c>
      <c r="C30" t="s">
        <v>66</v>
      </c>
      <c r="D30" t="s">
        <v>655</v>
      </c>
      <c r="E30">
        <v>25</v>
      </c>
      <c r="F30">
        <v>10</v>
      </c>
      <c r="G30">
        <v>5</v>
      </c>
      <c r="H30">
        <v>1</v>
      </c>
      <c r="I30">
        <v>845.55</v>
      </c>
      <c r="J30" t="str">
        <f t="shared" si="0"/>
        <v>H1</v>
      </c>
      <c r="K30">
        <f t="shared" si="1"/>
        <v>0</v>
      </c>
    </row>
    <row r="31" spans="1:11" x14ac:dyDescent="0.25">
      <c r="A31" t="s">
        <v>650</v>
      </c>
      <c r="B31" t="s">
        <v>105</v>
      </c>
      <c r="C31" t="s">
        <v>66</v>
      </c>
      <c r="D31" t="s">
        <v>655</v>
      </c>
      <c r="E31">
        <v>18</v>
      </c>
      <c r="F31">
        <v>9</v>
      </c>
      <c r="G31">
        <v>5</v>
      </c>
      <c r="H31">
        <v>1</v>
      </c>
      <c r="I31">
        <v>444.02</v>
      </c>
      <c r="J31" t="str">
        <f t="shared" si="0"/>
        <v>H1</v>
      </c>
      <c r="K31">
        <f t="shared" si="1"/>
        <v>0</v>
      </c>
    </row>
    <row r="32" spans="1:11" x14ac:dyDescent="0.25">
      <c r="A32" t="s">
        <v>650</v>
      </c>
      <c r="B32" t="s">
        <v>105</v>
      </c>
      <c r="C32" t="s">
        <v>66</v>
      </c>
      <c r="D32" t="s">
        <v>656</v>
      </c>
      <c r="E32">
        <v>8</v>
      </c>
      <c r="F32">
        <v>3</v>
      </c>
      <c r="G32">
        <v>1</v>
      </c>
      <c r="H32">
        <v>0</v>
      </c>
      <c r="I32">
        <v>0</v>
      </c>
      <c r="J32" t="str">
        <f t="shared" si="0"/>
        <v>H1</v>
      </c>
      <c r="K32">
        <f t="shared" si="1"/>
        <v>1</v>
      </c>
    </row>
    <row r="33" spans="1:11" x14ac:dyDescent="0.25">
      <c r="A33" t="s">
        <v>650</v>
      </c>
      <c r="B33" t="s">
        <v>105</v>
      </c>
      <c r="C33" t="s">
        <v>66</v>
      </c>
      <c r="D33" t="s">
        <v>656</v>
      </c>
      <c r="E33">
        <v>8</v>
      </c>
      <c r="F33">
        <v>2</v>
      </c>
      <c r="G33">
        <v>0</v>
      </c>
      <c r="H33">
        <v>0</v>
      </c>
      <c r="I33">
        <v>0</v>
      </c>
      <c r="J33" t="str">
        <f t="shared" si="0"/>
        <v>H1</v>
      </c>
      <c r="K33">
        <f t="shared" si="1"/>
        <v>1</v>
      </c>
    </row>
    <row r="34" spans="1:11" x14ac:dyDescent="0.25">
      <c r="A34" t="s">
        <v>650</v>
      </c>
      <c r="B34" t="s">
        <v>105</v>
      </c>
      <c r="C34" t="s">
        <v>66</v>
      </c>
      <c r="D34" t="s">
        <v>656</v>
      </c>
      <c r="E34">
        <v>16</v>
      </c>
      <c r="F34">
        <v>5</v>
      </c>
      <c r="G34">
        <v>3</v>
      </c>
      <c r="H34">
        <v>0</v>
      </c>
      <c r="I34">
        <v>0</v>
      </c>
      <c r="J34" t="str">
        <f t="shared" si="0"/>
        <v>H1</v>
      </c>
      <c r="K34">
        <f t="shared" si="1"/>
        <v>1</v>
      </c>
    </row>
    <row r="35" spans="1:11" x14ac:dyDescent="0.25">
      <c r="A35" t="s">
        <v>650</v>
      </c>
      <c r="B35" t="s">
        <v>105</v>
      </c>
      <c r="C35" t="s">
        <v>66</v>
      </c>
      <c r="D35" t="s">
        <v>656</v>
      </c>
      <c r="E35">
        <v>10</v>
      </c>
      <c r="F35">
        <v>3</v>
      </c>
      <c r="G35">
        <v>1</v>
      </c>
      <c r="H35">
        <v>0</v>
      </c>
      <c r="I35">
        <v>0</v>
      </c>
      <c r="J35" t="str">
        <f t="shared" si="0"/>
        <v>H1</v>
      </c>
      <c r="K35">
        <f t="shared" si="1"/>
        <v>1</v>
      </c>
    </row>
    <row r="36" spans="1:11" x14ac:dyDescent="0.25">
      <c r="A36" t="s">
        <v>650</v>
      </c>
      <c r="B36" t="s">
        <v>105</v>
      </c>
      <c r="C36" t="s">
        <v>66</v>
      </c>
      <c r="D36" t="s">
        <v>656</v>
      </c>
      <c r="E36">
        <v>8</v>
      </c>
      <c r="F36">
        <v>4</v>
      </c>
      <c r="G36">
        <v>1</v>
      </c>
      <c r="H36">
        <v>0</v>
      </c>
      <c r="I36">
        <v>0</v>
      </c>
      <c r="J36" t="str">
        <f t="shared" si="0"/>
        <v>H1</v>
      </c>
      <c r="K36">
        <f t="shared" si="1"/>
        <v>1</v>
      </c>
    </row>
    <row r="37" spans="1:11" x14ac:dyDescent="0.25">
      <c r="A37" t="s">
        <v>650</v>
      </c>
      <c r="B37" t="s">
        <v>105</v>
      </c>
      <c r="C37" t="s">
        <v>66</v>
      </c>
      <c r="D37" t="s">
        <v>656</v>
      </c>
      <c r="E37">
        <v>10</v>
      </c>
      <c r="F37">
        <v>5</v>
      </c>
      <c r="G37">
        <v>3</v>
      </c>
      <c r="H37">
        <v>1</v>
      </c>
      <c r="I37">
        <v>465.13</v>
      </c>
      <c r="J37" t="str">
        <f t="shared" si="0"/>
        <v>H1</v>
      </c>
      <c r="K37">
        <f t="shared" si="1"/>
        <v>0</v>
      </c>
    </row>
    <row r="38" spans="1:11" x14ac:dyDescent="0.25">
      <c r="A38" t="s">
        <v>650</v>
      </c>
      <c r="B38" t="s">
        <v>105</v>
      </c>
      <c r="C38" t="s">
        <v>66</v>
      </c>
      <c r="D38" t="s">
        <v>657</v>
      </c>
      <c r="E38">
        <v>17</v>
      </c>
      <c r="F38">
        <v>8</v>
      </c>
      <c r="G38">
        <v>4</v>
      </c>
      <c r="H38">
        <v>1</v>
      </c>
      <c r="I38">
        <v>717.06</v>
      </c>
      <c r="J38" t="str">
        <f t="shared" si="0"/>
        <v>H2</v>
      </c>
      <c r="K38">
        <f t="shared" si="1"/>
        <v>0</v>
      </c>
    </row>
    <row r="39" spans="1:11" x14ac:dyDescent="0.25">
      <c r="A39" t="s">
        <v>650</v>
      </c>
      <c r="B39" t="s">
        <v>105</v>
      </c>
      <c r="C39" t="s">
        <v>66</v>
      </c>
      <c r="D39" t="s">
        <v>657</v>
      </c>
      <c r="E39">
        <v>23</v>
      </c>
      <c r="F39">
        <v>12</v>
      </c>
      <c r="G39">
        <v>4</v>
      </c>
      <c r="H39">
        <v>1</v>
      </c>
      <c r="I39">
        <v>706.22</v>
      </c>
      <c r="J39" t="str">
        <f t="shared" si="0"/>
        <v>H2</v>
      </c>
      <c r="K39">
        <f t="shared" si="1"/>
        <v>0</v>
      </c>
    </row>
    <row r="40" spans="1:11" x14ac:dyDescent="0.25">
      <c r="A40" t="s">
        <v>650</v>
      </c>
      <c r="B40" t="s">
        <v>105</v>
      </c>
      <c r="C40" t="s">
        <v>66</v>
      </c>
      <c r="D40" t="s">
        <v>657</v>
      </c>
      <c r="E40">
        <v>8</v>
      </c>
      <c r="F40">
        <v>3</v>
      </c>
      <c r="G40">
        <v>1</v>
      </c>
      <c r="H40">
        <v>0</v>
      </c>
      <c r="I40">
        <v>0</v>
      </c>
      <c r="J40" t="str">
        <f t="shared" si="0"/>
        <v>H2</v>
      </c>
      <c r="K40">
        <f t="shared" si="1"/>
        <v>1</v>
      </c>
    </row>
    <row r="41" spans="1:11" x14ac:dyDescent="0.25">
      <c r="A41" t="s">
        <v>650</v>
      </c>
      <c r="B41" t="s">
        <v>105</v>
      </c>
      <c r="C41" t="s">
        <v>66</v>
      </c>
      <c r="D41" t="s">
        <v>657</v>
      </c>
      <c r="E41">
        <v>22</v>
      </c>
      <c r="F41">
        <v>9</v>
      </c>
      <c r="G41">
        <v>3</v>
      </c>
      <c r="H41">
        <v>0</v>
      </c>
      <c r="I41">
        <v>0</v>
      </c>
      <c r="J41" t="str">
        <f t="shared" si="0"/>
        <v>H2</v>
      </c>
      <c r="K41">
        <f t="shared" si="1"/>
        <v>1</v>
      </c>
    </row>
    <row r="42" spans="1:11" x14ac:dyDescent="0.25">
      <c r="A42" t="s">
        <v>650</v>
      </c>
      <c r="B42" t="s">
        <v>105</v>
      </c>
      <c r="C42" t="s">
        <v>66</v>
      </c>
      <c r="D42" t="s">
        <v>657</v>
      </c>
      <c r="E42">
        <v>13</v>
      </c>
      <c r="F42">
        <v>5</v>
      </c>
      <c r="G42">
        <v>2</v>
      </c>
      <c r="H42">
        <v>0</v>
      </c>
      <c r="I42">
        <v>0</v>
      </c>
      <c r="J42" t="str">
        <f t="shared" si="0"/>
        <v>H2</v>
      </c>
      <c r="K42">
        <f t="shared" si="1"/>
        <v>1</v>
      </c>
    </row>
    <row r="43" spans="1:11" x14ac:dyDescent="0.25">
      <c r="A43" t="s">
        <v>650</v>
      </c>
      <c r="B43" t="s">
        <v>105</v>
      </c>
      <c r="C43" t="s">
        <v>66</v>
      </c>
      <c r="D43" t="s">
        <v>657</v>
      </c>
      <c r="E43">
        <v>15</v>
      </c>
      <c r="F43">
        <v>6</v>
      </c>
      <c r="G43">
        <v>2</v>
      </c>
      <c r="H43">
        <v>0</v>
      </c>
      <c r="I43">
        <v>0</v>
      </c>
      <c r="J43" t="str">
        <f t="shared" si="0"/>
        <v>H2</v>
      </c>
      <c r="K43">
        <f t="shared" si="1"/>
        <v>1</v>
      </c>
    </row>
    <row r="44" spans="1:11" x14ac:dyDescent="0.25">
      <c r="A44" t="s">
        <v>650</v>
      </c>
      <c r="B44" t="s">
        <v>105</v>
      </c>
      <c r="C44" t="s">
        <v>66</v>
      </c>
      <c r="D44" t="s">
        <v>658</v>
      </c>
      <c r="E44">
        <v>24</v>
      </c>
      <c r="F44">
        <v>8</v>
      </c>
      <c r="G44">
        <v>4</v>
      </c>
      <c r="H44">
        <v>1</v>
      </c>
      <c r="I44">
        <v>587.70000000000005</v>
      </c>
      <c r="J44" t="str">
        <f t="shared" si="0"/>
        <v>H2</v>
      </c>
      <c r="K44">
        <f t="shared" si="1"/>
        <v>0</v>
      </c>
    </row>
    <row r="45" spans="1:11" x14ac:dyDescent="0.25">
      <c r="A45" t="s">
        <v>650</v>
      </c>
      <c r="B45" t="s">
        <v>105</v>
      </c>
      <c r="C45" t="s">
        <v>66</v>
      </c>
      <c r="D45" t="s">
        <v>658</v>
      </c>
      <c r="E45">
        <v>17</v>
      </c>
      <c r="F45">
        <v>8</v>
      </c>
      <c r="G45">
        <v>5</v>
      </c>
      <c r="H45">
        <v>1</v>
      </c>
      <c r="I45">
        <v>509.34</v>
      </c>
      <c r="J45" t="str">
        <f t="shared" si="0"/>
        <v>H2</v>
      </c>
      <c r="K45">
        <f t="shared" si="1"/>
        <v>0</v>
      </c>
    </row>
    <row r="46" spans="1:11" x14ac:dyDescent="0.25">
      <c r="A46" t="s">
        <v>650</v>
      </c>
      <c r="B46" t="s">
        <v>105</v>
      </c>
      <c r="C46" t="s">
        <v>66</v>
      </c>
      <c r="D46" t="s">
        <v>658</v>
      </c>
      <c r="E46">
        <v>12</v>
      </c>
      <c r="F46">
        <v>5</v>
      </c>
      <c r="G46">
        <v>2</v>
      </c>
      <c r="H46">
        <v>0</v>
      </c>
      <c r="I46">
        <v>0</v>
      </c>
      <c r="J46" t="str">
        <f t="shared" si="0"/>
        <v>H2</v>
      </c>
      <c r="K46">
        <f t="shared" si="1"/>
        <v>1</v>
      </c>
    </row>
    <row r="47" spans="1:11" x14ac:dyDescent="0.25">
      <c r="A47" t="s">
        <v>650</v>
      </c>
      <c r="B47" t="s">
        <v>105</v>
      </c>
      <c r="C47" t="s">
        <v>66</v>
      </c>
      <c r="D47" t="s">
        <v>658</v>
      </c>
      <c r="E47">
        <v>15</v>
      </c>
      <c r="F47">
        <v>7</v>
      </c>
      <c r="G47">
        <v>4</v>
      </c>
      <c r="H47">
        <v>1</v>
      </c>
      <c r="I47">
        <v>468.68</v>
      </c>
      <c r="J47" t="str">
        <f t="shared" si="0"/>
        <v>H2</v>
      </c>
      <c r="K47">
        <f t="shared" si="1"/>
        <v>0</v>
      </c>
    </row>
    <row r="48" spans="1:11" x14ac:dyDescent="0.25">
      <c r="A48" t="s">
        <v>650</v>
      </c>
      <c r="B48" t="s">
        <v>105</v>
      </c>
      <c r="C48" t="s">
        <v>66</v>
      </c>
      <c r="D48" t="s">
        <v>658</v>
      </c>
      <c r="E48">
        <v>24</v>
      </c>
      <c r="F48">
        <v>13</v>
      </c>
      <c r="G48">
        <v>9</v>
      </c>
      <c r="H48">
        <v>3</v>
      </c>
      <c r="I48">
        <v>1819.06</v>
      </c>
      <c r="J48" t="str">
        <f t="shared" si="0"/>
        <v>H2</v>
      </c>
      <c r="K48">
        <f t="shared" si="1"/>
        <v>0</v>
      </c>
    </row>
    <row r="49" spans="1:11" x14ac:dyDescent="0.25">
      <c r="A49" t="s">
        <v>650</v>
      </c>
      <c r="B49" t="s">
        <v>105</v>
      </c>
      <c r="C49" t="s">
        <v>66</v>
      </c>
      <c r="D49" t="s">
        <v>658</v>
      </c>
      <c r="E49">
        <v>24</v>
      </c>
      <c r="F49">
        <v>10</v>
      </c>
      <c r="G49">
        <v>4</v>
      </c>
      <c r="H49">
        <v>0</v>
      </c>
      <c r="I49">
        <v>0</v>
      </c>
      <c r="J49" t="str">
        <f t="shared" si="0"/>
        <v>H2</v>
      </c>
      <c r="K49">
        <f t="shared" si="1"/>
        <v>1</v>
      </c>
    </row>
    <row r="50" spans="1:11" x14ac:dyDescent="0.25">
      <c r="A50" t="s">
        <v>650</v>
      </c>
      <c r="B50" t="s">
        <v>105</v>
      </c>
      <c r="C50" t="s">
        <v>66</v>
      </c>
      <c r="D50" t="s">
        <v>659</v>
      </c>
      <c r="E50">
        <v>17</v>
      </c>
      <c r="F50">
        <v>7</v>
      </c>
      <c r="G50">
        <v>4</v>
      </c>
      <c r="H50">
        <v>1</v>
      </c>
      <c r="I50">
        <v>402.45</v>
      </c>
      <c r="J50" t="str">
        <f t="shared" si="0"/>
        <v>H2</v>
      </c>
      <c r="K50">
        <f t="shared" si="1"/>
        <v>0</v>
      </c>
    </row>
    <row r="51" spans="1:11" x14ac:dyDescent="0.25">
      <c r="A51" t="s">
        <v>650</v>
      </c>
      <c r="B51" t="s">
        <v>105</v>
      </c>
      <c r="C51" t="s">
        <v>66</v>
      </c>
      <c r="D51" t="s">
        <v>659</v>
      </c>
      <c r="E51">
        <v>11</v>
      </c>
      <c r="F51">
        <v>5</v>
      </c>
      <c r="G51">
        <v>2</v>
      </c>
      <c r="H51">
        <v>0</v>
      </c>
      <c r="I51">
        <v>0</v>
      </c>
      <c r="J51" t="str">
        <f t="shared" si="0"/>
        <v>H2</v>
      </c>
      <c r="K51">
        <f t="shared" si="1"/>
        <v>1</v>
      </c>
    </row>
    <row r="52" spans="1:11" x14ac:dyDescent="0.25">
      <c r="A52" t="s">
        <v>650</v>
      </c>
      <c r="B52" t="s">
        <v>105</v>
      </c>
      <c r="C52" t="s">
        <v>66</v>
      </c>
      <c r="D52" t="s">
        <v>659</v>
      </c>
      <c r="E52">
        <v>12</v>
      </c>
      <c r="F52">
        <v>6</v>
      </c>
      <c r="G52">
        <v>2</v>
      </c>
      <c r="H52">
        <v>0</v>
      </c>
      <c r="I52">
        <v>0</v>
      </c>
      <c r="J52" t="str">
        <f t="shared" si="0"/>
        <v>H2</v>
      </c>
      <c r="K52">
        <f t="shared" si="1"/>
        <v>1</v>
      </c>
    </row>
    <row r="53" spans="1:11" x14ac:dyDescent="0.25">
      <c r="A53" t="s">
        <v>650</v>
      </c>
      <c r="B53" t="s">
        <v>105</v>
      </c>
      <c r="C53" t="s">
        <v>66</v>
      </c>
      <c r="D53" t="s">
        <v>659</v>
      </c>
      <c r="E53">
        <v>11</v>
      </c>
      <c r="F53">
        <v>5</v>
      </c>
      <c r="G53">
        <v>2</v>
      </c>
      <c r="H53">
        <v>0</v>
      </c>
      <c r="I53">
        <v>0</v>
      </c>
      <c r="J53" t="str">
        <f t="shared" si="0"/>
        <v>H2</v>
      </c>
      <c r="K53">
        <f t="shared" si="1"/>
        <v>1</v>
      </c>
    </row>
    <row r="54" spans="1:11" x14ac:dyDescent="0.25">
      <c r="A54" t="s">
        <v>650</v>
      </c>
      <c r="B54" t="s">
        <v>105</v>
      </c>
      <c r="C54" t="s">
        <v>66</v>
      </c>
      <c r="D54" t="s">
        <v>659</v>
      </c>
      <c r="E54">
        <v>11</v>
      </c>
      <c r="F54">
        <v>4</v>
      </c>
      <c r="G54">
        <v>2</v>
      </c>
      <c r="H54">
        <v>0</v>
      </c>
      <c r="I54">
        <v>0</v>
      </c>
      <c r="J54" t="str">
        <f t="shared" si="0"/>
        <v>H2</v>
      </c>
      <c r="K54">
        <f t="shared" si="1"/>
        <v>1</v>
      </c>
    </row>
    <row r="55" spans="1:11" x14ac:dyDescent="0.25">
      <c r="A55" t="s">
        <v>650</v>
      </c>
      <c r="B55" t="s">
        <v>105</v>
      </c>
      <c r="C55" t="s">
        <v>66</v>
      </c>
      <c r="D55" t="s">
        <v>659</v>
      </c>
      <c r="E55">
        <v>11</v>
      </c>
      <c r="F55">
        <v>6</v>
      </c>
      <c r="G55">
        <v>4</v>
      </c>
      <c r="H55">
        <v>1</v>
      </c>
      <c r="I55">
        <v>792.37</v>
      </c>
      <c r="J55" t="str">
        <f t="shared" si="0"/>
        <v>H2</v>
      </c>
      <c r="K55">
        <f t="shared" si="1"/>
        <v>0</v>
      </c>
    </row>
    <row r="56" spans="1:11" x14ac:dyDescent="0.25">
      <c r="A56" t="s">
        <v>650</v>
      </c>
      <c r="B56" t="s">
        <v>105</v>
      </c>
      <c r="C56" t="s">
        <v>66</v>
      </c>
      <c r="D56" t="s">
        <v>660</v>
      </c>
      <c r="E56">
        <v>14</v>
      </c>
      <c r="F56">
        <v>8</v>
      </c>
      <c r="G56">
        <v>4</v>
      </c>
      <c r="H56">
        <v>1</v>
      </c>
      <c r="I56">
        <v>515.44000000000005</v>
      </c>
      <c r="J56" t="str">
        <f t="shared" si="0"/>
        <v>H2</v>
      </c>
      <c r="K56">
        <f t="shared" si="1"/>
        <v>0</v>
      </c>
    </row>
    <row r="57" spans="1:11" x14ac:dyDescent="0.25">
      <c r="A57" t="s">
        <v>650</v>
      </c>
      <c r="B57" t="s">
        <v>105</v>
      </c>
      <c r="C57" t="s">
        <v>66</v>
      </c>
      <c r="D57" t="s">
        <v>660</v>
      </c>
      <c r="E57">
        <v>21</v>
      </c>
      <c r="F57">
        <v>10</v>
      </c>
      <c r="G57">
        <v>6</v>
      </c>
      <c r="H57">
        <v>1</v>
      </c>
      <c r="I57">
        <v>743.39</v>
      </c>
      <c r="J57" t="str">
        <f t="shared" si="0"/>
        <v>H2</v>
      </c>
      <c r="K57">
        <f t="shared" si="1"/>
        <v>0</v>
      </c>
    </row>
    <row r="58" spans="1:11" x14ac:dyDescent="0.25">
      <c r="A58" t="s">
        <v>650</v>
      </c>
      <c r="B58" t="s">
        <v>105</v>
      </c>
      <c r="C58" t="s">
        <v>66</v>
      </c>
      <c r="D58" t="s">
        <v>660</v>
      </c>
      <c r="E58">
        <v>21</v>
      </c>
      <c r="F58">
        <v>8</v>
      </c>
      <c r="G58">
        <v>3</v>
      </c>
      <c r="H58">
        <v>0</v>
      </c>
      <c r="I58">
        <v>0</v>
      </c>
      <c r="J58" t="str">
        <f t="shared" si="0"/>
        <v>H2</v>
      </c>
      <c r="K58">
        <f t="shared" si="1"/>
        <v>1</v>
      </c>
    </row>
    <row r="59" spans="1:11" x14ac:dyDescent="0.25">
      <c r="A59" t="s">
        <v>650</v>
      </c>
      <c r="B59" t="s">
        <v>105</v>
      </c>
      <c r="C59" t="s">
        <v>66</v>
      </c>
      <c r="D59" t="s">
        <v>660</v>
      </c>
      <c r="E59">
        <v>20</v>
      </c>
      <c r="F59">
        <v>7</v>
      </c>
      <c r="G59">
        <v>4</v>
      </c>
      <c r="H59">
        <v>1</v>
      </c>
      <c r="I59">
        <v>773.25</v>
      </c>
      <c r="J59" t="str">
        <f t="shared" si="0"/>
        <v>H2</v>
      </c>
      <c r="K59">
        <f t="shared" si="1"/>
        <v>0</v>
      </c>
    </row>
    <row r="60" spans="1:11" x14ac:dyDescent="0.25">
      <c r="A60" t="s">
        <v>650</v>
      </c>
      <c r="B60" t="s">
        <v>105</v>
      </c>
      <c r="C60" t="s">
        <v>66</v>
      </c>
      <c r="D60" t="s">
        <v>660</v>
      </c>
      <c r="E60">
        <v>14</v>
      </c>
      <c r="F60">
        <v>6</v>
      </c>
      <c r="G60">
        <v>4</v>
      </c>
      <c r="H60">
        <v>0</v>
      </c>
      <c r="I60">
        <v>0</v>
      </c>
      <c r="J60" t="str">
        <f t="shared" si="0"/>
        <v>H2</v>
      </c>
      <c r="K60">
        <f t="shared" si="1"/>
        <v>1</v>
      </c>
    </row>
    <row r="61" spans="1:11" x14ac:dyDescent="0.25">
      <c r="A61" t="s">
        <v>650</v>
      </c>
      <c r="B61" t="s">
        <v>105</v>
      </c>
      <c r="C61" t="s">
        <v>66</v>
      </c>
      <c r="D61" t="s">
        <v>660</v>
      </c>
      <c r="E61">
        <v>19</v>
      </c>
      <c r="F61">
        <v>8</v>
      </c>
      <c r="G61">
        <v>3</v>
      </c>
      <c r="H61">
        <v>1</v>
      </c>
      <c r="I61">
        <v>365.22</v>
      </c>
      <c r="J61" t="str">
        <f t="shared" si="0"/>
        <v>H2</v>
      </c>
      <c r="K61">
        <f t="shared" si="1"/>
        <v>0</v>
      </c>
    </row>
    <row r="62" spans="1:11" x14ac:dyDescent="0.25">
      <c r="A62" t="s">
        <v>650</v>
      </c>
      <c r="B62" t="s">
        <v>105</v>
      </c>
      <c r="C62" t="s">
        <v>66</v>
      </c>
      <c r="D62" t="s">
        <v>661</v>
      </c>
      <c r="E62">
        <v>12</v>
      </c>
      <c r="F62">
        <v>6</v>
      </c>
      <c r="G62">
        <v>3</v>
      </c>
      <c r="H62">
        <v>1</v>
      </c>
      <c r="I62">
        <v>456.4</v>
      </c>
      <c r="J62" t="str">
        <f t="shared" si="0"/>
        <v>H2</v>
      </c>
      <c r="K62">
        <f t="shared" si="1"/>
        <v>0</v>
      </c>
    </row>
    <row r="63" spans="1:11" x14ac:dyDescent="0.25">
      <c r="A63" t="s">
        <v>650</v>
      </c>
      <c r="B63" t="s">
        <v>105</v>
      </c>
      <c r="C63" t="s">
        <v>66</v>
      </c>
      <c r="D63" t="s">
        <v>661</v>
      </c>
      <c r="E63">
        <v>25</v>
      </c>
      <c r="F63">
        <v>11</v>
      </c>
      <c r="G63">
        <v>7</v>
      </c>
      <c r="H63">
        <v>2</v>
      </c>
      <c r="I63">
        <v>753.09</v>
      </c>
      <c r="J63" t="str">
        <f t="shared" si="0"/>
        <v>H2</v>
      </c>
      <c r="K63">
        <f t="shared" si="1"/>
        <v>0</v>
      </c>
    </row>
    <row r="64" spans="1:11" x14ac:dyDescent="0.25">
      <c r="A64" t="s">
        <v>650</v>
      </c>
      <c r="B64" t="s">
        <v>105</v>
      </c>
      <c r="C64" t="s">
        <v>66</v>
      </c>
      <c r="D64" t="s">
        <v>661</v>
      </c>
      <c r="E64">
        <v>22</v>
      </c>
      <c r="F64">
        <v>10</v>
      </c>
      <c r="G64">
        <v>5</v>
      </c>
      <c r="H64">
        <v>1</v>
      </c>
      <c r="I64">
        <v>748.25</v>
      </c>
      <c r="J64" t="str">
        <f t="shared" si="0"/>
        <v>H2</v>
      </c>
      <c r="K64">
        <f t="shared" si="1"/>
        <v>0</v>
      </c>
    </row>
    <row r="65" spans="1:11" x14ac:dyDescent="0.25">
      <c r="A65" t="s">
        <v>650</v>
      </c>
      <c r="B65" t="s">
        <v>105</v>
      </c>
      <c r="C65" t="s">
        <v>66</v>
      </c>
      <c r="D65" t="s">
        <v>661</v>
      </c>
      <c r="E65">
        <v>24</v>
      </c>
      <c r="F65">
        <v>12</v>
      </c>
      <c r="G65">
        <v>4</v>
      </c>
      <c r="H65">
        <v>1</v>
      </c>
      <c r="I65">
        <v>401.12</v>
      </c>
      <c r="J65" t="str">
        <f t="shared" si="0"/>
        <v>H2</v>
      </c>
      <c r="K65">
        <f t="shared" si="1"/>
        <v>0</v>
      </c>
    </row>
    <row r="66" spans="1:11" x14ac:dyDescent="0.25">
      <c r="A66" t="s">
        <v>650</v>
      </c>
      <c r="B66" t="s">
        <v>105</v>
      </c>
      <c r="C66" t="s">
        <v>66</v>
      </c>
      <c r="D66" t="s">
        <v>661</v>
      </c>
      <c r="E66">
        <v>25</v>
      </c>
      <c r="F66">
        <v>8</v>
      </c>
      <c r="G66">
        <v>5</v>
      </c>
      <c r="H66">
        <v>1</v>
      </c>
      <c r="I66">
        <v>633.64</v>
      </c>
      <c r="J66" t="str">
        <f t="shared" ref="J66:J129" si="2">IF(VALUE(RIGHT(D66,2))&lt;=6,"H1","H2")</f>
        <v>H2</v>
      </c>
      <c r="K66">
        <f t="shared" ref="K66:K129" si="3">IF(H66=0,1,0)</f>
        <v>0</v>
      </c>
    </row>
    <row r="67" spans="1:11" x14ac:dyDescent="0.25">
      <c r="A67" t="s">
        <v>650</v>
      </c>
      <c r="B67" t="s">
        <v>105</v>
      </c>
      <c r="C67" t="s">
        <v>66</v>
      </c>
      <c r="D67" t="s">
        <v>661</v>
      </c>
      <c r="E67">
        <v>13</v>
      </c>
      <c r="F67">
        <v>4</v>
      </c>
      <c r="G67">
        <v>2</v>
      </c>
      <c r="H67">
        <v>0</v>
      </c>
      <c r="I67">
        <v>0</v>
      </c>
      <c r="J67" t="str">
        <f t="shared" si="2"/>
        <v>H2</v>
      </c>
      <c r="K67">
        <f t="shared" si="3"/>
        <v>1</v>
      </c>
    </row>
    <row r="68" spans="1:11" x14ac:dyDescent="0.25">
      <c r="A68" t="s">
        <v>650</v>
      </c>
      <c r="B68" t="s">
        <v>105</v>
      </c>
      <c r="C68" t="s">
        <v>66</v>
      </c>
      <c r="D68" t="s">
        <v>662</v>
      </c>
      <c r="E68">
        <v>24</v>
      </c>
      <c r="F68">
        <v>13</v>
      </c>
      <c r="G68">
        <v>5</v>
      </c>
      <c r="H68">
        <v>1</v>
      </c>
      <c r="I68">
        <v>379.99</v>
      </c>
      <c r="J68" t="str">
        <f t="shared" si="2"/>
        <v>H2</v>
      </c>
      <c r="K68">
        <f t="shared" si="3"/>
        <v>0</v>
      </c>
    </row>
    <row r="69" spans="1:11" x14ac:dyDescent="0.25">
      <c r="A69" t="s">
        <v>650</v>
      </c>
      <c r="B69" t="s">
        <v>105</v>
      </c>
      <c r="C69" t="s">
        <v>66</v>
      </c>
      <c r="D69" t="s">
        <v>662</v>
      </c>
      <c r="E69">
        <v>13</v>
      </c>
      <c r="F69">
        <v>5</v>
      </c>
      <c r="G69">
        <v>2</v>
      </c>
      <c r="H69">
        <v>0</v>
      </c>
      <c r="I69">
        <v>0</v>
      </c>
      <c r="J69" t="str">
        <f t="shared" si="2"/>
        <v>H2</v>
      </c>
      <c r="K69">
        <f t="shared" si="3"/>
        <v>1</v>
      </c>
    </row>
    <row r="70" spans="1:11" x14ac:dyDescent="0.25">
      <c r="A70" t="s">
        <v>650</v>
      </c>
      <c r="B70" t="s">
        <v>105</v>
      </c>
      <c r="C70" t="s">
        <v>66</v>
      </c>
      <c r="D70" t="s">
        <v>662</v>
      </c>
      <c r="E70">
        <v>11</v>
      </c>
      <c r="F70">
        <v>3</v>
      </c>
      <c r="G70">
        <v>1</v>
      </c>
      <c r="H70">
        <v>0</v>
      </c>
      <c r="I70">
        <v>0</v>
      </c>
      <c r="J70" t="str">
        <f t="shared" si="2"/>
        <v>H2</v>
      </c>
      <c r="K70">
        <f t="shared" si="3"/>
        <v>1</v>
      </c>
    </row>
    <row r="71" spans="1:11" x14ac:dyDescent="0.25">
      <c r="A71" t="s">
        <v>650</v>
      </c>
      <c r="B71" t="s">
        <v>105</v>
      </c>
      <c r="C71" t="s">
        <v>66</v>
      </c>
      <c r="D71" t="s">
        <v>662</v>
      </c>
      <c r="E71">
        <v>8</v>
      </c>
      <c r="F71">
        <v>3</v>
      </c>
      <c r="G71">
        <v>2</v>
      </c>
      <c r="H71">
        <v>0</v>
      </c>
      <c r="I71">
        <v>0</v>
      </c>
      <c r="J71" t="str">
        <f t="shared" si="2"/>
        <v>H2</v>
      </c>
      <c r="K71">
        <f t="shared" si="3"/>
        <v>1</v>
      </c>
    </row>
    <row r="72" spans="1:11" x14ac:dyDescent="0.25">
      <c r="A72" t="s">
        <v>650</v>
      </c>
      <c r="B72" t="s">
        <v>105</v>
      </c>
      <c r="C72" t="s">
        <v>66</v>
      </c>
      <c r="D72" t="s">
        <v>662</v>
      </c>
      <c r="E72">
        <v>25</v>
      </c>
      <c r="F72">
        <v>13</v>
      </c>
      <c r="G72">
        <v>7</v>
      </c>
      <c r="H72">
        <v>1</v>
      </c>
      <c r="I72">
        <v>802.29</v>
      </c>
      <c r="J72" t="str">
        <f t="shared" si="2"/>
        <v>H2</v>
      </c>
      <c r="K72">
        <f t="shared" si="3"/>
        <v>0</v>
      </c>
    </row>
    <row r="73" spans="1:11" x14ac:dyDescent="0.25">
      <c r="A73" t="s">
        <v>650</v>
      </c>
      <c r="B73" t="s">
        <v>105</v>
      </c>
      <c r="C73" t="s">
        <v>66</v>
      </c>
      <c r="D73" t="s">
        <v>662</v>
      </c>
      <c r="E73">
        <v>8</v>
      </c>
      <c r="F73">
        <v>4</v>
      </c>
      <c r="G73">
        <v>2</v>
      </c>
      <c r="H73">
        <v>0</v>
      </c>
      <c r="I73">
        <v>0</v>
      </c>
      <c r="J73" t="str">
        <f t="shared" si="2"/>
        <v>H2</v>
      </c>
      <c r="K73">
        <f t="shared" si="3"/>
        <v>1</v>
      </c>
    </row>
    <row r="74" spans="1:11" x14ac:dyDescent="0.25">
      <c r="A74" t="s">
        <v>663</v>
      </c>
      <c r="B74" t="s">
        <v>108</v>
      </c>
      <c r="C74" t="s">
        <v>66</v>
      </c>
      <c r="D74" t="s">
        <v>651</v>
      </c>
      <c r="E74">
        <v>21</v>
      </c>
      <c r="F74">
        <v>6</v>
      </c>
      <c r="G74">
        <v>2</v>
      </c>
      <c r="H74">
        <v>0</v>
      </c>
      <c r="I74">
        <v>0</v>
      </c>
      <c r="J74" t="str">
        <f t="shared" si="2"/>
        <v>H1</v>
      </c>
      <c r="K74">
        <f t="shared" si="3"/>
        <v>1</v>
      </c>
    </row>
    <row r="75" spans="1:11" x14ac:dyDescent="0.25">
      <c r="A75" t="s">
        <v>663</v>
      </c>
      <c r="B75" t="s">
        <v>108</v>
      </c>
      <c r="C75" t="s">
        <v>66</v>
      </c>
      <c r="D75" t="s">
        <v>651</v>
      </c>
      <c r="E75">
        <v>14</v>
      </c>
      <c r="F75">
        <v>6</v>
      </c>
      <c r="G75">
        <v>2</v>
      </c>
      <c r="H75">
        <v>0</v>
      </c>
      <c r="I75">
        <v>0</v>
      </c>
      <c r="J75" t="str">
        <f t="shared" si="2"/>
        <v>H1</v>
      </c>
      <c r="K75">
        <f t="shared" si="3"/>
        <v>1</v>
      </c>
    </row>
    <row r="76" spans="1:11" x14ac:dyDescent="0.25">
      <c r="A76" t="s">
        <v>663</v>
      </c>
      <c r="B76" t="s">
        <v>108</v>
      </c>
      <c r="C76" t="s">
        <v>66</v>
      </c>
      <c r="D76" t="s">
        <v>651</v>
      </c>
      <c r="E76">
        <v>20</v>
      </c>
      <c r="F76">
        <v>6</v>
      </c>
      <c r="G76">
        <v>3</v>
      </c>
      <c r="H76">
        <v>1</v>
      </c>
      <c r="I76">
        <v>784.8</v>
      </c>
      <c r="J76" t="str">
        <f t="shared" si="2"/>
        <v>H1</v>
      </c>
      <c r="K76">
        <f t="shared" si="3"/>
        <v>0</v>
      </c>
    </row>
    <row r="77" spans="1:11" x14ac:dyDescent="0.25">
      <c r="A77" t="s">
        <v>663</v>
      </c>
      <c r="B77" t="s">
        <v>108</v>
      </c>
      <c r="C77" t="s">
        <v>66</v>
      </c>
      <c r="D77" t="s">
        <v>651</v>
      </c>
      <c r="E77">
        <v>12</v>
      </c>
      <c r="F77">
        <v>3</v>
      </c>
      <c r="G77">
        <v>1</v>
      </c>
      <c r="H77">
        <v>0</v>
      </c>
      <c r="I77">
        <v>0</v>
      </c>
      <c r="J77" t="str">
        <f t="shared" si="2"/>
        <v>H1</v>
      </c>
      <c r="K77">
        <f t="shared" si="3"/>
        <v>1</v>
      </c>
    </row>
    <row r="78" spans="1:11" x14ac:dyDescent="0.25">
      <c r="A78" t="s">
        <v>663</v>
      </c>
      <c r="B78" t="s">
        <v>108</v>
      </c>
      <c r="C78" t="s">
        <v>66</v>
      </c>
      <c r="D78" t="s">
        <v>652</v>
      </c>
      <c r="E78">
        <v>24</v>
      </c>
      <c r="F78">
        <v>9</v>
      </c>
      <c r="G78">
        <v>5</v>
      </c>
      <c r="H78">
        <v>1</v>
      </c>
      <c r="I78">
        <v>501.71</v>
      </c>
      <c r="J78" t="str">
        <f t="shared" si="2"/>
        <v>H1</v>
      </c>
      <c r="K78">
        <f t="shared" si="3"/>
        <v>0</v>
      </c>
    </row>
    <row r="79" spans="1:11" x14ac:dyDescent="0.25">
      <c r="A79" t="s">
        <v>663</v>
      </c>
      <c r="B79" t="s">
        <v>108</v>
      </c>
      <c r="C79" t="s">
        <v>66</v>
      </c>
      <c r="D79" t="s">
        <v>652</v>
      </c>
      <c r="E79">
        <v>11</v>
      </c>
      <c r="F79">
        <v>4</v>
      </c>
      <c r="G79">
        <v>1</v>
      </c>
      <c r="H79">
        <v>0</v>
      </c>
      <c r="I79">
        <v>0</v>
      </c>
      <c r="J79" t="str">
        <f t="shared" si="2"/>
        <v>H1</v>
      </c>
      <c r="K79">
        <f t="shared" si="3"/>
        <v>1</v>
      </c>
    </row>
    <row r="80" spans="1:11" x14ac:dyDescent="0.25">
      <c r="A80" t="s">
        <v>663</v>
      </c>
      <c r="B80" t="s">
        <v>108</v>
      </c>
      <c r="C80" t="s">
        <v>66</v>
      </c>
      <c r="D80" t="s">
        <v>652</v>
      </c>
      <c r="E80">
        <v>19</v>
      </c>
      <c r="F80">
        <v>7</v>
      </c>
      <c r="G80">
        <v>5</v>
      </c>
      <c r="H80">
        <v>2</v>
      </c>
      <c r="I80">
        <v>916.85</v>
      </c>
      <c r="J80" t="str">
        <f t="shared" si="2"/>
        <v>H1</v>
      </c>
      <c r="K80">
        <f t="shared" si="3"/>
        <v>0</v>
      </c>
    </row>
    <row r="81" spans="1:11" x14ac:dyDescent="0.25">
      <c r="A81" t="s">
        <v>663</v>
      </c>
      <c r="B81" t="s">
        <v>108</v>
      </c>
      <c r="C81" t="s">
        <v>66</v>
      </c>
      <c r="D81" t="s">
        <v>652</v>
      </c>
      <c r="E81">
        <v>25</v>
      </c>
      <c r="F81">
        <v>14</v>
      </c>
      <c r="G81">
        <v>9</v>
      </c>
      <c r="H81">
        <v>3</v>
      </c>
      <c r="I81">
        <v>2191.19</v>
      </c>
      <c r="J81" t="str">
        <f t="shared" si="2"/>
        <v>H1</v>
      </c>
      <c r="K81">
        <f t="shared" si="3"/>
        <v>0</v>
      </c>
    </row>
    <row r="82" spans="1:11" x14ac:dyDescent="0.25">
      <c r="A82" t="s">
        <v>663</v>
      </c>
      <c r="B82" t="s">
        <v>108</v>
      </c>
      <c r="C82" t="s">
        <v>66</v>
      </c>
      <c r="D82" t="s">
        <v>653</v>
      </c>
      <c r="E82">
        <v>12</v>
      </c>
      <c r="F82">
        <v>5</v>
      </c>
      <c r="G82">
        <v>3</v>
      </c>
      <c r="H82">
        <v>0</v>
      </c>
      <c r="I82">
        <v>0</v>
      </c>
      <c r="J82" t="str">
        <f t="shared" si="2"/>
        <v>H1</v>
      </c>
      <c r="K82">
        <f t="shared" si="3"/>
        <v>1</v>
      </c>
    </row>
    <row r="83" spans="1:11" x14ac:dyDescent="0.25">
      <c r="A83" t="s">
        <v>663</v>
      </c>
      <c r="B83" t="s">
        <v>108</v>
      </c>
      <c r="C83" t="s">
        <v>66</v>
      </c>
      <c r="D83" t="s">
        <v>653</v>
      </c>
      <c r="E83">
        <v>9</v>
      </c>
      <c r="F83">
        <v>3</v>
      </c>
      <c r="G83">
        <v>2</v>
      </c>
      <c r="H83">
        <v>0</v>
      </c>
      <c r="I83">
        <v>0</v>
      </c>
      <c r="J83" t="str">
        <f t="shared" si="2"/>
        <v>H1</v>
      </c>
      <c r="K83">
        <f t="shared" si="3"/>
        <v>1</v>
      </c>
    </row>
    <row r="84" spans="1:11" x14ac:dyDescent="0.25">
      <c r="A84" t="s">
        <v>663</v>
      </c>
      <c r="B84" t="s">
        <v>108</v>
      </c>
      <c r="C84" t="s">
        <v>66</v>
      </c>
      <c r="D84" t="s">
        <v>653</v>
      </c>
      <c r="E84">
        <v>23</v>
      </c>
      <c r="F84">
        <v>7</v>
      </c>
      <c r="G84">
        <v>3</v>
      </c>
      <c r="H84">
        <v>0</v>
      </c>
      <c r="I84">
        <v>0</v>
      </c>
      <c r="J84" t="str">
        <f t="shared" si="2"/>
        <v>H1</v>
      </c>
      <c r="K84">
        <f t="shared" si="3"/>
        <v>1</v>
      </c>
    </row>
    <row r="85" spans="1:11" x14ac:dyDescent="0.25">
      <c r="A85" t="s">
        <v>663</v>
      </c>
      <c r="B85" t="s">
        <v>108</v>
      </c>
      <c r="C85" t="s">
        <v>66</v>
      </c>
      <c r="D85" t="s">
        <v>653</v>
      </c>
      <c r="E85">
        <v>21</v>
      </c>
      <c r="F85">
        <v>6</v>
      </c>
      <c r="G85">
        <v>3</v>
      </c>
      <c r="H85">
        <v>1</v>
      </c>
      <c r="I85">
        <v>602.32000000000005</v>
      </c>
      <c r="J85" t="str">
        <f t="shared" si="2"/>
        <v>H1</v>
      </c>
      <c r="K85">
        <f t="shared" si="3"/>
        <v>0</v>
      </c>
    </row>
    <row r="86" spans="1:11" x14ac:dyDescent="0.25">
      <c r="A86" t="s">
        <v>663</v>
      </c>
      <c r="B86" t="s">
        <v>108</v>
      </c>
      <c r="C86" t="s">
        <v>66</v>
      </c>
      <c r="D86" t="s">
        <v>654</v>
      </c>
      <c r="E86">
        <v>19</v>
      </c>
      <c r="F86">
        <v>7</v>
      </c>
      <c r="G86">
        <v>3</v>
      </c>
      <c r="H86">
        <v>0</v>
      </c>
      <c r="I86">
        <v>0</v>
      </c>
      <c r="J86" t="str">
        <f t="shared" si="2"/>
        <v>H1</v>
      </c>
      <c r="K86">
        <f t="shared" si="3"/>
        <v>1</v>
      </c>
    </row>
    <row r="87" spans="1:11" x14ac:dyDescent="0.25">
      <c r="A87" t="s">
        <v>663</v>
      </c>
      <c r="B87" t="s">
        <v>108</v>
      </c>
      <c r="C87" t="s">
        <v>66</v>
      </c>
      <c r="D87" t="s">
        <v>654</v>
      </c>
      <c r="E87">
        <v>8</v>
      </c>
      <c r="F87">
        <v>4</v>
      </c>
      <c r="G87">
        <v>1</v>
      </c>
      <c r="H87">
        <v>0</v>
      </c>
      <c r="I87">
        <v>0</v>
      </c>
      <c r="J87" t="str">
        <f t="shared" si="2"/>
        <v>H1</v>
      </c>
      <c r="K87">
        <f t="shared" si="3"/>
        <v>1</v>
      </c>
    </row>
    <row r="88" spans="1:11" x14ac:dyDescent="0.25">
      <c r="A88" t="s">
        <v>663</v>
      </c>
      <c r="B88" t="s">
        <v>108</v>
      </c>
      <c r="C88" t="s">
        <v>66</v>
      </c>
      <c r="D88" t="s">
        <v>654</v>
      </c>
      <c r="E88">
        <v>8</v>
      </c>
      <c r="F88">
        <v>4</v>
      </c>
      <c r="G88">
        <v>1</v>
      </c>
      <c r="H88">
        <v>0</v>
      </c>
      <c r="I88">
        <v>0</v>
      </c>
      <c r="J88" t="str">
        <f t="shared" si="2"/>
        <v>H1</v>
      </c>
      <c r="K88">
        <f t="shared" si="3"/>
        <v>1</v>
      </c>
    </row>
    <row r="89" spans="1:11" x14ac:dyDescent="0.25">
      <c r="A89" t="s">
        <v>663</v>
      </c>
      <c r="B89" t="s">
        <v>108</v>
      </c>
      <c r="C89" t="s">
        <v>66</v>
      </c>
      <c r="D89" t="s">
        <v>654</v>
      </c>
      <c r="E89">
        <v>8</v>
      </c>
      <c r="F89">
        <v>2</v>
      </c>
      <c r="G89">
        <v>0</v>
      </c>
      <c r="H89">
        <v>0</v>
      </c>
      <c r="I89">
        <v>0</v>
      </c>
      <c r="J89" t="str">
        <f t="shared" si="2"/>
        <v>H1</v>
      </c>
      <c r="K89">
        <f t="shared" si="3"/>
        <v>1</v>
      </c>
    </row>
    <row r="90" spans="1:11" x14ac:dyDescent="0.25">
      <c r="A90" t="s">
        <v>663</v>
      </c>
      <c r="B90" t="s">
        <v>108</v>
      </c>
      <c r="C90" t="s">
        <v>66</v>
      </c>
      <c r="D90" t="s">
        <v>655</v>
      </c>
      <c r="E90">
        <v>8</v>
      </c>
      <c r="F90">
        <v>3</v>
      </c>
      <c r="G90">
        <v>2</v>
      </c>
      <c r="H90">
        <v>0</v>
      </c>
      <c r="I90">
        <v>0</v>
      </c>
      <c r="J90" t="str">
        <f t="shared" si="2"/>
        <v>H1</v>
      </c>
      <c r="K90">
        <f t="shared" si="3"/>
        <v>1</v>
      </c>
    </row>
    <row r="91" spans="1:11" x14ac:dyDescent="0.25">
      <c r="A91" t="s">
        <v>663</v>
      </c>
      <c r="B91" t="s">
        <v>108</v>
      </c>
      <c r="C91" t="s">
        <v>66</v>
      </c>
      <c r="D91" t="s">
        <v>655</v>
      </c>
      <c r="E91">
        <v>9</v>
      </c>
      <c r="F91">
        <v>4</v>
      </c>
      <c r="G91">
        <v>2</v>
      </c>
      <c r="H91">
        <v>0</v>
      </c>
      <c r="I91">
        <v>0</v>
      </c>
      <c r="J91" t="str">
        <f t="shared" si="2"/>
        <v>H1</v>
      </c>
      <c r="K91">
        <f t="shared" si="3"/>
        <v>1</v>
      </c>
    </row>
    <row r="92" spans="1:11" x14ac:dyDescent="0.25">
      <c r="A92" t="s">
        <v>663</v>
      </c>
      <c r="B92" t="s">
        <v>108</v>
      </c>
      <c r="C92" t="s">
        <v>66</v>
      </c>
      <c r="D92" t="s">
        <v>655</v>
      </c>
      <c r="E92">
        <v>18</v>
      </c>
      <c r="F92">
        <v>10</v>
      </c>
      <c r="G92">
        <v>4</v>
      </c>
      <c r="H92">
        <v>0</v>
      </c>
      <c r="I92">
        <v>0</v>
      </c>
      <c r="J92" t="str">
        <f t="shared" si="2"/>
        <v>H1</v>
      </c>
      <c r="K92">
        <f t="shared" si="3"/>
        <v>1</v>
      </c>
    </row>
    <row r="93" spans="1:11" x14ac:dyDescent="0.25">
      <c r="A93" t="s">
        <v>663</v>
      </c>
      <c r="B93" t="s">
        <v>108</v>
      </c>
      <c r="C93" t="s">
        <v>66</v>
      </c>
      <c r="D93" t="s">
        <v>655</v>
      </c>
      <c r="E93">
        <v>9</v>
      </c>
      <c r="F93">
        <v>3</v>
      </c>
      <c r="G93">
        <v>1</v>
      </c>
      <c r="H93">
        <v>0</v>
      </c>
      <c r="I93">
        <v>0</v>
      </c>
      <c r="J93" t="str">
        <f t="shared" si="2"/>
        <v>H1</v>
      </c>
      <c r="K93">
        <f t="shared" si="3"/>
        <v>1</v>
      </c>
    </row>
    <row r="94" spans="1:11" x14ac:dyDescent="0.25">
      <c r="A94" t="s">
        <v>663</v>
      </c>
      <c r="B94" t="s">
        <v>108</v>
      </c>
      <c r="C94" t="s">
        <v>66</v>
      </c>
      <c r="D94" t="s">
        <v>656</v>
      </c>
      <c r="E94">
        <v>22</v>
      </c>
      <c r="F94">
        <v>11</v>
      </c>
      <c r="G94">
        <v>5</v>
      </c>
      <c r="H94">
        <v>1</v>
      </c>
      <c r="I94">
        <v>446.29</v>
      </c>
      <c r="J94" t="str">
        <f t="shared" si="2"/>
        <v>H1</v>
      </c>
      <c r="K94">
        <f t="shared" si="3"/>
        <v>0</v>
      </c>
    </row>
    <row r="95" spans="1:11" x14ac:dyDescent="0.25">
      <c r="A95" t="s">
        <v>663</v>
      </c>
      <c r="B95" t="s">
        <v>108</v>
      </c>
      <c r="C95" t="s">
        <v>66</v>
      </c>
      <c r="D95" t="s">
        <v>656</v>
      </c>
      <c r="E95">
        <v>25</v>
      </c>
      <c r="F95">
        <v>14</v>
      </c>
      <c r="G95">
        <v>10</v>
      </c>
      <c r="H95">
        <v>2</v>
      </c>
      <c r="I95">
        <v>1500.87</v>
      </c>
      <c r="J95" t="str">
        <f t="shared" si="2"/>
        <v>H1</v>
      </c>
      <c r="K95">
        <f t="shared" si="3"/>
        <v>0</v>
      </c>
    </row>
    <row r="96" spans="1:11" x14ac:dyDescent="0.25">
      <c r="A96" t="s">
        <v>663</v>
      </c>
      <c r="B96" t="s">
        <v>108</v>
      </c>
      <c r="C96" t="s">
        <v>66</v>
      </c>
      <c r="D96" t="s">
        <v>656</v>
      </c>
      <c r="E96">
        <v>11</v>
      </c>
      <c r="F96">
        <v>5</v>
      </c>
      <c r="G96">
        <v>3</v>
      </c>
      <c r="H96">
        <v>1</v>
      </c>
      <c r="I96">
        <v>454.41</v>
      </c>
      <c r="J96" t="str">
        <f t="shared" si="2"/>
        <v>H1</v>
      </c>
      <c r="K96">
        <f t="shared" si="3"/>
        <v>0</v>
      </c>
    </row>
    <row r="97" spans="1:11" x14ac:dyDescent="0.25">
      <c r="A97" t="s">
        <v>663</v>
      </c>
      <c r="B97" t="s">
        <v>108</v>
      </c>
      <c r="C97" t="s">
        <v>66</v>
      </c>
      <c r="D97" t="s">
        <v>656</v>
      </c>
      <c r="E97">
        <v>17</v>
      </c>
      <c r="F97">
        <v>7</v>
      </c>
      <c r="G97">
        <v>5</v>
      </c>
      <c r="H97">
        <v>1</v>
      </c>
      <c r="I97">
        <v>410.9</v>
      </c>
      <c r="J97" t="str">
        <f t="shared" si="2"/>
        <v>H1</v>
      </c>
      <c r="K97">
        <f t="shared" si="3"/>
        <v>0</v>
      </c>
    </row>
    <row r="98" spans="1:11" x14ac:dyDescent="0.25">
      <c r="A98" t="s">
        <v>663</v>
      </c>
      <c r="B98" t="s">
        <v>108</v>
      </c>
      <c r="C98" t="s">
        <v>66</v>
      </c>
      <c r="D98" t="s">
        <v>657</v>
      </c>
      <c r="E98">
        <v>20</v>
      </c>
      <c r="F98">
        <v>9</v>
      </c>
      <c r="G98">
        <v>4</v>
      </c>
      <c r="H98">
        <v>1</v>
      </c>
      <c r="I98">
        <v>424.15</v>
      </c>
      <c r="J98" t="str">
        <f t="shared" si="2"/>
        <v>H2</v>
      </c>
      <c r="K98">
        <f t="shared" si="3"/>
        <v>0</v>
      </c>
    </row>
    <row r="99" spans="1:11" x14ac:dyDescent="0.25">
      <c r="A99" t="s">
        <v>663</v>
      </c>
      <c r="B99" t="s">
        <v>108</v>
      </c>
      <c r="C99" t="s">
        <v>66</v>
      </c>
      <c r="D99" t="s">
        <v>657</v>
      </c>
      <c r="E99">
        <v>23</v>
      </c>
      <c r="F99">
        <v>9</v>
      </c>
      <c r="G99">
        <v>4</v>
      </c>
      <c r="H99">
        <v>0</v>
      </c>
      <c r="I99">
        <v>0</v>
      </c>
      <c r="J99" t="str">
        <f t="shared" si="2"/>
        <v>H2</v>
      </c>
      <c r="K99">
        <f t="shared" si="3"/>
        <v>1</v>
      </c>
    </row>
    <row r="100" spans="1:11" x14ac:dyDescent="0.25">
      <c r="A100" t="s">
        <v>663</v>
      </c>
      <c r="B100" t="s">
        <v>108</v>
      </c>
      <c r="C100" t="s">
        <v>66</v>
      </c>
      <c r="D100" t="s">
        <v>657</v>
      </c>
      <c r="E100">
        <v>25</v>
      </c>
      <c r="F100">
        <v>9</v>
      </c>
      <c r="G100">
        <v>4</v>
      </c>
      <c r="H100">
        <v>1</v>
      </c>
      <c r="I100">
        <v>422.35</v>
      </c>
      <c r="J100" t="str">
        <f t="shared" si="2"/>
        <v>H2</v>
      </c>
      <c r="K100">
        <f t="shared" si="3"/>
        <v>0</v>
      </c>
    </row>
    <row r="101" spans="1:11" x14ac:dyDescent="0.25">
      <c r="A101" t="s">
        <v>663</v>
      </c>
      <c r="B101" t="s">
        <v>108</v>
      </c>
      <c r="C101" t="s">
        <v>66</v>
      </c>
      <c r="D101" t="s">
        <v>657</v>
      </c>
      <c r="E101">
        <v>25</v>
      </c>
      <c r="F101">
        <v>12</v>
      </c>
      <c r="G101">
        <v>7</v>
      </c>
      <c r="H101">
        <v>1</v>
      </c>
      <c r="I101">
        <v>794.95</v>
      </c>
      <c r="J101" t="str">
        <f t="shared" si="2"/>
        <v>H2</v>
      </c>
      <c r="K101">
        <f t="shared" si="3"/>
        <v>0</v>
      </c>
    </row>
    <row r="102" spans="1:11" x14ac:dyDescent="0.25">
      <c r="A102" t="s">
        <v>663</v>
      </c>
      <c r="B102" t="s">
        <v>108</v>
      </c>
      <c r="C102" t="s">
        <v>66</v>
      </c>
      <c r="D102" t="s">
        <v>658</v>
      </c>
      <c r="E102">
        <v>20</v>
      </c>
      <c r="F102">
        <v>6</v>
      </c>
      <c r="G102">
        <v>2</v>
      </c>
      <c r="H102">
        <v>0</v>
      </c>
      <c r="I102">
        <v>0</v>
      </c>
      <c r="J102" t="str">
        <f t="shared" si="2"/>
        <v>H2</v>
      </c>
      <c r="K102">
        <f t="shared" si="3"/>
        <v>1</v>
      </c>
    </row>
    <row r="103" spans="1:11" x14ac:dyDescent="0.25">
      <c r="A103" t="s">
        <v>663</v>
      </c>
      <c r="B103" t="s">
        <v>108</v>
      </c>
      <c r="C103" t="s">
        <v>66</v>
      </c>
      <c r="D103" t="s">
        <v>658</v>
      </c>
      <c r="E103">
        <v>8</v>
      </c>
      <c r="F103">
        <v>2</v>
      </c>
      <c r="G103">
        <v>0</v>
      </c>
      <c r="H103">
        <v>0</v>
      </c>
      <c r="I103">
        <v>0</v>
      </c>
      <c r="J103" t="str">
        <f t="shared" si="2"/>
        <v>H2</v>
      </c>
      <c r="K103">
        <f t="shared" si="3"/>
        <v>1</v>
      </c>
    </row>
    <row r="104" spans="1:11" x14ac:dyDescent="0.25">
      <c r="A104" t="s">
        <v>663</v>
      </c>
      <c r="B104" t="s">
        <v>108</v>
      </c>
      <c r="C104" t="s">
        <v>66</v>
      </c>
      <c r="D104" t="s">
        <v>658</v>
      </c>
      <c r="E104">
        <v>25</v>
      </c>
      <c r="F104">
        <v>13</v>
      </c>
      <c r="G104">
        <v>5</v>
      </c>
      <c r="H104">
        <v>1</v>
      </c>
      <c r="I104">
        <v>786.02</v>
      </c>
      <c r="J104" t="str">
        <f t="shared" si="2"/>
        <v>H2</v>
      </c>
      <c r="K104">
        <f t="shared" si="3"/>
        <v>0</v>
      </c>
    </row>
    <row r="105" spans="1:11" x14ac:dyDescent="0.25">
      <c r="A105" t="s">
        <v>663</v>
      </c>
      <c r="B105" t="s">
        <v>108</v>
      </c>
      <c r="C105" t="s">
        <v>66</v>
      </c>
      <c r="D105" t="s">
        <v>658</v>
      </c>
      <c r="E105">
        <v>11</v>
      </c>
      <c r="F105">
        <v>5</v>
      </c>
      <c r="G105">
        <v>2</v>
      </c>
      <c r="H105">
        <v>0</v>
      </c>
      <c r="I105">
        <v>0</v>
      </c>
      <c r="J105" t="str">
        <f t="shared" si="2"/>
        <v>H2</v>
      </c>
      <c r="K105">
        <f t="shared" si="3"/>
        <v>1</v>
      </c>
    </row>
    <row r="106" spans="1:11" x14ac:dyDescent="0.25">
      <c r="A106" t="s">
        <v>663</v>
      </c>
      <c r="B106" t="s">
        <v>108</v>
      </c>
      <c r="C106" t="s">
        <v>66</v>
      </c>
      <c r="D106" t="s">
        <v>659</v>
      </c>
      <c r="E106">
        <v>24</v>
      </c>
      <c r="F106">
        <v>11</v>
      </c>
      <c r="G106">
        <v>5</v>
      </c>
      <c r="H106">
        <v>1</v>
      </c>
      <c r="I106">
        <v>650.6</v>
      </c>
      <c r="J106" t="str">
        <f t="shared" si="2"/>
        <v>H2</v>
      </c>
      <c r="K106">
        <f t="shared" si="3"/>
        <v>0</v>
      </c>
    </row>
    <row r="107" spans="1:11" x14ac:dyDescent="0.25">
      <c r="A107" t="s">
        <v>663</v>
      </c>
      <c r="B107" t="s">
        <v>108</v>
      </c>
      <c r="C107" t="s">
        <v>66</v>
      </c>
      <c r="D107" t="s">
        <v>659</v>
      </c>
      <c r="E107">
        <v>24</v>
      </c>
      <c r="F107">
        <v>10</v>
      </c>
      <c r="G107">
        <v>6</v>
      </c>
      <c r="H107">
        <v>2</v>
      </c>
      <c r="I107">
        <v>964.09</v>
      </c>
      <c r="J107" t="str">
        <f t="shared" si="2"/>
        <v>H2</v>
      </c>
      <c r="K107">
        <f t="shared" si="3"/>
        <v>0</v>
      </c>
    </row>
    <row r="108" spans="1:11" x14ac:dyDescent="0.25">
      <c r="A108" t="s">
        <v>663</v>
      </c>
      <c r="B108" t="s">
        <v>108</v>
      </c>
      <c r="C108" t="s">
        <v>66</v>
      </c>
      <c r="D108" t="s">
        <v>659</v>
      </c>
      <c r="E108">
        <v>8</v>
      </c>
      <c r="F108">
        <v>4</v>
      </c>
      <c r="G108">
        <v>1</v>
      </c>
      <c r="H108">
        <v>0</v>
      </c>
      <c r="I108">
        <v>0</v>
      </c>
      <c r="J108" t="str">
        <f t="shared" si="2"/>
        <v>H2</v>
      </c>
      <c r="K108">
        <f t="shared" si="3"/>
        <v>1</v>
      </c>
    </row>
    <row r="109" spans="1:11" x14ac:dyDescent="0.25">
      <c r="A109" t="s">
        <v>663</v>
      </c>
      <c r="B109" t="s">
        <v>108</v>
      </c>
      <c r="C109" t="s">
        <v>66</v>
      </c>
      <c r="D109" t="s">
        <v>659</v>
      </c>
      <c r="E109">
        <v>23</v>
      </c>
      <c r="F109">
        <v>7</v>
      </c>
      <c r="G109">
        <v>3</v>
      </c>
      <c r="H109">
        <v>0</v>
      </c>
      <c r="I109">
        <v>0</v>
      </c>
      <c r="J109" t="str">
        <f t="shared" si="2"/>
        <v>H2</v>
      </c>
      <c r="K109">
        <f t="shared" si="3"/>
        <v>1</v>
      </c>
    </row>
    <row r="110" spans="1:11" x14ac:dyDescent="0.25">
      <c r="A110" t="s">
        <v>663</v>
      </c>
      <c r="B110" t="s">
        <v>108</v>
      </c>
      <c r="C110" t="s">
        <v>66</v>
      </c>
      <c r="D110" t="s">
        <v>660</v>
      </c>
      <c r="E110">
        <v>10</v>
      </c>
      <c r="F110">
        <v>5</v>
      </c>
      <c r="G110">
        <v>2</v>
      </c>
      <c r="H110">
        <v>0</v>
      </c>
      <c r="I110">
        <v>0</v>
      </c>
      <c r="J110" t="str">
        <f t="shared" si="2"/>
        <v>H2</v>
      </c>
      <c r="K110">
        <f t="shared" si="3"/>
        <v>1</v>
      </c>
    </row>
    <row r="111" spans="1:11" x14ac:dyDescent="0.25">
      <c r="A111" t="s">
        <v>663</v>
      </c>
      <c r="B111" t="s">
        <v>108</v>
      </c>
      <c r="C111" t="s">
        <v>66</v>
      </c>
      <c r="D111" t="s">
        <v>660</v>
      </c>
      <c r="E111">
        <v>14</v>
      </c>
      <c r="F111">
        <v>6</v>
      </c>
      <c r="G111">
        <v>4</v>
      </c>
      <c r="H111">
        <v>1</v>
      </c>
      <c r="I111">
        <v>469.23</v>
      </c>
      <c r="J111" t="str">
        <f t="shared" si="2"/>
        <v>H2</v>
      </c>
      <c r="K111">
        <f t="shared" si="3"/>
        <v>0</v>
      </c>
    </row>
    <row r="112" spans="1:11" x14ac:dyDescent="0.25">
      <c r="A112" t="s">
        <v>663</v>
      </c>
      <c r="B112" t="s">
        <v>108</v>
      </c>
      <c r="C112" t="s">
        <v>66</v>
      </c>
      <c r="D112" t="s">
        <v>660</v>
      </c>
      <c r="E112">
        <v>15</v>
      </c>
      <c r="F112">
        <v>5</v>
      </c>
      <c r="G112">
        <v>2</v>
      </c>
      <c r="H112">
        <v>0</v>
      </c>
      <c r="I112">
        <v>0</v>
      </c>
      <c r="J112" t="str">
        <f t="shared" si="2"/>
        <v>H2</v>
      </c>
      <c r="K112">
        <f t="shared" si="3"/>
        <v>1</v>
      </c>
    </row>
    <row r="113" spans="1:11" x14ac:dyDescent="0.25">
      <c r="A113" t="s">
        <v>663</v>
      </c>
      <c r="B113" t="s">
        <v>108</v>
      </c>
      <c r="C113" t="s">
        <v>66</v>
      </c>
      <c r="D113" t="s">
        <v>660</v>
      </c>
      <c r="E113">
        <v>17</v>
      </c>
      <c r="F113">
        <v>6</v>
      </c>
      <c r="G113">
        <v>4</v>
      </c>
      <c r="H113">
        <v>1</v>
      </c>
      <c r="I113">
        <v>830.53</v>
      </c>
      <c r="J113" t="str">
        <f t="shared" si="2"/>
        <v>H2</v>
      </c>
      <c r="K113">
        <f t="shared" si="3"/>
        <v>0</v>
      </c>
    </row>
    <row r="114" spans="1:11" x14ac:dyDescent="0.25">
      <c r="A114" t="s">
        <v>663</v>
      </c>
      <c r="B114" t="s">
        <v>108</v>
      </c>
      <c r="C114" t="s">
        <v>66</v>
      </c>
      <c r="D114" t="s">
        <v>661</v>
      </c>
      <c r="E114">
        <v>25</v>
      </c>
      <c r="F114">
        <v>9</v>
      </c>
      <c r="G114">
        <v>3</v>
      </c>
      <c r="H114">
        <v>0</v>
      </c>
      <c r="I114">
        <v>0</v>
      </c>
      <c r="J114" t="str">
        <f t="shared" si="2"/>
        <v>H2</v>
      </c>
      <c r="K114">
        <f t="shared" si="3"/>
        <v>1</v>
      </c>
    </row>
    <row r="115" spans="1:11" x14ac:dyDescent="0.25">
      <c r="A115" t="s">
        <v>663</v>
      </c>
      <c r="B115" t="s">
        <v>108</v>
      </c>
      <c r="C115" t="s">
        <v>66</v>
      </c>
      <c r="D115" t="s">
        <v>661</v>
      </c>
      <c r="E115">
        <v>17</v>
      </c>
      <c r="F115">
        <v>5</v>
      </c>
      <c r="G115">
        <v>2</v>
      </c>
      <c r="H115">
        <v>0</v>
      </c>
      <c r="I115">
        <v>0</v>
      </c>
      <c r="J115" t="str">
        <f t="shared" si="2"/>
        <v>H2</v>
      </c>
      <c r="K115">
        <f t="shared" si="3"/>
        <v>1</v>
      </c>
    </row>
    <row r="116" spans="1:11" x14ac:dyDescent="0.25">
      <c r="A116" t="s">
        <v>663</v>
      </c>
      <c r="B116" t="s">
        <v>108</v>
      </c>
      <c r="C116" t="s">
        <v>66</v>
      </c>
      <c r="D116" t="s">
        <v>661</v>
      </c>
      <c r="E116">
        <v>14</v>
      </c>
      <c r="F116">
        <v>5</v>
      </c>
      <c r="G116">
        <v>2</v>
      </c>
      <c r="H116">
        <v>0</v>
      </c>
      <c r="I116">
        <v>0</v>
      </c>
      <c r="J116" t="str">
        <f t="shared" si="2"/>
        <v>H2</v>
      </c>
      <c r="K116">
        <f t="shared" si="3"/>
        <v>1</v>
      </c>
    </row>
    <row r="117" spans="1:11" x14ac:dyDescent="0.25">
      <c r="A117" t="s">
        <v>663</v>
      </c>
      <c r="B117" t="s">
        <v>108</v>
      </c>
      <c r="C117" t="s">
        <v>66</v>
      </c>
      <c r="D117" t="s">
        <v>661</v>
      </c>
      <c r="E117">
        <v>11</v>
      </c>
      <c r="F117">
        <v>4</v>
      </c>
      <c r="G117">
        <v>2</v>
      </c>
      <c r="H117">
        <v>0</v>
      </c>
      <c r="I117">
        <v>0</v>
      </c>
      <c r="J117" t="str">
        <f t="shared" si="2"/>
        <v>H2</v>
      </c>
      <c r="K117">
        <f t="shared" si="3"/>
        <v>1</v>
      </c>
    </row>
    <row r="118" spans="1:11" x14ac:dyDescent="0.25">
      <c r="A118" t="s">
        <v>663</v>
      </c>
      <c r="B118" t="s">
        <v>108</v>
      </c>
      <c r="C118" t="s">
        <v>66</v>
      </c>
      <c r="D118" t="s">
        <v>662</v>
      </c>
      <c r="E118">
        <v>12</v>
      </c>
      <c r="F118">
        <v>4</v>
      </c>
      <c r="G118">
        <v>2</v>
      </c>
      <c r="H118">
        <v>0</v>
      </c>
      <c r="I118">
        <v>0</v>
      </c>
      <c r="J118" t="str">
        <f t="shared" si="2"/>
        <v>H2</v>
      </c>
      <c r="K118">
        <f t="shared" si="3"/>
        <v>1</v>
      </c>
    </row>
    <row r="119" spans="1:11" x14ac:dyDescent="0.25">
      <c r="A119" t="s">
        <v>663</v>
      </c>
      <c r="B119" t="s">
        <v>108</v>
      </c>
      <c r="C119" t="s">
        <v>66</v>
      </c>
      <c r="D119" t="s">
        <v>662</v>
      </c>
      <c r="E119">
        <v>18</v>
      </c>
      <c r="F119">
        <v>7</v>
      </c>
      <c r="G119">
        <v>3</v>
      </c>
      <c r="H119">
        <v>1</v>
      </c>
      <c r="I119">
        <v>620.13</v>
      </c>
      <c r="J119" t="str">
        <f t="shared" si="2"/>
        <v>H2</v>
      </c>
      <c r="K119">
        <f t="shared" si="3"/>
        <v>0</v>
      </c>
    </row>
    <row r="120" spans="1:11" x14ac:dyDescent="0.25">
      <c r="A120" t="s">
        <v>663</v>
      </c>
      <c r="B120" t="s">
        <v>108</v>
      </c>
      <c r="C120" t="s">
        <v>66</v>
      </c>
      <c r="D120" t="s">
        <v>662</v>
      </c>
      <c r="E120">
        <v>10</v>
      </c>
      <c r="F120">
        <v>3</v>
      </c>
      <c r="G120">
        <v>1</v>
      </c>
      <c r="H120">
        <v>0</v>
      </c>
      <c r="I120">
        <v>0</v>
      </c>
      <c r="J120" t="str">
        <f t="shared" si="2"/>
        <v>H2</v>
      </c>
      <c r="K120">
        <f t="shared" si="3"/>
        <v>1</v>
      </c>
    </row>
    <row r="121" spans="1:11" x14ac:dyDescent="0.25">
      <c r="A121" t="s">
        <v>663</v>
      </c>
      <c r="B121" t="s">
        <v>108</v>
      </c>
      <c r="C121" t="s">
        <v>66</v>
      </c>
      <c r="D121" t="s">
        <v>662</v>
      </c>
      <c r="E121">
        <v>17</v>
      </c>
      <c r="F121">
        <v>6</v>
      </c>
      <c r="G121">
        <v>3</v>
      </c>
      <c r="H121">
        <v>0</v>
      </c>
      <c r="I121">
        <v>0</v>
      </c>
      <c r="J121" t="str">
        <f t="shared" si="2"/>
        <v>H2</v>
      </c>
      <c r="K121">
        <f t="shared" si="3"/>
        <v>1</v>
      </c>
    </row>
    <row r="122" spans="1:11" x14ac:dyDescent="0.25">
      <c r="A122" t="s">
        <v>664</v>
      </c>
      <c r="B122" t="s">
        <v>60</v>
      </c>
      <c r="C122" t="s">
        <v>59</v>
      </c>
      <c r="D122" t="s">
        <v>651</v>
      </c>
      <c r="E122">
        <v>10</v>
      </c>
      <c r="F122">
        <v>5</v>
      </c>
      <c r="G122">
        <v>3</v>
      </c>
      <c r="H122">
        <v>0</v>
      </c>
      <c r="I122">
        <v>0</v>
      </c>
      <c r="J122" t="str">
        <f t="shared" si="2"/>
        <v>H1</v>
      </c>
      <c r="K122">
        <f t="shared" si="3"/>
        <v>1</v>
      </c>
    </row>
    <row r="123" spans="1:11" x14ac:dyDescent="0.25">
      <c r="A123" t="s">
        <v>664</v>
      </c>
      <c r="B123" t="s">
        <v>60</v>
      </c>
      <c r="C123" t="s">
        <v>59</v>
      </c>
      <c r="D123" t="s">
        <v>651</v>
      </c>
      <c r="E123">
        <v>15</v>
      </c>
      <c r="F123">
        <v>6</v>
      </c>
      <c r="G123">
        <v>2</v>
      </c>
      <c r="H123">
        <v>0</v>
      </c>
      <c r="I123">
        <v>0</v>
      </c>
      <c r="J123" t="str">
        <f t="shared" si="2"/>
        <v>H1</v>
      </c>
      <c r="K123">
        <f t="shared" si="3"/>
        <v>1</v>
      </c>
    </row>
    <row r="124" spans="1:11" x14ac:dyDescent="0.25">
      <c r="A124" t="s">
        <v>664</v>
      </c>
      <c r="B124" t="s">
        <v>60</v>
      </c>
      <c r="C124" t="s">
        <v>59</v>
      </c>
      <c r="D124" t="s">
        <v>651</v>
      </c>
      <c r="E124">
        <v>8</v>
      </c>
      <c r="F124">
        <v>3</v>
      </c>
      <c r="G124">
        <v>1</v>
      </c>
      <c r="H124">
        <v>0</v>
      </c>
      <c r="I124">
        <v>0</v>
      </c>
      <c r="J124" t="str">
        <f t="shared" si="2"/>
        <v>H1</v>
      </c>
      <c r="K124">
        <f t="shared" si="3"/>
        <v>1</v>
      </c>
    </row>
    <row r="125" spans="1:11" x14ac:dyDescent="0.25">
      <c r="A125" t="s">
        <v>664</v>
      </c>
      <c r="B125" t="s">
        <v>60</v>
      </c>
      <c r="C125" t="s">
        <v>59</v>
      </c>
      <c r="D125" t="s">
        <v>651</v>
      </c>
      <c r="E125">
        <v>17</v>
      </c>
      <c r="F125">
        <v>7</v>
      </c>
      <c r="G125">
        <v>4</v>
      </c>
      <c r="H125">
        <v>1</v>
      </c>
      <c r="I125">
        <v>377.39</v>
      </c>
      <c r="J125" t="str">
        <f t="shared" si="2"/>
        <v>H1</v>
      </c>
      <c r="K125">
        <f t="shared" si="3"/>
        <v>0</v>
      </c>
    </row>
    <row r="126" spans="1:11" x14ac:dyDescent="0.25">
      <c r="A126" t="s">
        <v>664</v>
      </c>
      <c r="B126" t="s">
        <v>60</v>
      </c>
      <c r="C126" t="s">
        <v>59</v>
      </c>
      <c r="D126" t="s">
        <v>651</v>
      </c>
      <c r="E126">
        <v>8</v>
      </c>
      <c r="F126">
        <v>3</v>
      </c>
      <c r="G126">
        <v>1</v>
      </c>
      <c r="H126">
        <v>0</v>
      </c>
      <c r="I126">
        <v>0</v>
      </c>
      <c r="J126" t="str">
        <f t="shared" si="2"/>
        <v>H1</v>
      </c>
      <c r="K126">
        <f t="shared" si="3"/>
        <v>1</v>
      </c>
    </row>
    <row r="127" spans="1:11" x14ac:dyDescent="0.25">
      <c r="A127" t="s">
        <v>664</v>
      </c>
      <c r="B127" t="s">
        <v>60</v>
      </c>
      <c r="C127" t="s">
        <v>59</v>
      </c>
      <c r="D127" t="s">
        <v>652</v>
      </c>
      <c r="E127">
        <v>13</v>
      </c>
      <c r="F127">
        <v>6</v>
      </c>
      <c r="G127">
        <v>2</v>
      </c>
      <c r="H127">
        <v>0</v>
      </c>
      <c r="I127">
        <v>0</v>
      </c>
      <c r="J127" t="str">
        <f t="shared" si="2"/>
        <v>H1</v>
      </c>
      <c r="K127">
        <f t="shared" si="3"/>
        <v>1</v>
      </c>
    </row>
    <row r="128" spans="1:11" x14ac:dyDescent="0.25">
      <c r="A128" t="s">
        <v>664</v>
      </c>
      <c r="B128" t="s">
        <v>60</v>
      </c>
      <c r="C128" t="s">
        <v>59</v>
      </c>
      <c r="D128" t="s">
        <v>652</v>
      </c>
      <c r="E128">
        <v>12</v>
      </c>
      <c r="F128">
        <v>6</v>
      </c>
      <c r="G128">
        <v>3</v>
      </c>
      <c r="H128">
        <v>0</v>
      </c>
      <c r="I128">
        <v>0</v>
      </c>
      <c r="J128" t="str">
        <f t="shared" si="2"/>
        <v>H1</v>
      </c>
      <c r="K128">
        <f t="shared" si="3"/>
        <v>1</v>
      </c>
    </row>
    <row r="129" spans="1:11" x14ac:dyDescent="0.25">
      <c r="A129" t="s">
        <v>664</v>
      </c>
      <c r="B129" t="s">
        <v>60</v>
      </c>
      <c r="C129" t="s">
        <v>59</v>
      </c>
      <c r="D129" t="s">
        <v>652</v>
      </c>
      <c r="E129">
        <v>17</v>
      </c>
      <c r="F129">
        <v>5</v>
      </c>
      <c r="G129">
        <v>3</v>
      </c>
      <c r="H129">
        <v>0</v>
      </c>
      <c r="I129">
        <v>0</v>
      </c>
      <c r="J129" t="str">
        <f t="shared" si="2"/>
        <v>H1</v>
      </c>
      <c r="K129">
        <f t="shared" si="3"/>
        <v>1</v>
      </c>
    </row>
    <row r="130" spans="1:11" x14ac:dyDescent="0.25">
      <c r="A130" t="s">
        <v>664</v>
      </c>
      <c r="B130" t="s">
        <v>60</v>
      </c>
      <c r="C130" t="s">
        <v>59</v>
      </c>
      <c r="D130" t="s">
        <v>652</v>
      </c>
      <c r="E130">
        <v>19</v>
      </c>
      <c r="F130">
        <v>8</v>
      </c>
      <c r="G130">
        <v>4</v>
      </c>
      <c r="H130">
        <v>1</v>
      </c>
      <c r="I130">
        <v>350.09</v>
      </c>
      <c r="J130" t="str">
        <f t="shared" ref="J130:J193" si="4">IF(VALUE(RIGHT(D130,2))&lt;=6,"H1","H2")</f>
        <v>H1</v>
      </c>
      <c r="K130">
        <f t="shared" ref="K130:K193" si="5">IF(H130=0,1,0)</f>
        <v>0</v>
      </c>
    </row>
    <row r="131" spans="1:11" x14ac:dyDescent="0.25">
      <c r="A131" t="s">
        <v>664</v>
      </c>
      <c r="B131" t="s">
        <v>60</v>
      </c>
      <c r="C131" t="s">
        <v>59</v>
      </c>
      <c r="D131" t="s">
        <v>652</v>
      </c>
      <c r="E131">
        <v>19</v>
      </c>
      <c r="F131">
        <v>7</v>
      </c>
      <c r="G131">
        <v>4</v>
      </c>
      <c r="H131">
        <v>1</v>
      </c>
      <c r="I131">
        <v>383.61</v>
      </c>
      <c r="J131" t="str">
        <f t="shared" si="4"/>
        <v>H1</v>
      </c>
      <c r="K131">
        <f t="shared" si="5"/>
        <v>0</v>
      </c>
    </row>
    <row r="132" spans="1:11" x14ac:dyDescent="0.25">
      <c r="A132" t="s">
        <v>664</v>
      </c>
      <c r="B132" t="s">
        <v>60</v>
      </c>
      <c r="C132" t="s">
        <v>59</v>
      </c>
      <c r="D132" t="s">
        <v>653</v>
      </c>
      <c r="E132">
        <v>17</v>
      </c>
      <c r="F132">
        <v>6</v>
      </c>
      <c r="G132">
        <v>2</v>
      </c>
      <c r="H132">
        <v>0</v>
      </c>
      <c r="I132">
        <v>0</v>
      </c>
      <c r="J132" t="str">
        <f t="shared" si="4"/>
        <v>H1</v>
      </c>
      <c r="K132">
        <f t="shared" si="5"/>
        <v>1</v>
      </c>
    </row>
    <row r="133" spans="1:11" x14ac:dyDescent="0.25">
      <c r="A133" t="s">
        <v>664</v>
      </c>
      <c r="B133" t="s">
        <v>60</v>
      </c>
      <c r="C133" t="s">
        <v>59</v>
      </c>
      <c r="D133" t="s">
        <v>653</v>
      </c>
      <c r="E133">
        <v>25</v>
      </c>
      <c r="F133">
        <v>12</v>
      </c>
      <c r="G133">
        <v>5</v>
      </c>
      <c r="H133">
        <v>2</v>
      </c>
      <c r="I133">
        <v>1172.9000000000001</v>
      </c>
      <c r="J133" t="str">
        <f t="shared" si="4"/>
        <v>H1</v>
      </c>
      <c r="K133">
        <f t="shared" si="5"/>
        <v>0</v>
      </c>
    </row>
    <row r="134" spans="1:11" x14ac:dyDescent="0.25">
      <c r="A134" t="s">
        <v>664</v>
      </c>
      <c r="B134" t="s">
        <v>60</v>
      </c>
      <c r="C134" t="s">
        <v>59</v>
      </c>
      <c r="D134" t="s">
        <v>653</v>
      </c>
      <c r="E134">
        <v>15</v>
      </c>
      <c r="F134">
        <v>8</v>
      </c>
      <c r="G134">
        <v>5</v>
      </c>
      <c r="H134">
        <v>1</v>
      </c>
      <c r="I134">
        <v>761.3</v>
      </c>
      <c r="J134" t="str">
        <f t="shared" si="4"/>
        <v>H1</v>
      </c>
      <c r="K134">
        <f t="shared" si="5"/>
        <v>0</v>
      </c>
    </row>
    <row r="135" spans="1:11" x14ac:dyDescent="0.25">
      <c r="A135" t="s">
        <v>664</v>
      </c>
      <c r="B135" t="s">
        <v>60</v>
      </c>
      <c r="C135" t="s">
        <v>59</v>
      </c>
      <c r="D135" t="s">
        <v>653</v>
      </c>
      <c r="E135">
        <v>21</v>
      </c>
      <c r="F135">
        <v>9</v>
      </c>
      <c r="G135">
        <v>4</v>
      </c>
      <c r="H135">
        <v>1</v>
      </c>
      <c r="I135">
        <v>709.53</v>
      </c>
      <c r="J135" t="str">
        <f t="shared" si="4"/>
        <v>H1</v>
      </c>
      <c r="K135">
        <f t="shared" si="5"/>
        <v>0</v>
      </c>
    </row>
    <row r="136" spans="1:11" x14ac:dyDescent="0.25">
      <c r="A136" t="s">
        <v>664</v>
      </c>
      <c r="B136" t="s">
        <v>60</v>
      </c>
      <c r="C136" t="s">
        <v>59</v>
      </c>
      <c r="D136" t="s">
        <v>653</v>
      </c>
      <c r="E136">
        <v>22</v>
      </c>
      <c r="F136">
        <v>7</v>
      </c>
      <c r="G136">
        <v>4</v>
      </c>
      <c r="H136">
        <v>1</v>
      </c>
      <c r="I136">
        <v>847.77</v>
      </c>
      <c r="J136" t="str">
        <f t="shared" si="4"/>
        <v>H1</v>
      </c>
      <c r="K136">
        <f t="shared" si="5"/>
        <v>0</v>
      </c>
    </row>
    <row r="137" spans="1:11" x14ac:dyDescent="0.25">
      <c r="A137" t="s">
        <v>664</v>
      </c>
      <c r="B137" t="s">
        <v>60</v>
      </c>
      <c r="C137" t="s">
        <v>59</v>
      </c>
      <c r="D137" t="s">
        <v>654</v>
      </c>
      <c r="E137">
        <v>15</v>
      </c>
      <c r="F137">
        <v>5</v>
      </c>
      <c r="G137">
        <v>2</v>
      </c>
      <c r="H137">
        <v>0</v>
      </c>
      <c r="I137">
        <v>0</v>
      </c>
      <c r="J137" t="str">
        <f t="shared" si="4"/>
        <v>H1</v>
      </c>
      <c r="K137">
        <f t="shared" si="5"/>
        <v>1</v>
      </c>
    </row>
    <row r="138" spans="1:11" x14ac:dyDescent="0.25">
      <c r="A138" t="s">
        <v>664</v>
      </c>
      <c r="B138" t="s">
        <v>60</v>
      </c>
      <c r="C138" t="s">
        <v>59</v>
      </c>
      <c r="D138" t="s">
        <v>654</v>
      </c>
      <c r="E138">
        <v>13</v>
      </c>
      <c r="F138">
        <v>7</v>
      </c>
      <c r="G138">
        <v>4</v>
      </c>
      <c r="H138">
        <v>1</v>
      </c>
      <c r="I138">
        <v>665.24</v>
      </c>
      <c r="J138" t="str">
        <f t="shared" si="4"/>
        <v>H1</v>
      </c>
      <c r="K138">
        <f t="shared" si="5"/>
        <v>0</v>
      </c>
    </row>
    <row r="139" spans="1:11" x14ac:dyDescent="0.25">
      <c r="A139" t="s">
        <v>664</v>
      </c>
      <c r="B139" t="s">
        <v>60</v>
      </c>
      <c r="C139" t="s">
        <v>59</v>
      </c>
      <c r="D139" t="s">
        <v>654</v>
      </c>
      <c r="E139">
        <v>9</v>
      </c>
      <c r="F139">
        <v>4</v>
      </c>
      <c r="G139">
        <v>1</v>
      </c>
      <c r="H139">
        <v>0</v>
      </c>
      <c r="I139">
        <v>0</v>
      </c>
      <c r="J139" t="str">
        <f t="shared" si="4"/>
        <v>H1</v>
      </c>
      <c r="K139">
        <f t="shared" si="5"/>
        <v>1</v>
      </c>
    </row>
    <row r="140" spans="1:11" x14ac:dyDescent="0.25">
      <c r="A140" t="s">
        <v>664</v>
      </c>
      <c r="B140" t="s">
        <v>60</v>
      </c>
      <c r="C140" t="s">
        <v>59</v>
      </c>
      <c r="D140" t="s">
        <v>654</v>
      </c>
      <c r="E140">
        <v>16</v>
      </c>
      <c r="F140">
        <v>8</v>
      </c>
      <c r="G140">
        <v>5</v>
      </c>
      <c r="H140">
        <v>1</v>
      </c>
      <c r="I140">
        <v>301.31</v>
      </c>
      <c r="J140" t="str">
        <f t="shared" si="4"/>
        <v>H1</v>
      </c>
      <c r="K140">
        <f t="shared" si="5"/>
        <v>0</v>
      </c>
    </row>
    <row r="141" spans="1:11" x14ac:dyDescent="0.25">
      <c r="A141" t="s">
        <v>664</v>
      </c>
      <c r="B141" t="s">
        <v>60</v>
      </c>
      <c r="C141" t="s">
        <v>59</v>
      </c>
      <c r="D141" t="s">
        <v>654</v>
      </c>
      <c r="E141">
        <v>20</v>
      </c>
      <c r="F141">
        <v>10</v>
      </c>
      <c r="G141">
        <v>4</v>
      </c>
      <c r="H141">
        <v>1</v>
      </c>
      <c r="I141">
        <v>687.99</v>
      </c>
      <c r="J141" t="str">
        <f t="shared" si="4"/>
        <v>H1</v>
      </c>
      <c r="K141">
        <f t="shared" si="5"/>
        <v>0</v>
      </c>
    </row>
    <row r="142" spans="1:11" x14ac:dyDescent="0.25">
      <c r="A142" t="s">
        <v>664</v>
      </c>
      <c r="B142" t="s">
        <v>60</v>
      </c>
      <c r="C142" t="s">
        <v>59</v>
      </c>
      <c r="D142" t="s">
        <v>655</v>
      </c>
      <c r="E142">
        <v>12</v>
      </c>
      <c r="F142">
        <v>4</v>
      </c>
      <c r="G142">
        <v>1</v>
      </c>
      <c r="H142">
        <v>0</v>
      </c>
      <c r="I142">
        <v>0</v>
      </c>
      <c r="J142" t="str">
        <f t="shared" si="4"/>
        <v>H1</v>
      </c>
      <c r="K142">
        <f t="shared" si="5"/>
        <v>1</v>
      </c>
    </row>
    <row r="143" spans="1:11" x14ac:dyDescent="0.25">
      <c r="A143" t="s">
        <v>664</v>
      </c>
      <c r="B143" t="s">
        <v>60</v>
      </c>
      <c r="C143" t="s">
        <v>59</v>
      </c>
      <c r="D143" t="s">
        <v>655</v>
      </c>
      <c r="E143">
        <v>24</v>
      </c>
      <c r="F143">
        <v>13</v>
      </c>
      <c r="G143">
        <v>6</v>
      </c>
      <c r="H143">
        <v>2</v>
      </c>
      <c r="I143">
        <v>1006.82</v>
      </c>
      <c r="J143" t="str">
        <f t="shared" si="4"/>
        <v>H1</v>
      </c>
      <c r="K143">
        <f t="shared" si="5"/>
        <v>0</v>
      </c>
    </row>
    <row r="144" spans="1:11" x14ac:dyDescent="0.25">
      <c r="A144" t="s">
        <v>664</v>
      </c>
      <c r="B144" t="s">
        <v>60</v>
      </c>
      <c r="C144" t="s">
        <v>59</v>
      </c>
      <c r="D144" t="s">
        <v>655</v>
      </c>
      <c r="E144">
        <v>12</v>
      </c>
      <c r="F144">
        <v>6</v>
      </c>
      <c r="G144">
        <v>2</v>
      </c>
      <c r="H144">
        <v>0</v>
      </c>
      <c r="I144">
        <v>0</v>
      </c>
      <c r="J144" t="str">
        <f t="shared" si="4"/>
        <v>H1</v>
      </c>
      <c r="K144">
        <f t="shared" si="5"/>
        <v>1</v>
      </c>
    </row>
    <row r="145" spans="1:11" x14ac:dyDescent="0.25">
      <c r="A145" t="s">
        <v>664</v>
      </c>
      <c r="B145" t="s">
        <v>60</v>
      </c>
      <c r="C145" t="s">
        <v>59</v>
      </c>
      <c r="D145" t="s">
        <v>655</v>
      </c>
      <c r="E145">
        <v>11</v>
      </c>
      <c r="F145">
        <v>4</v>
      </c>
      <c r="G145">
        <v>1</v>
      </c>
      <c r="H145">
        <v>0</v>
      </c>
      <c r="I145">
        <v>0</v>
      </c>
      <c r="J145" t="str">
        <f t="shared" si="4"/>
        <v>H1</v>
      </c>
      <c r="K145">
        <f t="shared" si="5"/>
        <v>1</v>
      </c>
    </row>
    <row r="146" spans="1:11" x14ac:dyDescent="0.25">
      <c r="A146" t="s">
        <v>664</v>
      </c>
      <c r="B146" t="s">
        <v>60</v>
      </c>
      <c r="C146" t="s">
        <v>59</v>
      </c>
      <c r="D146" t="s">
        <v>655</v>
      </c>
      <c r="E146">
        <v>14</v>
      </c>
      <c r="F146">
        <v>5</v>
      </c>
      <c r="G146">
        <v>2</v>
      </c>
      <c r="H146">
        <v>0</v>
      </c>
      <c r="I146">
        <v>0</v>
      </c>
      <c r="J146" t="str">
        <f t="shared" si="4"/>
        <v>H1</v>
      </c>
      <c r="K146">
        <f t="shared" si="5"/>
        <v>1</v>
      </c>
    </row>
    <row r="147" spans="1:11" x14ac:dyDescent="0.25">
      <c r="A147" t="s">
        <v>664</v>
      </c>
      <c r="B147" t="s">
        <v>60</v>
      </c>
      <c r="C147" t="s">
        <v>59</v>
      </c>
      <c r="D147" t="s">
        <v>656</v>
      </c>
      <c r="E147">
        <v>11</v>
      </c>
      <c r="F147">
        <v>5</v>
      </c>
      <c r="G147">
        <v>2</v>
      </c>
      <c r="H147">
        <v>0</v>
      </c>
      <c r="I147">
        <v>0</v>
      </c>
      <c r="J147" t="str">
        <f t="shared" si="4"/>
        <v>H1</v>
      </c>
      <c r="K147">
        <f t="shared" si="5"/>
        <v>1</v>
      </c>
    </row>
    <row r="148" spans="1:11" x14ac:dyDescent="0.25">
      <c r="A148" t="s">
        <v>664</v>
      </c>
      <c r="B148" t="s">
        <v>60</v>
      </c>
      <c r="C148" t="s">
        <v>59</v>
      </c>
      <c r="D148" t="s">
        <v>656</v>
      </c>
      <c r="E148">
        <v>19</v>
      </c>
      <c r="F148">
        <v>9</v>
      </c>
      <c r="G148">
        <v>6</v>
      </c>
      <c r="H148">
        <v>1</v>
      </c>
      <c r="I148">
        <v>727.66</v>
      </c>
      <c r="J148" t="str">
        <f t="shared" si="4"/>
        <v>H1</v>
      </c>
      <c r="K148">
        <f t="shared" si="5"/>
        <v>0</v>
      </c>
    </row>
    <row r="149" spans="1:11" x14ac:dyDescent="0.25">
      <c r="A149" t="s">
        <v>664</v>
      </c>
      <c r="B149" t="s">
        <v>60</v>
      </c>
      <c r="C149" t="s">
        <v>59</v>
      </c>
      <c r="D149" t="s">
        <v>656</v>
      </c>
      <c r="E149">
        <v>20</v>
      </c>
      <c r="F149">
        <v>11</v>
      </c>
      <c r="G149">
        <v>6</v>
      </c>
      <c r="H149">
        <v>1</v>
      </c>
      <c r="I149">
        <v>581.09</v>
      </c>
      <c r="J149" t="str">
        <f t="shared" si="4"/>
        <v>H1</v>
      </c>
      <c r="K149">
        <f t="shared" si="5"/>
        <v>0</v>
      </c>
    </row>
    <row r="150" spans="1:11" x14ac:dyDescent="0.25">
      <c r="A150" t="s">
        <v>664</v>
      </c>
      <c r="B150" t="s">
        <v>60</v>
      </c>
      <c r="C150" t="s">
        <v>59</v>
      </c>
      <c r="D150" t="s">
        <v>656</v>
      </c>
      <c r="E150">
        <v>23</v>
      </c>
      <c r="F150">
        <v>12</v>
      </c>
      <c r="G150">
        <v>5</v>
      </c>
      <c r="H150">
        <v>1</v>
      </c>
      <c r="I150">
        <v>736.02</v>
      </c>
      <c r="J150" t="str">
        <f t="shared" si="4"/>
        <v>H1</v>
      </c>
      <c r="K150">
        <f t="shared" si="5"/>
        <v>0</v>
      </c>
    </row>
    <row r="151" spans="1:11" x14ac:dyDescent="0.25">
      <c r="A151" t="s">
        <v>664</v>
      </c>
      <c r="B151" t="s">
        <v>60</v>
      </c>
      <c r="C151" t="s">
        <v>59</v>
      </c>
      <c r="D151" t="s">
        <v>656</v>
      </c>
      <c r="E151">
        <v>18</v>
      </c>
      <c r="F151">
        <v>5</v>
      </c>
      <c r="G151">
        <v>2</v>
      </c>
      <c r="H151">
        <v>0</v>
      </c>
      <c r="I151">
        <v>0</v>
      </c>
      <c r="J151" t="str">
        <f t="shared" si="4"/>
        <v>H1</v>
      </c>
      <c r="K151">
        <f t="shared" si="5"/>
        <v>1</v>
      </c>
    </row>
    <row r="152" spans="1:11" x14ac:dyDescent="0.25">
      <c r="A152" t="s">
        <v>664</v>
      </c>
      <c r="B152" t="s">
        <v>60</v>
      </c>
      <c r="C152" t="s">
        <v>59</v>
      </c>
      <c r="D152" t="s">
        <v>657</v>
      </c>
      <c r="E152">
        <v>8</v>
      </c>
      <c r="F152">
        <v>4</v>
      </c>
      <c r="G152">
        <v>2</v>
      </c>
      <c r="H152">
        <v>0</v>
      </c>
      <c r="I152">
        <v>0</v>
      </c>
      <c r="J152" t="str">
        <f t="shared" si="4"/>
        <v>H2</v>
      </c>
      <c r="K152">
        <f t="shared" si="5"/>
        <v>1</v>
      </c>
    </row>
    <row r="153" spans="1:11" x14ac:dyDescent="0.25">
      <c r="A153" t="s">
        <v>664</v>
      </c>
      <c r="B153" t="s">
        <v>60</v>
      </c>
      <c r="C153" t="s">
        <v>59</v>
      </c>
      <c r="D153" t="s">
        <v>657</v>
      </c>
      <c r="E153">
        <v>25</v>
      </c>
      <c r="F153">
        <v>14</v>
      </c>
      <c r="G153">
        <v>7</v>
      </c>
      <c r="H153">
        <v>1</v>
      </c>
      <c r="I153">
        <v>739.07</v>
      </c>
      <c r="J153" t="str">
        <f t="shared" si="4"/>
        <v>H2</v>
      </c>
      <c r="K153">
        <f t="shared" si="5"/>
        <v>0</v>
      </c>
    </row>
    <row r="154" spans="1:11" x14ac:dyDescent="0.25">
      <c r="A154" t="s">
        <v>664</v>
      </c>
      <c r="B154" t="s">
        <v>60</v>
      </c>
      <c r="C154" t="s">
        <v>59</v>
      </c>
      <c r="D154" t="s">
        <v>657</v>
      </c>
      <c r="E154">
        <v>12</v>
      </c>
      <c r="F154">
        <v>3</v>
      </c>
      <c r="G154">
        <v>2</v>
      </c>
      <c r="H154">
        <v>0</v>
      </c>
      <c r="I154">
        <v>0</v>
      </c>
      <c r="J154" t="str">
        <f t="shared" si="4"/>
        <v>H2</v>
      </c>
      <c r="K154">
        <f t="shared" si="5"/>
        <v>1</v>
      </c>
    </row>
    <row r="155" spans="1:11" x14ac:dyDescent="0.25">
      <c r="A155" t="s">
        <v>664</v>
      </c>
      <c r="B155" t="s">
        <v>60</v>
      </c>
      <c r="C155" t="s">
        <v>59</v>
      </c>
      <c r="D155" t="s">
        <v>657</v>
      </c>
      <c r="E155">
        <v>8</v>
      </c>
      <c r="F155">
        <v>2</v>
      </c>
      <c r="G155">
        <v>0</v>
      </c>
      <c r="H155">
        <v>0</v>
      </c>
      <c r="I155">
        <v>0</v>
      </c>
      <c r="J155" t="str">
        <f t="shared" si="4"/>
        <v>H2</v>
      </c>
      <c r="K155">
        <f t="shared" si="5"/>
        <v>1</v>
      </c>
    </row>
    <row r="156" spans="1:11" x14ac:dyDescent="0.25">
      <c r="A156" t="s">
        <v>664</v>
      </c>
      <c r="B156" t="s">
        <v>60</v>
      </c>
      <c r="C156" t="s">
        <v>59</v>
      </c>
      <c r="D156" t="s">
        <v>657</v>
      </c>
      <c r="E156">
        <v>20</v>
      </c>
      <c r="F156">
        <v>7</v>
      </c>
      <c r="G156">
        <v>5</v>
      </c>
      <c r="H156">
        <v>1</v>
      </c>
      <c r="I156">
        <v>874.81</v>
      </c>
      <c r="J156" t="str">
        <f t="shared" si="4"/>
        <v>H2</v>
      </c>
      <c r="K156">
        <f t="shared" si="5"/>
        <v>0</v>
      </c>
    </row>
    <row r="157" spans="1:11" x14ac:dyDescent="0.25">
      <c r="A157" t="s">
        <v>664</v>
      </c>
      <c r="B157" t="s">
        <v>60</v>
      </c>
      <c r="C157" t="s">
        <v>59</v>
      </c>
      <c r="D157" t="s">
        <v>658</v>
      </c>
      <c r="E157">
        <v>9</v>
      </c>
      <c r="F157">
        <v>3</v>
      </c>
      <c r="G157">
        <v>1</v>
      </c>
      <c r="H157">
        <v>0</v>
      </c>
      <c r="I157">
        <v>0</v>
      </c>
      <c r="J157" t="str">
        <f t="shared" si="4"/>
        <v>H2</v>
      </c>
      <c r="K157">
        <f t="shared" si="5"/>
        <v>1</v>
      </c>
    </row>
    <row r="158" spans="1:11" x14ac:dyDescent="0.25">
      <c r="A158" t="s">
        <v>664</v>
      </c>
      <c r="B158" t="s">
        <v>60</v>
      </c>
      <c r="C158" t="s">
        <v>59</v>
      </c>
      <c r="D158" t="s">
        <v>658</v>
      </c>
      <c r="E158">
        <v>20</v>
      </c>
      <c r="F158">
        <v>10</v>
      </c>
      <c r="G158">
        <v>4</v>
      </c>
      <c r="H158">
        <v>1</v>
      </c>
      <c r="I158">
        <v>490.37</v>
      </c>
      <c r="J158" t="str">
        <f t="shared" si="4"/>
        <v>H2</v>
      </c>
      <c r="K158">
        <f t="shared" si="5"/>
        <v>0</v>
      </c>
    </row>
    <row r="159" spans="1:11" x14ac:dyDescent="0.25">
      <c r="A159" t="s">
        <v>664</v>
      </c>
      <c r="B159" t="s">
        <v>60</v>
      </c>
      <c r="C159" t="s">
        <v>59</v>
      </c>
      <c r="D159" t="s">
        <v>658</v>
      </c>
      <c r="E159">
        <v>18</v>
      </c>
      <c r="F159">
        <v>8</v>
      </c>
      <c r="G159">
        <v>4</v>
      </c>
      <c r="H159">
        <v>1</v>
      </c>
      <c r="I159">
        <v>661.05</v>
      </c>
      <c r="J159" t="str">
        <f t="shared" si="4"/>
        <v>H2</v>
      </c>
      <c r="K159">
        <f t="shared" si="5"/>
        <v>0</v>
      </c>
    </row>
    <row r="160" spans="1:11" x14ac:dyDescent="0.25">
      <c r="A160" t="s">
        <v>664</v>
      </c>
      <c r="B160" t="s">
        <v>60</v>
      </c>
      <c r="C160" t="s">
        <v>59</v>
      </c>
      <c r="D160" t="s">
        <v>658</v>
      </c>
      <c r="E160">
        <v>21</v>
      </c>
      <c r="F160">
        <v>7</v>
      </c>
      <c r="G160">
        <v>3</v>
      </c>
      <c r="H160">
        <v>1</v>
      </c>
      <c r="I160">
        <v>748.86</v>
      </c>
      <c r="J160" t="str">
        <f t="shared" si="4"/>
        <v>H2</v>
      </c>
      <c r="K160">
        <f t="shared" si="5"/>
        <v>0</v>
      </c>
    </row>
    <row r="161" spans="1:11" x14ac:dyDescent="0.25">
      <c r="A161" t="s">
        <v>664</v>
      </c>
      <c r="B161" t="s">
        <v>60</v>
      </c>
      <c r="C161" t="s">
        <v>59</v>
      </c>
      <c r="D161" t="s">
        <v>658</v>
      </c>
      <c r="E161">
        <v>23</v>
      </c>
      <c r="F161">
        <v>7</v>
      </c>
      <c r="G161">
        <v>2</v>
      </c>
      <c r="H161">
        <v>0</v>
      </c>
      <c r="I161">
        <v>0</v>
      </c>
      <c r="J161" t="str">
        <f t="shared" si="4"/>
        <v>H2</v>
      </c>
      <c r="K161">
        <f t="shared" si="5"/>
        <v>1</v>
      </c>
    </row>
    <row r="162" spans="1:11" x14ac:dyDescent="0.25">
      <c r="A162" t="s">
        <v>664</v>
      </c>
      <c r="B162" t="s">
        <v>60</v>
      </c>
      <c r="C162" t="s">
        <v>59</v>
      </c>
      <c r="D162" t="s">
        <v>659</v>
      </c>
      <c r="E162">
        <v>23</v>
      </c>
      <c r="F162">
        <v>7</v>
      </c>
      <c r="G162">
        <v>3</v>
      </c>
      <c r="H162">
        <v>1</v>
      </c>
      <c r="I162">
        <v>305.08999999999997</v>
      </c>
      <c r="J162" t="str">
        <f t="shared" si="4"/>
        <v>H2</v>
      </c>
      <c r="K162">
        <f t="shared" si="5"/>
        <v>0</v>
      </c>
    </row>
    <row r="163" spans="1:11" x14ac:dyDescent="0.25">
      <c r="A163" t="s">
        <v>664</v>
      </c>
      <c r="B163" t="s">
        <v>60</v>
      </c>
      <c r="C163" t="s">
        <v>59</v>
      </c>
      <c r="D163" t="s">
        <v>659</v>
      </c>
      <c r="E163">
        <v>23</v>
      </c>
      <c r="F163">
        <v>8</v>
      </c>
      <c r="G163">
        <v>5</v>
      </c>
      <c r="H163">
        <v>1</v>
      </c>
      <c r="I163">
        <v>572.75</v>
      </c>
      <c r="J163" t="str">
        <f t="shared" si="4"/>
        <v>H2</v>
      </c>
      <c r="K163">
        <f t="shared" si="5"/>
        <v>0</v>
      </c>
    </row>
    <row r="164" spans="1:11" x14ac:dyDescent="0.25">
      <c r="A164" t="s">
        <v>664</v>
      </c>
      <c r="B164" t="s">
        <v>60</v>
      </c>
      <c r="C164" t="s">
        <v>59</v>
      </c>
      <c r="D164" t="s">
        <v>659</v>
      </c>
      <c r="E164">
        <v>18</v>
      </c>
      <c r="F164">
        <v>6</v>
      </c>
      <c r="G164">
        <v>4</v>
      </c>
      <c r="H164">
        <v>1</v>
      </c>
      <c r="I164">
        <v>529.91</v>
      </c>
      <c r="J164" t="str">
        <f t="shared" si="4"/>
        <v>H2</v>
      </c>
      <c r="K164">
        <f t="shared" si="5"/>
        <v>0</v>
      </c>
    </row>
    <row r="165" spans="1:11" x14ac:dyDescent="0.25">
      <c r="A165" t="s">
        <v>664</v>
      </c>
      <c r="B165" t="s">
        <v>60</v>
      </c>
      <c r="C165" t="s">
        <v>59</v>
      </c>
      <c r="D165" t="s">
        <v>659</v>
      </c>
      <c r="E165">
        <v>17</v>
      </c>
      <c r="F165">
        <v>7</v>
      </c>
      <c r="G165">
        <v>4</v>
      </c>
      <c r="H165">
        <v>1</v>
      </c>
      <c r="I165">
        <v>686.91</v>
      </c>
      <c r="J165" t="str">
        <f t="shared" si="4"/>
        <v>H2</v>
      </c>
      <c r="K165">
        <f t="shared" si="5"/>
        <v>0</v>
      </c>
    </row>
    <row r="166" spans="1:11" x14ac:dyDescent="0.25">
      <c r="A166" t="s">
        <v>664</v>
      </c>
      <c r="B166" t="s">
        <v>60</v>
      </c>
      <c r="C166" t="s">
        <v>59</v>
      </c>
      <c r="D166" t="s">
        <v>659</v>
      </c>
      <c r="E166">
        <v>10</v>
      </c>
      <c r="F166">
        <v>4</v>
      </c>
      <c r="G166">
        <v>2</v>
      </c>
      <c r="H166">
        <v>0</v>
      </c>
      <c r="I166">
        <v>0</v>
      </c>
      <c r="J166" t="str">
        <f t="shared" si="4"/>
        <v>H2</v>
      </c>
      <c r="K166">
        <f t="shared" si="5"/>
        <v>1</v>
      </c>
    </row>
    <row r="167" spans="1:11" x14ac:dyDescent="0.25">
      <c r="A167" t="s">
        <v>664</v>
      </c>
      <c r="B167" t="s">
        <v>60</v>
      </c>
      <c r="C167" t="s">
        <v>59</v>
      </c>
      <c r="D167" t="s">
        <v>660</v>
      </c>
      <c r="E167">
        <v>10</v>
      </c>
      <c r="F167">
        <v>3</v>
      </c>
      <c r="G167">
        <v>1</v>
      </c>
      <c r="H167">
        <v>0</v>
      </c>
      <c r="I167">
        <v>0</v>
      </c>
      <c r="J167" t="str">
        <f t="shared" si="4"/>
        <v>H2</v>
      </c>
      <c r="K167">
        <f t="shared" si="5"/>
        <v>1</v>
      </c>
    </row>
    <row r="168" spans="1:11" x14ac:dyDescent="0.25">
      <c r="A168" t="s">
        <v>664</v>
      </c>
      <c r="B168" t="s">
        <v>60</v>
      </c>
      <c r="C168" t="s">
        <v>59</v>
      </c>
      <c r="D168" t="s">
        <v>660</v>
      </c>
      <c r="E168">
        <v>25</v>
      </c>
      <c r="F168">
        <v>11</v>
      </c>
      <c r="G168">
        <v>6</v>
      </c>
      <c r="H168">
        <v>2</v>
      </c>
      <c r="I168">
        <v>1585.69</v>
      </c>
      <c r="J168" t="str">
        <f t="shared" si="4"/>
        <v>H2</v>
      </c>
      <c r="K168">
        <f t="shared" si="5"/>
        <v>0</v>
      </c>
    </row>
    <row r="169" spans="1:11" x14ac:dyDescent="0.25">
      <c r="A169" t="s">
        <v>664</v>
      </c>
      <c r="B169" t="s">
        <v>60</v>
      </c>
      <c r="C169" t="s">
        <v>59</v>
      </c>
      <c r="D169" t="s">
        <v>660</v>
      </c>
      <c r="E169">
        <v>8</v>
      </c>
      <c r="F169">
        <v>3</v>
      </c>
      <c r="G169">
        <v>1</v>
      </c>
      <c r="H169">
        <v>0</v>
      </c>
      <c r="I169">
        <v>0</v>
      </c>
      <c r="J169" t="str">
        <f t="shared" si="4"/>
        <v>H2</v>
      </c>
      <c r="K169">
        <f t="shared" si="5"/>
        <v>1</v>
      </c>
    </row>
    <row r="170" spans="1:11" x14ac:dyDescent="0.25">
      <c r="A170" t="s">
        <v>664</v>
      </c>
      <c r="B170" t="s">
        <v>60</v>
      </c>
      <c r="C170" t="s">
        <v>59</v>
      </c>
      <c r="D170" t="s">
        <v>660</v>
      </c>
      <c r="E170">
        <v>19</v>
      </c>
      <c r="F170">
        <v>9</v>
      </c>
      <c r="G170">
        <v>6</v>
      </c>
      <c r="H170">
        <v>2</v>
      </c>
      <c r="I170">
        <v>977.37</v>
      </c>
      <c r="J170" t="str">
        <f t="shared" si="4"/>
        <v>H2</v>
      </c>
      <c r="K170">
        <f t="shared" si="5"/>
        <v>0</v>
      </c>
    </row>
    <row r="171" spans="1:11" x14ac:dyDescent="0.25">
      <c r="A171" t="s">
        <v>664</v>
      </c>
      <c r="B171" t="s">
        <v>60</v>
      </c>
      <c r="C171" t="s">
        <v>59</v>
      </c>
      <c r="D171" t="s">
        <v>660</v>
      </c>
      <c r="E171">
        <v>25</v>
      </c>
      <c r="F171">
        <v>8</v>
      </c>
      <c r="G171">
        <v>4</v>
      </c>
      <c r="H171">
        <v>1</v>
      </c>
      <c r="I171">
        <v>492.11</v>
      </c>
      <c r="J171" t="str">
        <f t="shared" si="4"/>
        <v>H2</v>
      </c>
      <c r="K171">
        <f t="shared" si="5"/>
        <v>0</v>
      </c>
    </row>
    <row r="172" spans="1:11" x14ac:dyDescent="0.25">
      <c r="A172" t="s">
        <v>664</v>
      </c>
      <c r="B172" t="s">
        <v>60</v>
      </c>
      <c r="C172" t="s">
        <v>59</v>
      </c>
      <c r="D172" t="s">
        <v>661</v>
      </c>
      <c r="E172">
        <v>22</v>
      </c>
      <c r="F172">
        <v>8</v>
      </c>
      <c r="G172">
        <v>4</v>
      </c>
      <c r="H172">
        <v>1</v>
      </c>
      <c r="I172">
        <v>825.99</v>
      </c>
      <c r="J172" t="str">
        <f t="shared" si="4"/>
        <v>H2</v>
      </c>
      <c r="K172">
        <f t="shared" si="5"/>
        <v>0</v>
      </c>
    </row>
    <row r="173" spans="1:11" x14ac:dyDescent="0.25">
      <c r="A173" t="s">
        <v>664</v>
      </c>
      <c r="B173" t="s">
        <v>60</v>
      </c>
      <c r="C173" t="s">
        <v>59</v>
      </c>
      <c r="D173" t="s">
        <v>661</v>
      </c>
      <c r="E173">
        <v>20</v>
      </c>
      <c r="F173">
        <v>10</v>
      </c>
      <c r="G173">
        <v>7</v>
      </c>
      <c r="H173">
        <v>2</v>
      </c>
      <c r="I173">
        <v>716.86</v>
      </c>
      <c r="J173" t="str">
        <f t="shared" si="4"/>
        <v>H2</v>
      </c>
      <c r="K173">
        <f t="shared" si="5"/>
        <v>0</v>
      </c>
    </row>
    <row r="174" spans="1:11" x14ac:dyDescent="0.25">
      <c r="A174" t="s">
        <v>664</v>
      </c>
      <c r="B174" t="s">
        <v>60</v>
      </c>
      <c r="C174" t="s">
        <v>59</v>
      </c>
      <c r="D174" t="s">
        <v>661</v>
      </c>
      <c r="E174">
        <v>20</v>
      </c>
      <c r="F174">
        <v>6</v>
      </c>
      <c r="G174">
        <v>3</v>
      </c>
      <c r="H174">
        <v>1</v>
      </c>
      <c r="I174">
        <v>765.96</v>
      </c>
      <c r="J174" t="str">
        <f t="shared" si="4"/>
        <v>H2</v>
      </c>
      <c r="K174">
        <f t="shared" si="5"/>
        <v>0</v>
      </c>
    </row>
    <row r="175" spans="1:11" x14ac:dyDescent="0.25">
      <c r="A175" t="s">
        <v>664</v>
      </c>
      <c r="B175" t="s">
        <v>60</v>
      </c>
      <c r="C175" t="s">
        <v>59</v>
      </c>
      <c r="D175" t="s">
        <v>661</v>
      </c>
      <c r="E175">
        <v>13</v>
      </c>
      <c r="F175">
        <v>5</v>
      </c>
      <c r="G175">
        <v>2</v>
      </c>
      <c r="H175">
        <v>0</v>
      </c>
      <c r="I175">
        <v>0</v>
      </c>
      <c r="J175" t="str">
        <f t="shared" si="4"/>
        <v>H2</v>
      </c>
      <c r="K175">
        <f t="shared" si="5"/>
        <v>1</v>
      </c>
    </row>
    <row r="176" spans="1:11" x14ac:dyDescent="0.25">
      <c r="A176" t="s">
        <v>664</v>
      </c>
      <c r="B176" t="s">
        <v>60</v>
      </c>
      <c r="C176" t="s">
        <v>59</v>
      </c>
      <c r="D176" t="s">
        <v>661</v>
      </c>
      <c r="E176">
        <v>9</v>
      </c>
      <c r="F176">
        <v>5</v>
      </c>
      <c r="G176">
        <v>3</v>
      </c>
      <c r="H176">
        <v>0</v>
      </c>
      <c r="I176">
        <v>0</v>
      </c>
      <c r="J176" t="str">
        <f t="shared" si="4"/>
        <v>H2</v>
      </c>
      <c r="K176">
        <f t="shared" si="5"/>
        <v>1</v>
      </c>
    </row>
    <row r="177" spans="1:11" x14ac:dyDescent="0.25">
      <c r="A177" t="s">
        <v>664</v>
      </c>
      <c r="B177" t="s">
        <v>60</v>
      </c>
      <c r="C177" t="s">
        <v>59</v>
      </c>
      <c r="D177" t="s">
        <v>662</v>
      </c>
      <c r="E177">
        <v>12</v>
      </c>
      <c r="F177">
        <v>6</v>
      </c>
      <c r="G177">
        <v>4</v>
      </c>
      <c r="H177">
        <v>1</v>
      </c>
      <c r="I177">
        <v>518.08000000000004</v>
      </c>
      <c r="J177" t="str">
        <f t="shared" si="4"/>
        <v>H2</v>
      </c>
      <c r="K177">
        <f t="shared" si="5"/>
        <v>0</v>
      </c>
    </row>
    <row r="178" spans="1:11" x14ac:dyDescent="0.25">
      <c r="A178" t="s">
        <v>664</v>
      </c>
      <c r="B178" t="s">
        <v>60</v>
      </c>
      <c r="C178" t="s">
        <v>59</v>
      </c>
      <c r="D178" t="s">
        <v>662</v>
      </c>
      <c r="E178">
        <v>15</v>
      </c>
      <c r="F178">
        <v>7</v>
      </c>
      <c r="G178">
        <v>3</v>
      </c>
      <c r="H178">
        <v>0</v>
      </c>
      <c r="I178">
        <v>0</v>
      </c>
      <c r="J178" t="str">
        <f t="shared" si="4"/>
        <v>H2</v>
      </c>
      <c r="K178">
        <f t="shared" si="5"/>
        <v>1</v>
      </c>
    </row>
    <row r="179" spans="1:11" x14ac:dyDescent="0.25">
      <c r="A179" t="s">
        <v>664</v>
      </c>
      <c r="B179" t="s">
        <v>60</v>
      </c>
      <c r="C179" t="s">
        <v>59</v>
      </c>
      <c r="D179" t="s">
        <v>662</v>
      </c>
      <c r="E179">
        <v>22</v>
      </c>
      <c r="F179">
        <v>10</v>
      </c>
      <c r="G179">
        <v>6</v>
      </c>
      <c r="H179">
        <v>2</v>
      </c>
      <c r="I179">
        <v>1202.25</v>
      </c>
      <c r="J179" t="str">
        <f t="shared" si="4"/>
        <v>H2</v>
      </c>
      <c r="K179">
        <f t="shared" si="5"/>
        <v>0</v>
      </c>
    </row>
    <row r="180" spans="1:11" x14ac:dyDescent="0.25">
      <c r="A180" t="s">
        <v>664</v>
      </c>
      <c r="B180" t="s">
        <v>60</v>
      </c>
      <c r="C180" t="s">
        <v>59</v>
      </c>
      <c r="D180" t="s">
        <v>662</v>
      </c>
      <c r="E180">
        <v>21</v>
      </c>
      <c r="F180">
        <v>11</v>
      </c>
      <c r="G180">
        <v>6</v>
      </c>
      <c r="H180">
        <v>2</v>
      </c>
      <c r="I180">
        <v>1530.07</v>
      </c>
      <c r="J180" t="str">
        <f t="shared" si="4"/>
        <v>H2</v>
      </c>
      <c r="K180">
        <f t="shared" si="5"/>
        <v>0</v>
      </c>
    </row>
    <row r="181" spans="1:11" x14ac:dyDescent="0.25">
      <c r="A181" t="s">
        <v>664</v>
      </c>
      <c r="B181" t="s">
        <v>60</v>
      </c>
      <c r="C181" t="s">
        <v>59</v>
      </c>
      <c r="D181" t="s">
        <v>662</v>
      </c>
      <c r="E181">
        <v>21</v>
      </c>
      <c r="F181">
        <v>12</v>
      </c>
      <c r="G181">
        <v>5</v>
      </c>
      <c r="H181">
        <v>1</v>
      </c>
      <c r="I181">
        <v>313.77</v>
      </c>
      <c r="J181" t="str">
        <f t="shared" si="4"/>
        <v>H2</v>
      </c>
      <c r="K181">
        <f t="shared" si="5"/>
        <v>0</v>
      </c>
    </row>
    <row r="182" spans="1:11" x14ac:dyDescent="0.25">
      <c r="A182" t="s">
        <v>665</v>
      </c>
      <c r="B182" t="s">
        <v>50</v>
      </c>
      <c r="C182" t="s">
        <v>49</v>
      </c>
      <c r="D182" t="s">
        <v>651</v>
      </c>
      <c r="E182">
        <v>21</v>
      </c>
      <c r="F182">
        <v>8</v>
      </c>
      <c r="G182">
        <v>4</v>
      </c>
      <c r="H182">
        <v>0</v>
      </c>
      <c r="I182">
        <v>0</v>
      </c>
      <c r="J182" t="str">
        <f t="shared" si="4"/>
        <v>H1</v>
      </c>
      <c r="K182">
        <f t="shared" si="5"/>
        <v>1</v>
      </c>
    </row>
    <row r="183" spans="1:11" x14ac:dyDescent="0.25">
      <c r="A183" t="s">
        <v>665</v>
      </c>
      <c r="B183" t="s">
        <v>50</v>
      </c>
      <c r="C183" t="s">
        <v>49</v>
      </c>
      <c r="D183" t="s">
        <v>651</v>
      </c>
      <c r="E183">
        <v>16</v>
      </c>
      <c r="F183">
        <v>6</v>
      </c>
      <c r="G183">
        <v>4</v>
      </c>
      <c r="H183">
        <v>1</v>
      </c>
      <c r="I183">
        <v>703.98</v>
      </c>
      <c r="J183" t="str">
        <f t="shared" si="4"/>
        <v>H1</v>
      </c>
      <c r="K183">
        <f t="shared" si="5"/>
        <v>0</v>
      </c>
    </row>
    <row r="184" spans="1:11" x14ac:dyDescent="0.25">
      <c r="A184" t="s">
        <v>665</v>
      </c>
      <c r="B184" t="s">
        <v>50</v>
      </c>
      <c r="C184" t="s">
        <v>49</v>
      </c>
      <c r="D184" t="s">
        <v>651</v>
      </c>
      <c r="E184">
        <v>8</v>
      </c>
      <c r="F184">
        <v>3</v>
      </c>
      <c r="G184">
        <v>1</v>
      </c>
      <c r="H184">
        <v>0</v>
      </c>
      <c r="I184">
        <v>0</v>
      </c>
      <c r="J184" t="str">
        <f t="shared" si="4"/>
        <v>H1</v>
      </c>
      <c r="K184">
        <f t="shared" si="5"/>
        <v>1</v>
      </c>
    </row>
    <row r="185" spans="1:11" x14ac:dyDescent="0.25">
      <c r="A185" t="s">
        <v>665</v>
      </c>
      <c r="B185" t="s">
        <v>50</v>
      </c>
      <c r="C185" t="s">
        <v>49</v>
      </c>
      <c r="D185" t="s">
        <v>652</v>
      </c>
      <c r="E185">
        <v>20</v>
      </c>
      <c r="F185">
        <v>6</v>
      </c>
      <c r="G185">
        <v>4</v>
      </c>
      <c r="H185">
        <v>1</v>
      </c>
      <c r="I185">
        <v>551.83000000000004</v>
      </c>
      <c r="J185" t="str">
        <f t="shared" si="4"/>
        <v>H1</v>
      </c>
      <c r="K185">
        <f t="shared" si="5"/>
        <v>0</v>
      </c>
    </row>
    <row r="186" spans="1:11" x14ac:dyDescent="0.25">
      <c r="A186" t="s">
        <v>665</v>
      </c>
      <c r="B186" t="s">
        <v>50</v>
      </c>
      <c r="C186" t="s">
        <v>49</v>
      </c>
      <c r="D186" t="s">
        <v>652</v>
      </c>
      <c r="E186">
        <v>8</v>
      </c>
      <c r="F186">
        <v>4</v>
      </c>
      <c r="G186">
        <v>2</v>
      </c>
      <c r="H186">
        <v>0</v>
      </c>
      <c r="I186">
        <v>0</v>
      </c>
      <c r="J186" t="str">
        <f t="shared" si="4"/>
        <v>H1</v>
      </c>
      <c r="K186">
        <f t="shared" si="5"/>
        <v>1</v>
      </c>
    </row>
    <row r="187" spans="1:11" x14ac:dyDescent="0.25">
      <c r="A187" t="s">
        <v>665</v>
      </c>
      <c r="B187" t="s">
        <v>50</v>
      </c>
      <c r="C187" t="s">
        <v>49</v>
      </c>
      <c r="D187" t="s">
        <v>652</v>
      </c>
      <c r="E187">
        <v>11</v>
      </c>
      <c r="F187">
        <v>5</v>
      </c>
      <c r="G187">
        <v>3</v>
      </c>
      <c r="H187">
        <v>1</v>
      </c>
      <c r="I187">
        <v>546.23</v>
      </c>
      <c r="J187" t="str">
        <f t="shared" si="4"/>
        <v>H1</v>
      </c>
      <c r="K187">
        <f t="shared" si="5"/>
        <v>0</v>
      </c>
    </row>
    <row r="188" spans="1:11" x14ac:dyDescent="0.25">
      <c r="A188" t="s">
        <v>665</v>
      </c>
      <c r="B188" t="s">
        <v>50</v>
      </c>
      <c r="C188" t="s">
        <v>49</v>
      </c>
      <c r="D188" t="s">
        <v>653</v>
      </c>
      <c r="E188">
        <v>14</v>
      </c>
      <c r="F188">
        <v>7</v>
      </c>
      <c r="G188">
        <v>3</v>
      </c>
      <c r="H188">
        <v>1</v>
      </c>
      <c r="I188">
        <v>355.46</v>
      </c>
      <c r="J188" t="str">
        <f t="shared" si="4"/>
        <v>H1</v>
      </c>
      <c r="K188">
        <f t="shared" si="5"/>
        <v>0</v>
      </c>
    </row>
    <row r="189" spans="1:11" x14ac:dyDescent="0.25">
      <c r="A189" t="s">
        <v>665</v>
      </c>
      <c r="B189" t="s">
        <v>50</v>
      </c>
      <c r="C189" t="s">
        <v>49</v>
      </c>
      <c r="D189" t="s">
        <v>653</v>
      </c>
      <c r="E189">
        <v>19</v>
      </c>
      <c r="F189">
        <v>10</v>
      </c>
      <c r="G189">
        <v>5</v>
      </c>
      <c r="H189">
        <v>2</v>
      </c>
      <c r="I189">
        <v>980.97</v>
      </c>
      <c r="J189" t="str">
        <f t="shared" si="4"/>
        <v>H1</v>
      </c>
      <c r="K189">
        <f t="shared" si="5"/>
        <v>0</v>
      </c>
    </row>
    <row r="190" spans="1:11" x14ac:dyDescent="0.25">
      <c r="A190" t="s">
        <v>665</v>
      </c>
      <c r="B190" t="s">
        <v>50</v>
      </c>
      <c r="C190" t="s">
        <v>49</v>
      </c>
      <c r="D190" t="s">
        <v>653</v>
      </c>
      <c r="E190">
        <v>19</v>
      </c>
      <c r="F190">
        <v>10</v>
      </c>
      <c r="G190">
        <v>5</v>
      </c>
      <c r="H190">
        <v>2</v>
      </c>
      <c r="I190">
        <v>1002.99</v>
      </c>
      <c r="J190" t="str">
        <f t="shared" si="4"/>
        <v>H1</v>
      </c>
      <c r="K190">
        <f t="shared" si="5"/>
        <v>0</v>
      </c>
    </row>
    <row r="191" spans="1:11" x14ac:dyDescent="0.25">
      <c r="A191" t="s">
        <v>665</v>
      </c>
      <c r="B191" t="s">
        <v>50</v>
      </c>
      <c r="C191" t="s">
        <v>49</v>
      </c>
      <c r="D191" t="s">
        <v>654</v>
      </c>
      <c r="E191">
        <v>21</v>
      </c>
      <c r="F191">
        <v>8</v>
      </c>
      <c r="G191">
        <v>5</v>
      </c>
      <c r="H191">
        <v>1</v>
      </c>
      <c r="I191">
        <v>509.57</v>
      </c>
      <c r="J191" t="str">
        <f t="shared" si="4"/>
        <v>H1</v>
      </c>
      <c r="K191">
        <f t="shared" si="5"/>
        <v>0</v>
      </c>
    </row>
    <row r="192" spans="1:11" x14ac:dyDescent="0.25">
      <c r="A192" t="s">
        <v>665</v>
      </c>
      <c r="B192" t="s">
        <v>50</v>
      </c>
      <c r="C192" t="s">
        <v>49</v>
      </c>
      <c r="D192" t="s">
        <v>654</v>
      </c>
      <c r="E192">
        <v>13</v>
      </c>
      <c r="F192">
        <v>7</v>
      </c>
      <c r="G192">
        <v>5</v>
      </c>
      <c r="H192">
        <v>1</v>
      </c>
      <c r="I192">
        <v>884.09</v>
      </c>
      <c r="J192" t="str">
        <f t="shared" si="4"/>
        <v>H1</v>
      </c>
      <c r="K192">
        <f t="shared" si="5"/>
        <v>0</v>
      </c>
    </row>
    <row r="193" spans="1:11" x14ac:dyDescent="0.25">
      <c r="A193" t="s">
        <v>665</v>
      </c>
      <c r="B193" t="s">
        <v>50</v>
      </c>
      <c r="C193" t="s">
        <v>49</v>
      </c>
      <c r="D193" t="s">
        <v>654</v>
      </c>
      <c r="E193">
        <v>13</v>
      </c>
      <c r="F193">
        <v>5</v>
      </c>
      <c r="G193">
        <v>2</v>
      </c>
      <c r="H193">
        <v>0</v>
      </c>
      <c r="I193">
        <v>0</v>
      </c>
      <c r="J193" t="str">
        <f t="shared" si="4"/>
        <v>H1</v>
      </c>
      <c r="K193">
        <f t="shared" si="5"/>
        <v>1</v>
      </c>
    </row>
    <row r="194" spans="1:11" x14ac:dyDescent="0.25">
      <c r="A194" t="s">
        <v>665</v>
      </c>
      <c r="B194" t="s">
        <v>50</v>
      </c>
      <c r="C194" t="s">
        <v>49</v>
      </c>
      <c r="D194" t="s">
        <v>655</v>
      </c>
      <c r="E194">
        <v>21</v>
      </c>
      <c r="F194">
        <v>9</v>
      </c>
      <c r="G194">
        <v>5</v>
      </c>
      <c r="H194">
        <v>2</v>
      </c>
      <c r="I194">
        <v>1758.71</v>
      </c>
      <c r="J194" t="str">
        <f t="shared" ref="J194:J257" si="6">IF(VALUE(RIGHT(D194,2))&lt;=6,"H1","H2")</f>
        <v>H1</v>
      </c>
      <c r="K194">
        <f t="shared" ref="K194:K257" si="7">IF(H194=0,1,0)</f>
        <v>0</v>
      </c>
    </row>
    <row r="195" spans="1:11" x14ac:dyDescent="0.25">
      <c r="A195" t="s">
        <v>665</v>
      </c>
      <c r="B195" t="s">
        <v>50</v>
      </c>
      <c r="C195" t="s">
        <v>49</v>
      </c>
      <c r="D195" t="s">
        <v>655</v>
      </c>
      <c r="E195">
        <v>14</v>
      </c>
      <c r="F195">
        <v>6</v>
      </c>
      <c r="G195">
        <v>3</v>
      </c>
      <c r="H195">
        <v>0</v>
      </c>
      <c r="I195">
        <v>0</v>
      </c>
      <c r="J195" t="str">
        <f t="shared" si="6"/>
        <v>H1</v>
      </c>
      <c r="K195">
        <f t="shared" si="7"/>
        <v>1</v>
      </c>
    </row>
    <row r="196" spans="1:11" x14ac:dyDescent="0.25">
      <c r="A196" t="s">
        <v>665</v>
      </c>
      <c r="B196" t="s">
        <v>50</v>
      </c>
      <c r="C196" t="s">
        <v>49</v>
      </c>
      <c r="D196" t="s">
        <v>655</v>
      </c>
      <c r="E196">
        <v>21</v>
      </c>
      <c r="F196">
        <v>8</v>
      </c>
      <c r="G196">
        <v>5</v>
      </c>
      <c r="H196">
        <v>2</v>
      </c>
      <c r="I196">
        <v>1124.99</v>
      </c>
      <c r="J196" t="str">
        <f t="shared" si="6"/>
        <v>H1</v>
      </c>
      <c r="K196">
        <f t="shared" si="7"/>
        <v>0</v>
      </c>
    </row>
    <row r="197" spans="1:11" x14ac:dyDescent="0.25">
      <c r="A197" t="s">
        <v>665</v>
      </c>
      <c r="B197" t="s">
        <v>50</v>
      </c>
      <c r="C197" t="s">
        <v>49</v>
      </c>
      <c r="D197" t="s">
        <v>656</v>
      </c>
      <c r="E197">
        <v>21</v>
      </c>
      <c r="F197">
        <v>8</v>
      </c>
      <c r="G197">
        <v>5</v>
      </c>
      <c r="H197">
        <v>1</v>
      </c>
      <c r="I197">
        <v>305.95999999999998</v>
      </c>
      <c r="J197" t="str">
        <f t="shared" si="6"/>
        <v>H1</v>
      </c>
      <c r="K197">
        <f t="shared" si="7"/>
        <v>0</v>
      </c>
    </row>
    <row r="198" spans="1:11" x14ac:dyDescent="0.25">
      <c r="A198" t="s">
        <v>665</v>
      </c>
      <c r="B198" t="s">
        <v>50</v>
      </c>
      <c r="C198" t="s">
        <v>49</v>
      </c>
      <c r="D198" t="s">
        <v>656</v>
      </c>
      <c r="E198">
        <v>21</v>
      </c>
      <c r="F198">
        <v>7</v>
      </c>
      <c r="G198">
        <v>4</v>
      </c>
      <c r="H198">
        <v>1</v>
      </c>
      <c r="I198">
        <v>404.23</v>
      </c>
      <c r="J198" t="str">
        <f t="shared" si="6"/>
        <v>H1</v>
      </c>
      <c r="K198">
        <f t="shared" si="7"/>
        <v>0</v>
      </c>
    </row>
    <row r="199" spans="1:11" x14ac:dyDescent="0.25">
      <c r="A199" t="s">
        <v>665</v>
      </c>
      <c r="B199" t="s">
        <v>50</v>
      </c>
      <c r="C199" t="s">
        <v>49</v>
      </c>
      <c r="D199" t="s">
        <v>656</v>
      </c>
      <c r="E199">
        <v>17</v>
      </c>
      <c r="F199">
        <v>8</v>
      </c>
      <c r="G199">
        <v>5</v>
      </c>
      <c r="H199">
        <v>2</v>
      </c>
      <c r="I199">
        <v>719.07</v>
      </c>
      <c r="J199" t="str">
        <f t="shared" si="6"/>
        <v>H1</v>
      </c>
      <c r="K199">
        <f t="shared" si="7"/>
        <v>0</v>
      </c>
    </row>
    <row r="200" spans="1:11" x14ac:dyDescent="0.25">
      <c r="A200" t="s">
        <v>665</v>
      </c>
      <c r="B200" t="s">
        <v>50</v>
      </c>
      <c r="C200" t="s">
        <v>49</v>
      </c>
      <c r="D200" t="s">
        <v>657</v>
      </c>
      <c r="E200">
        <v>10</v>
      </c>
      <c r="F200">
        <v>5</v>
      </c>
      <c r="G200">
        <v>2</v>
      </c>
      <c r="H200">
        <v>0</v>
      </c>
      <c r="I200">
        <v>0</v>
      </c>
      <c r="J200" t="str">
        <f t="shared" si="6"/>
        <v>H2</v>
      </c>
      <c r="K200">
        <f t="shared" si="7"/>
        <v>1</v>
      </c>
    </row>
    <row r="201" spans="1:11" x14ac:dyDescent="0.25">
      <c r="A201" t="s">
        <v>665</v>
      </c>
      <c r="B201" t="s">
        <v>50</v>
      </c>
      <c r="C201" t="s">
        <v>49</v>
      </c>
      <c r="D201" t="s">
        <v>657</v>
      </c>
      <c r="E201">
        <v>14</v>
      </c>
      <c r="F201">
        <v>4</v>
      </c>
      <c r="G201">
        <v>2</v>
      </c>
      <c r="H201">
        <v>0</v>
      </c>
      <c r="I201">
        <v>0</v>
      </c>
      <c r="J201" t="str">
        <f t="shared" si="6"/>
        <v>H2</v>
      </c>
      <c r="K201">
        <f t="shared" si="7"/>
        <v>1</v>
      </c>
    </row>
    <row r="202" spans="1:11" x14ac:dyDescent="0.25">
      <c r="A202" t="s">
        <v>665</v>
      </c>
      <c r="B202" t="s">
        <v>50</v>
      </c>
      <c r="C202" t="s">
        <v>49</v>
      </c>
      <c r="D202" t="s">
        <v>657</v>
      </c>
      <c r="E202">
        <v>18</v>
      </c>
      <c r="F202">
        <v>8</v>
      </c>
      <c r="G202">
        <v>4</v>
      </c>
      <c r="H202">
        <v>0</v>
      </c>
      <c r="I202">
        <v>0</v>
      </c>
      <c r="J202" t="str">
        <f t="shared" si="6"/>
        <v>H2</v>
      </c>
      <c r="K202">
        <f t="shared" si="7"/>
        <v>1</v>
      </c>
    </row>
    <row r="203" spans="1:11" x14ac:dyDescent="0.25">
      <c r="A203" t="s">
        <v>665</v>
      </c>
      <c r="B203" t="s">
        <v>50</v>
      </c>
      <c r="C203" t="s">
        <v>49</v>
      </c>
      <c r="D203" t="s">
        <v>658</v>
      </c>
      <c r="E203">
        <v>21</v>
      </c>
      <c r="F203">
        <v>6</v>
      </c>
      <c r="G203">
        <v>3</v>
      </c>
      <c r="H203">
        <v>1</v>
      </c>
      <c r="I203">
        <v>626.84</v>
      </c>
      <c r="J203" t="str">
        <f t="shared" si="6"/>
        <v>H2</v>
      </c>
      <c r="K203">
        <f t="shared" si="7"/>
        <v>0</v>
      </c>
    </row>
    <row r="204" spans="1:11" x14ac:dyDescent="0.25">
      <c r="A204" t="s">
        <v>665</v>
      </c>
      <c r="B204" t="s">
        <v>50</v>
      </c>
      <c r="C204" t="s">
        <v>49</v>
      </c>
      <c r="D204" t="s">
        <v>658</v>
      </c>
      <c r="E204">
        <v>18</v>
      </c>
      <c r="F204">
        <v>5</v>
      </c>
      <c r="G204">
        <v>3</v>
      </c>
      <c r="H204">
        <v>1</v>
      </c>
      <c r="I204">
        <v>599.66999999999996</v>
      </c>
      <c r="J204" t="str">
        <f t="shared" si="6"/>
        <v>H2</v>
      </c>
      <c r="K204">
        <f t="shared" si="7"/>
        <v>0</v>
      </c>
    </row>
    <row r="205" spans="1:11" x14ac:dyDescent="0.25">
      <c r="A205" t="s">
        <v>665</v>
      </c>
      <c r="B205" t="s">
        <v>50</v>
      </c>
      <c r="C205" t="s">
        <v>49</v>
      </c>
      <c r="D205" t="s">
        <v>658</v>
      </c>
      <c r="E205">
        <v>24</v>
      </c>
      <c r="F205">
        <v>8</v>
      </c>
      <c r="G205">
        <v>4</v>
      </c>
      <c r="H205">
        <v>1</v>
      </c>
      <c r="I205">
        <v>757.3</v>
      </c>
      <c r="J205" t="str">
        <f t="shared" si="6"/>
        <v>H2</v>
      </c>
      <c r="K205">
        <f t="shared" si="7"/>
        <v>0</v>
      </c>
    </row>
    <row r="206" spans="1:11" x14ac:dyDescent="0.25">
      <c r="A206" t="s">
        <v>665</v>
      </c>
      <c r="B206" t="s">
        <v>50</v>
      </c>
      <c r="C206" t="s">
        <v>49</v>
      </c>
      <c r="D206" t="s">
        <v>659</v>
      </c>
      <c r="E206">
        <v>22</v>
      </c>
      <c r="F206">
        <v>9</v>
      </c>
      <c r="G206">
        <v>6</v>
      </c>
      <c r="H206">
        <v>2</v>
      </c>
      <c r="I206">
        <v>1622.05</v>
      </c>
      <c r="J206" t="str">
        <f t="shared" si="6"/>
        <v>H2</v>
      </c>
      <c r="K206">
        <f t="shared" si="7"/>
        <v>0</v>
      </c>
    </row>
    <row r="207" spans="1:11" x14ac:dyDescent="0.25">
      <c r="A207" t="s">
        <v>665</v>
      </c>
      <c r="B207" t="s">
        <v>50</v>
      </c>
      <c r="C207" t="s">
        <v>49</v>
      </c>
      <c r="D207" t="s">
        <v>659</v>
      </c>
      <c r="E207">
        <v>18</v>
      </c>
      <c r="F207">
        <v>6</v>
      </c>
      <c r="G207">
        <v>4</v>
      </c>
      <c r="H207">
        <v>1</v>
      </c>
      <c r="I207">
        <v>612.41999999999996</v>
      </c>
      <c r="J207" t="str">
        <f t="shared" si="6"/>
        <v>H2</v>
      </c>
      <c r="K207">
        <f t="shared" si="7"/>
        <v>0</v>
      </c>
    </row>
    <row r="208" spans="1:11" x14ac:dyDescent="0.25">
      <c r="A208" t="s">
        <v>665</v>
      </c>
      <c r="B208" t="s">
        <v>50</v>
      </c>
      <c r="C208" t="s">
        <v>49</v>
      </c>
      <c r="D208" t="s">
        <v>659</v>
      </c>
      <c r="E208">
        <v>16</v>
      </c>
      <c r="F208">
        <v>8</v>
      </c>
      <c r="G208">
        <v>3</v>
      </c>
      <c r="H208">
        <v>0</v>
      </c>
      <c r="I208">
        <v>0</v>
      </c>
      <c r="J208" t="str">
        <f t="shared" si="6"/>
        <v>H2</v>
      </c>
      <c r="K208">
        <f t="shared" si="7"/>
        <v>1</v>
      </c>
    </row>
    <row r="209" spans="1:11" x14ac:dyDescent="0.25">
      <c r="A209" t="s">
        <v>665</v>
      </c>
      <c r="B209" t="s">
        <v>50</v>
      </c>
      <c r="C209" t="s">
        <v>49</v>
      </c>
      <c r="D209" t="s">
        <v>660</v>
      </c>
      <c r="E209">
        <v>14</v>
      </c>
      <c r="F209">
        <v>5</v>
      </c>
      <c r="G209">
        <v>2</v>
      </c>
      <c r="H209">
        <v>0</v>
      </c>
      <c r="I209">
        <v>0</v>
      </c>
      <c r="J209" t="str">
        <f t="shared" si="6"/>
        <v>H2</v>
      </c>
      <c r="K209">
        <f t="shared" si="7"/>
        <v>1</v>
      </c>
    </row>
    <row r="210" spans="1:11" x14ac:dyDescent="0.25">
      <c r="A210" t="s">
        <v>665</v>
      </c>
      <c r="B210" t="s">
        <v>50</v>
      </c>
      <c r="C210" t="s">
        <v>49</v>
      </c>
      <c r="D210" t="s">
        <v>660</v>
      </c>
      <c r="E210">
        <v>8</v>
      </c>
      <c r="F210">
        <v>4</v>
      </c>
      <c r="G210">
        <v>2</v>
      </c>
      <c r="H210">
        <v>0</v>
      </c>
      <c r="I210">
        <v>0</v>
      </c>
      <c r="J210" t="str">
        <f t="shared" si="6"/>
        <v>H2</v>
      </c>
      <c r="K210">
        <f t="shared" si="7"/>
        <v>1</v>
      </c>
    </row>
    <row r="211" spans="1:11" x14ac:dyDescent="0.25">
      <c r="A211" t="s">
        <v>665</v>
      </c>
      <c r="B211" t="s">
        <v>50</v>
      </c>
      <c r="C211" t="s">
        <v>49</v>
      </c>
      <c r="D211" t="s">
        <v>660</v>
      </c>
      <c r="E211">
        <v>8</v>
      </c>
      <c r="F211">
        <v>3</v>
      </c>
      <c r="G211">
        <v>1</v>
      </c>
      <c r="H211">
        <v>0</v>
      </c>
      <c r="I211">
        <v>0</v>
      </c>
      <c r="J211" t="str">
        <f t="shared" si="6"/>
        <v>H2</v>
      </c>
      <c r="K211">
        <f t="shared" si="7"/>
        <v>1</v>
      </c>
    </row>
    <row r="212" spans="1:11" x14ac:dyDescent="0.25">
      <c r="A212" t="s">
        <v>665</v>
      </c>
      <c r="B212" t="s">
        <v>50</v>
      </c>
      <c r="C212" t="s">
        <v>49</v>
      </c>
      <c r="D212" t="s">
        <v>661</v>
      </c>
      <c r="E212">
        <v>23</v>
      </c>
      <c r="F212">
        <v>13</v>
      </c>
      <c r="G212">
        <v>6</v>
      </c>
      <c r="H212">
        <v>2</v>
      </c>
      <c r="I212">
        <v>1156.74</v>
      </c>
      <c r="J212" t="str">
        <f t="shared" si="6"/>
        <v>H2</v>
      </c>
      <c r="K212">
        <f t="shared" si="7"/>
        <v>0</v>
      </c>
    </row>
    <row r="213" spans="1:11" x14ac:dyDescent="0.25">
      <c r="A213" t="s">
        <v>665</v>
      </c>
      <c r="B213" t="s">
        <v>50</v>
      </c>
      <c r="C213" t="s">
        <v>49</v>
      </c>
      <c r="D213" t="s">
        <v>661</v>
      </c>
      <c r="E213">
        <v>11</v>
      </c>
      <c r="F213">
        <v>3</v>
      </c>
      <c r="G213">
        <v>1</v>
      </c>
      <c r="H213">
        <v>0</v>
      </c>
      <c r="I213">
        <v>0</v>
      </c>
      <c r="J213" t="str">
        <f t="shared" si="6"/>
        <v>H2</v>
      </c>
      <c r="K213">
        <f t="shared" si="7"/>
        <v>1</v>
      </c>
    </row>
    <row r="214" spans="1:11" x14ac:dyDescent="0.25">
      <c r="A214" t="s">
        <v>665</v>
      </c>
      <c r="B214" t="s">
        <v>50</v>
      </c>
      <c r="C214" t="s">
        <v>49</v>
      </c>
      <c r="D214" t="s">
        <v>661</v>
      </c>
      <c r="E214">
        <v>25</v>
      </c>
      <c r="F214">
        <v>14</v>
      </c>
      <c r="G214">
        <v>5</v>
      </c>
      <c r="H214">
        <v>1</v>
      </c>
      <c r="I214">
        <v>745.4</v>
      </c>
      <c r="J214" t="str">
        <f t="shared" si="6"/>
        <v>H2</v>
      </c>
      <c r="K214">
        <f t="shared" si="7"/>
        <v>0</v>
      </c>
    </row>
    <row r="215" spans="1:11" x14ac:dyDescent="0.25">
      <c r="A215" t="s">
        <v>665</v>
      </c>
      <c r="B215" t="s">
        <v>50</v>
      </c>
      <c r="C215" t="s">
        <v>49</v>
      </c>
      <c r="D215" t="s">
        <v>662</v>
      </c>
      <c r="E215">
        <v>20</v>
      </c>
      <c r="F215">
        <v>6</v>
      </c>
      <c r="G215">
        <v>3</v>
      </c>
      <c r="H215">
        <v>0</v>
      </c>
      <c r="I215">
        <v>0</v>
      </c>
      <c r="J215" t="str">
        <f t="shared" si="6"/>
        <v>H2</v>
      </c>
      <c r="K215">
        <f t="shared" si="7"/>
        <v>1</v>
      </c>
    </row>
    <row r="216" spans="1:11" x14ac:dyDescent="0.25">
      <c r="A216" t="s">
        <v>665</v>
      </c>
      <c r="B216" t="s">
        <v>50</v>
      </c>
      <c r="C216" t="s">
        <v>49</v>
      </c>
      <c r="D216" t="s">
        <v>662</v>
      </c>
      <c r="E216">
        <v>13</v>
      </c>
      <c r="F216">
        <v>6</v>
      </c>
      <c r="G216">
        <v>2</v>
      </c>
      <c r="H216">
        <v>0</v>
      </c>
      <c r="I216">
        <v>0</v>
      </c>
      <c r="J216" t="str">
        <f t="shared" si="6"/>
        <v>H2</v>
      </c>
      <c r="K216">
        <f t="shared" si="7"/>
        <v>1</v>
      </c>
    </row>
    <row r="217" spans="1:11" x14ac:dyDescent="0.25">
      <c r="A217" t="s">
        <v>665</v>
      </c>
      <c r="B217" t="s">
        <v>50</v>
      </c>
      <c r="C217" t="s">
        <v>49</v>
      </c>
      <c r="D217" t="s">
        <v>662</v>
      </c>
      <c r="E217">
        <v>12</v>
      </c>
      <c r="F217">
        <v>7</v>
      </c>
      <c r="G217">
        <v>4</v>
      </c>
      <c r="H217">
        <v>1</v>
      </c>
      <c r="I217">
        <v>411.93</v>
      </c>
      <c r="J217" t="str">
        <f t="shared" si="6"/>
        <v>H2</v>
      </c>
      <c r="K217">
        <f t="shared" si="7"/>
        <v>0</v>
      </c>
    </row>
    <row r="218" spans="1:11" x14ac:dyDescent="0.25">
      <c r="A218" t="s">
        <v>666</v>
      </c>
      <c r="B218" t="s">
        <v>58</v>
      </c>
      <c r="C218" t="s">
        <v>57</v>
      </c>
      <c r="D218" t="s">
        <v>651</v>
      </c>
      <c r="E218">
        <v>15</v>
      </c>
      <c r="F218">
        <v>5</v>
      </c>
      <c r="G218">
        <v>2</v>
      </c>
      <c r="H218">
        <v>0</v>
      </c>
      <c r="I218">
        <v>0</v>
      </c>
      <c r="J218" t="str">
        <f t="shared" si="6"/>
        <v>H1</v>
      </c>
      <c r="K218">
        <f t="shared" si="7"/>
        <v>1</v>
      </c>
    </row>
    <row r="219" spans="1:11" x14ac:dyDescent="0.25">
      <c r="A219" t="s">
        <v>666</v>
      </c>
      <c r="B219" t="s">
        <v>58</v>
      </c>
      <c r="C219" t="s">
        <v>57</v>
      </c>
      <c r="D219" t="s">
        <v>651</v>
      </c>
      <c r="E219">
        <v>22</v>
      </c>
      <c r="F219">
        <v>10</v>
      </c>
      <c r="G219">
        <v>5</v>
      </c>
      <c r="H219">
        <v>1</v>
      </c>
      <c r="I219">
        <v>339.74</v>
      </c>
      <c r="J219" t="str">
        <f t="shared" si="6"/>
        <v>H1</v>
      </c>
      <c r="K219">
        <f t="shared" si="7"/>
        <v>0</v>
      </c>
    </row>
    <row r="220" spans="1:11" x14ac:dyDescent="0.25">
      <c r="A220" t="s">
        <v>666</v>
      </c>
      <c r="B220" t="s">
        <v>58</v>
      </c>
      <c r="C220" t="s">
        <v>57</v>
      </c>
      <c r="D220" t="s">
        <v>651</v>
      </c>
      <c r="E220">
        <v>8</v>
      </c>
      <c r="F220">
        <v>2</v>
      </c>
      <c r="G220">
        <v>1</v>
      </c>
      <c r="H220">
        <v>0</v>
      </c>
      <c r="I220">
        <v>0</v>
      </c>
      <c r="J220" t="str">
        <f t="shared" si="6"/>
        <v>H1</v>
      </c>
      <c r="K220">
        <f t="shared" si="7"/>
        <v>1</v>
      </c>
    </row>
    <row r="221" spans="1:11" x14ac:dyDescent="0.25">
      <c r="A221" t="s">
        <v>666</v>
      </c>
      <c r="B221" t="s">
        <v>58</v>
      </c>
      <c r="C221" t="s">
        <v>57</v>
      </c>
      <c r="D221" t="s">
        <v>651</v>
      </c>
      <c r="E221">
        <v>24</v>
      </c>
      <c r="F221">
        <v>13</v>
      </c>
      <c r="G221">
        <v>8</v>
      </c>
      <c r="H221">
        <v>2</v>
      </c>
      <c r="I221">
        <v>1144.83</v>
      </c>
      <c r="J221" t="str">
        <f t="shared" si="6"/>
        <v>H1</v>
      </c>
      <c r="K221">
        <f t="shared" si="7"/>
        <v>0</v>
      </c>
    </row>
    <row r="222" spans="1:11" x14ac:dyDescent="0.25">
      <c r="A222" t="s">
        <v>666</v>
      </c>
      <c r="B222" t="s">
        <v>58</v>
      </c>
      <c r="C222" t="s">
        <v>57</v>
      </c>
      <c r="D222" t="s">
        <v>651</v>
      </c>
      <c r="E222">
        <v>12</v>
      </c>
      <c r="F222">
        <v>4</v>
      </c>
      <c r="G222">
        <v>2</v>
      </c>
      <c r="H222">
        <v>0</v>
      </c>
      <c r="I222">
        <v>0</v>
      </c>
      <c r="J222" t="str">
        <f t="shared" si="6"/>
        <v>H1</v>
      </c>
      <c r="K222">
        <f t="shared" si="7"/>
        <v>1</v>
      </c>
    </row>
    <row r="223" spans="1:11" x14ac:dyDescent="0.25">
      <c r="A223" t="s">
        <v>666</v>
      </c>
      <c r="B223" t="s">
        <v>58</v>
      </c>
      <c r="C223" t="s">
        <v>57</v>
      </c>
      <c r="D223" t="s">
        <v>652</v>
      </c>
      <c r="E223">
        <v>20</v>
      </c>
      <c r="F223">
        <v>10</v>
      </c>
      <c r="G223">
        <v>6</v>
      </c>
      <c r="H223">
        <v>1</v>
      </c>
      <c r="I223">
        <v>860.99</v>
      </c>
      <c r="J223" t="str">
        <f t="shared" si="6"/>
        <v>H1</v>
      </c>
      <c r="K223">
        <f t="shared" si="7"/>
        <v>0</v>
      </c>
    </row>
    <row r="224" spans="1:11" x14ac:dyDescent="0.25">
      <c r="A224" t="s">
        <v>666</v>
      </c>
      <c r="B224" t="s">
        <v>58</v>
      </c>
      <c r="C224" t="s">
        <v>57</v>
      </c>
      <c r="D224" t="s">
        <v>652</v>
      </c>
      <c r="E224">
        <v>17</v>
      </c>
      <c r="F224">
        <v>8</v>
      </c>
      <c r="G224">
        <v>4</v>
      </c>
      <c r="H224">
        <v>0</v>
      </c>
      <c r="I224">
        <v>0</v>
      </c>
      <c r="J224" t="str">
        <f t="shared" si="6"/>
        <v>H1</v>
      </c>
      <c r="K224">
        <f t="shared" si="7"/>
        <v>1</v>
      </c>
    </row>
    <row r="225" spans="1:11" x14ac:dyDescent="0.25">
      <c r="A225" t="s">
        <v>666</v>
      </c>
      <c r="B225" t="s">
        <v>58</v>
      </c>
      <c r="C225" t="s">
        <v>57</v>
      </c>
      <c r="D225" t="s">
        <v>652</v>
      </c>
      <c r="E225">
        <v>15</v>
      </c>
      <c r="F225">
        <v>5</v>
      </c>
      <c r="G225">
        <v>2</v>
      </c>
      <c r="H225">
        <v>0</v>
      </c>
      <c r="I225">
        <v>0</v>
      </c>
      <c r="J225" t="str">
        <f t="shared" si="6"/>
        <v>H1</v>
      </c>
      <c r="K225">
        <f t="shared" si="7"/>
        <v>1</v>
      </c>
    </row>
    <row r="226" spans="1:11" x14ac:dyDescent="0.25">
      <c r="A226" t="s">
        <v>666</v>
      </c>
      <c r="B226" t="s">
        <v>58</v>
      </c>
      <c r="C226" t="s">
        <v>57</v>
      </c>
      <c r="D226" t="s">
        <v>652</v>
      </c>
      <c r="E226">
        <v>12</v>
      </c>
      <c r="F226">
        <v>6</v>
      </c>
      <c r="G226">
        <v>2</v>
      </c>
      <c r="H226">
        <v>0</v>
      </c>
      <c r="I226">
        <v>0</v>
      </c>
      <c r="J226" t="str">
        <f t="shared" si="6"/>
        <v>H1</v>
      </c>
      <c r="K226">
        <f t="shared" si="7"/>
        <v>1</v>
      </c>
    </row>
    <row r="227" spans="1:11" x14ac:dyDescent="0.25">
      <c r="A227" t="s">
        <v>666</v>
      </c>
      <c r="B227" t="s">
        <v>58</v>
      </c>
      <c r="C227" t="s">
        <v>57</v>
      </c>
      <c r="D227" t="s">
        <v>652</v>
      </c>
      <c r="E227">
        <v>25</v>
      </c>
      <c r="F227">
        <v>12</v>
      </c>
      <c r="G227">
        <v>6</v>
      </c>
      <c r="H227">
        <v>2</v>
      </c>
      <c r="I227">
        <v>1123.27</v>
      </c>
      <c r="J227" t="str">
        <f t="shared" si="6"/>
        <v>H1</v>
      </c>
      <c r="K227">
        <f t="shared" si="7"/>
        <v>0</v>
      </c>
    </row>
    <row r="228" spans="1:11" x14ac:dyDescent="0.25">
      <c r="A228" t="s">
        <v>666</v>
      </c>
      <c r="B228" t="s">
        <v>58</v>
      </c>
      <c r="C228" t="s">
        <v>57</v>
      </c>
      <c r="D228" t="s">
        <v>653</v>
      </c>
      <c r="E228">
        <v>8</v>
      </c>
      <c r="F228">
        <v>3</v>
      </c>
      <c r="G228">
        <v>1</v>
      </c>
      <c r="H228">
        <v>0</v>
      </c>
      <c r="I228">
        <v>0</v>
      </c>
      <c r="J228" t="str">
        <f t="shared" si="6"/>
        <v>H1</v>
      </c>
      <c r="K228">
        <f t="shared" si="7"/>
        <v>1</v>
      </c>
    </row>
    <row r="229" spans="1:11" x14ac:dyDescent="0.25">
      <c r="A229" t="s">
        <v>666</v>
      </c>
      <c r="B229" t="s">
        <v>58</v>
      </c>
      <c r="C229" t="s">
        <v>57</v>
      </c>
      <c r="D229" t="s">
        <v>653</v>
      </c>
      <c r="E229">
        <v>10</v>
      </c>
      <c r="F229">
        <v>4</v>
      </c>
      <c r="G229">
        <v>2</v>
      </c>
      <c r="H229">
        <v>0</v>
      </c>
      <c r="I229">
        <v>0</v>
      </c>
      <c r="J229" t="str">
        <f t="shared" si="6"/>
        <v>H1</v>
      </c>
      <c r="K229">
        <f t="shared" si="7"/>
        <v>1</v>
      </c>
    </row>
    <row r="230" spans="1:11" x14ac:dyDescent="0.25">
      <c r="A230" t="s">
        <v>666</v>
      </c>
      <c r="B230" t="s">
        <v>58</v>
      </c>
      <c r="C230" t="s">
        <v>57</v>
      </c>
      <c r="D230" t="s">
        <v>653</v>
      </c>
      <c r="E230">
        <v>25</v>
      </c>
      <c r="F230">
        <v>14</v>
      </c>
      <c r="G230">
        <v>10</v>
      </c>
      <c r="H230">
        <v>4</v>
      </c>
      <c r="I230">
        <v>1823.25</v>
      </c>
      <c r="J230" t="str">
        <f t="shared" si="6"/>
        <v>H1</v>
      </c>
      <c r="K230">
        <f t="shared" si="7"/>
        <v>0</v>
      </c>
    </row>
    <row r="231" spans="1:11" x14ac:dyDescent="0.25">
      <c r="A231" t="s">
        <v>666</v>
      </c>
      <c r="B231" t="s">
        <v>58</v>
      </c>
      <c r="C231" t="s">
        <v>57</v>
      </c>
      <c r="D231" t="s">
        <v>653</v>
      </c>
      <c r="E231">
        <v>20</v>
      </c>
      <c r="F231">
        <v>11</v>
      </c>
      <c r="G231">
        <v>7</v>
      </c>
      <c r="H231">
        <v>2</v>
      </c>
      <c r="I231">
        <v>1536.03</v>
      </c>
      <c r="J231" t="str">
        <f t="shared" si="6"/>
        <v>H1</v>
      </c>
      <c r="K231">
        <f t="shared" si="7"/>
        <v>0</v>
      </c>
    </row>
    <row r="232" spans="1:11" x14ac:dyDescent="0.25">
      <c r="A232" t="s">
        <v>666</v>
      </c>
      <c r="B232" t="s">
        <v>58</v>
      </c>
      <c r="C232" t="s">
        <v>57</v>
      </c>
      <c r="D232" t="s">
        <v>653</v>
      </c>
      <c r="E232">
        <v>20</v>
      </c>
      <c r="F232">
        <v>11</v>
      </c>
      <c r="G232">
        <v>5</v>
      </c>
      <c r="H232">
        <v>1</v>
      </c>
      <c r="I232">
        <v>807.62</v>
      </c>
      <c r="J232" t="str">
        <f t="shared" si="6"/>
        <v>H1</v>
      </c>
      <c r="K232">
        <f t="shared" si="7"/>
        <v>0</v>
      </c>
    </row>
    <row r="233" spans="1:11" x14ac:dyDescent="0.25">
      <c r="A233" t="s">
        <v>666</v>
      </c>
      <c r="B233" t="s">
        <v>58</v>
      </c>
      <c r="C233" t="s">
        <v>57</v>
      </c>
      <c r="D233" t="s">
        <v>654</v>
      </c>
      <c r="E233">
        <v>16</v>
      </c>
      <c r="F233">
        <v>9</v>
      </c>
      <c r="G233">
        <v>3</v>
      </c>
      <c r="H233">
        <v>1</v>
      </c>
      <c r="I233">
        <v>652.54999999999995</v>
      </c>
      <c r="J233" t="str">
        <f t="shared" si="6"/>
        <v>H1</v>
      </c>
      <c r="K233">
        <f t="shared" si="7"/>
        <v>0</v>
      </c>
    </row>
    <row r="234" spans="1:11" x14ac:dyDescent="0.25">
      <c r="A234" t="s">
        <v>666</v>
      </c>
      <c r="B234" t="s">
        <v>58</v>
      </c>
      <c r="C234" t="s">
        <v>57</v>
      </c>
      <c r="D234" t="s">
        <v>654</v>
      </c>
      <c r="E234">
        <v>9</v>
      </c>
      <c r="F234">
        <v>2</v>
      </c>
      <c r="G234">
        <v>1</v>
      </c>
      <c r="H234">
        <v>0</v>
      </c>
      <c r="I234">
        <v>0</v>
      </c>
      <c r="J234" t="str">
        <f t="shared" si="6"/>
        <v>H1</v>
      </c>
      <c r="K234">
        <f t="shared" si="7"/>
        <v>1</v>
      </c>
    </row>
    <row r="235" spans="1:11" x14ac:dyDescent="0.25">
      <c r="A235" t="s">
        <v>666</v>
      </c>
      <c r="B235" t="s">
        <v>58</v>
      </c>
      <c r="C235" t="s">
        <v>57</v>
      </c>
      <c r="D235" t="s">
        <v>654</v>
      </c>
      <c r="E235">
        <v>14</v>
      </c>
      <c r="F235">
        <v>4</v>
      </c>
      <c r="G235">
        <v>2</v>
      </c>
      <c r="H235">
        <v>0</v>
      </c>
      <c r="I235">
        <v>0</v>
      </c>
      <c r="J235" t="str">
        <f t="shared" si="6"/>
        <v>H1</v>
      </c>
      <c r="K235">
        <f t="shared" si="7"/>
        <v>1</v>
      </c>
    </row>
    <row r="236" spans="1:11" x14ac:dyDescent="0.25">
      <c r="A236" t="s">
        <v>666</v>
      </c>
      <c r="B236" t="s">
        <v>58</v>
      </c>
      <c r="C236" t="s">
        <v>57</v>
      </c>
      <c r="D236" t="s">
        <v>654</v>
      </c>
      <c r="E236">
        <v>11</v>
      </c>
      <c r="F236">
        <v>3</v>
      </c>
      <c r="G236">
        <v>1</v>
      </c>
      <c r="H236">
        <v>0</v>
      </c>
      <c r="I236">
        <v>0</v>
      </c>
      <c r="J236" t="str">
        <f t="shared" si="6"/>
        <v>H1</v>
      </c>
      <c r="K236">
        <f t="shared" si="7"/>
        <v>1</v>
      </c>
    </row>
    <row r="237" spans="1:11" x14ac:dyDescent="0.25">
      <c r="A237" t="s">
        <v>666</v>
      </c>
      <c r="B237" t="s">
        <v>58</v>
      </c>
      <c r="C237" t="s">
        <v>57</v>
      </c>
      <c r="D237" t="s">
        <v>654</v>
      </c>
      <c r="E237">
        <v>18</v>
      </c>
      <c r="F237">
        <v>6</v>
      </c>
      <c r="G237">
        <v>2</v>
      </c>
      <c r="H237">
        <v>0</v>
      </c>
      <c r="I237">
        <v>0</v>
      </c>
      <c r="J237" t="str">
        <f t="shared" si="6"/>
        <v>H1</v>
      </c>
      <c r="K237">
        <f t="shared" si="7"/>
        <v>1</v>
      </c>
    </row>
    <row r="238" spans="1:11" x14ac:dyDescent="0.25">
      <c r="A238" t="s">
        <v>666</v>
      </c>
      <c r="B238" t="s">
        <v>58</v>
      </c>
      <c r="C238" t="s">
        <v>57</v>
      </c>
      <c r="D238" t="s">
        <v>655</v>
      </c>
      <c r="E238">
        <v>13</v>
      </c>
      <c r="F238">
        <v>6</v>
      </c>
      <c r="G238">
        <v>4</v>
      </c>
      <c r="H238">
        <v>1</v>
      </c>
      <c r="I238">
        <v>829.71</v>
      </c>
      <c r="J238" t="str">
        <f t="shared" si="6"/>
        <v>H1</v>
      </c>
      <c r="K238">
        <f t="shared" si="7"/>
        <v>0</v>
      </c>
    </row>
    <row r="239" spans="1:11" x14ac:dyDescent="0.25">
      <c r="A239" t="s">
        <v>666</v>
      </c>
      <c r="B239" t="s">
        <v>58</v>
      </c>
      <c r="C239" t="s">
        <v>57</v>
      </c>
      <c r="D239" t="s">
        <v>655</v>
      </c>
      <c r="E239">
        <v>20</v>
      </c>
      <c r="F239">
        <v>7</v>
      </c>
      <c r="G239">
        <v>3</v>
      </c>
      <c r="H239">
        <v>0</v>
      </c>
      <c r="I239">
        <v>0</v>
      </c>
      <c r="J239" t="str">
        <f t="shared" si="6"/>
        <v>H1</v>
      </c>
      <c r="K239">
        <f t="shared" si="7"/>
        <v>1</v>
      </c>
    </row>
    <row r="240" spans="1:11" x14ac:dyDescent="0.25">
      <c r="A240" t="s">
        <v>666</v>
      </c>
      <c r="B240" t="s">
        <v>58</v>
      </c>
      <c r="C240" t="s">
        <v>57</v>
      </c>
      <c r="D240" t="s">
        <v>655</v>
      </c>
      <c r="E240">
        <v>23</v>
      </c>
      <c r="F240">
        <v>12</v>
      </c>
      <c r="G240">
        <v>8</v>
      </c>
      <c r="H240">
        <v>2</v>
      </c>
      <c r="I240">
        <v>720.81</v>
      </c>
      <c r="J240" t="str">
        <f t="shared" si="6"/>
        <v>H1</v>
      </c>
      <c r="K240">
        <f t="shared" si="7"/>
        <v>0</v>
      </c>
    </row>
    <row r="241" spans="1:11" x14ac:dyDescent="0.25">
      <c r="A241" t="s">
        <v>666</v>
      </c>
      <c r="B241" t="s">
        <v>58</v>
      </c>
      <c r="C241" t="s">
        <v>57</v>
      </c>
      <c r="D241" t="s">
        <v>655</v>
      </c>
      <c r="E241">
        <v>11</v>
      </c>
      <c r="F241">
        <v>3</v>
      </c>
      <c r="G241">
        <v>2</v>
      </c>
      <c r="H241">
        <v>0</v>
      </c>
      <c r="I241">
        <v>0</v>
      </c>
      <c r="J241" t="str">
        <f t="shared" si="6"/>
        <v>H1</v>
      </c>
      <c r="K241">
        <f t="shared" si="7"/>
        <v>1</v>
      </c>
    </row>
    <row r="242" spans="1:11" x14ac:dyDescent="0.25">
      <c r="A242" t="s">
        <v>666</v>
      </c>
      <c r="B242" t="s">
        <v>58</v>
      </c>
      <c r="C242" t="s">
        <v>57</v>
      </c>
      <c r="D242" t="s">
        <v>655</v>
      </c>
      <c r="E242">
        <v>16</v>
      </c>
      <c r="F242">
        <v>6</v>
      </c>
      <c r="G242">
        <v>2</v>
      </c>
      <c r="H242">
        <v>0</v>
      </c>
      <c r="I242">
        <v>0</v>
      </c>
      <c r="J242" t="str">
        <f t="shared" si="6"/>
        <v>H1</v>
      </c>
      <c r="K242">
        <f t="shared" si="7"/>
        <v>1</v>
      </c>
    </row>
    <row r="243" spans="1:11" x14ac:dyDescent="0.25">
      <c r="A243" t="s">
        <v>666</v>
      </c>
      <c r="B243" t="s">
        <v>58</v>
      </c>
      <c r="C243" t="s">
        <v>57</v>
      </c>
      <c r="D243" t="s">
        <v>656</v>
      </c>
      <c r="E243">
        <v>21</v>
      </c>
      <c r="F243">
        <v>10</v>
      </c>
      <c r="G243">
        <v>4</v>
      </c>
      <c r="H243">
        <v>1</v>
      </c>
      <c r="I243">
        <v>364.54</v>
      </c>
      <c r="J243" t="str">
        <f t="shared" si="6"/>
        <v>H1</v>
      </c>
      <c r="K243">
        <f t="shared" si="7"/>
        <v>0</v>
      </c>
    </row>
    <row r="244" spans="1:11" x14ac:dyDescent="0.25">
      <c r="A244" t="s">
        <v>666</v>
      </c>
      <c r="B244" t="s">
        <v>58</v>
      </c>
      <c r="C244" t="s">
        <v>57</v>
      </c>
      <c r="D244" t="s">
        <v>656</v>
      </c>
      <c r="E244">
        <v>12</v>
      </c>
      <c r="F244">
        <v>4</v>
      </c>
      <c r="G244">
        <v>1</v>
      </c>
      <c r="H244">
        <v>0</v>
      </c>
      <c r="I244">
        <v>0</v>
      </c>
      <c r="J244" t="str">
        <f t="shared" si="6"/>
        <v>H1</v>
      </c>
      <c r="K244">
        <f t="shared" si="7"/>
        <v>1</v>
      </c>
    </row>
    <row r="245" spans="1:11" x14ac:dyDescent="0.25">
      <c r="A245" t="s">
        <v>666</v>
      </c>
      <c r="B245" t="s">
        <v>58</v>
      </c>
      <c r="C245" t="s">
        <v>57</v>
      </c>
      <c r="D245" t="s">
        <v>656</v>
      </c>
      <c r="E245">
        <v>22</v>
      </c>
      <c r="F245">
        <v>7</v>
      </c>
      <c r="G245">
        <v>2</v>
      </c>
      <c r="H245">
        <v>0</v>
      </c>
      <c r="I245">
        <v>0</v>
      </c>
      <c r="J245" t="str">
        <f t="shared" si="6"/>
        <v>H1</v>
      </c>
      <c r="K245">
        <f t="shared" si="7"/>
        <v>1</v>
      </c>
    </row>
    <row r="246" spans="1:11" x14ac:dyDescent="0.25">
      <c r="A246" t="s">
        <v>666</v>
      </c>
      <c r="B246" t="s">
        <v>58</v>
      </c>
      <c r="C246" t="s">
        <v>57</v>
      </c>
      <c r="D246" t="s">
        <v>656</v>
      </c>
      <c r="E246">
        <v>8</v>
      </c>
      <c r="F246">
        <v>3</v>
      </c>
      <c r="G246">
        <v>1</v>
      </c>
      <c r="H246">
        <v>0</v>
      </c>
      <c r="I246">
        <v>0</v>
      </c>
      <c r="J246" t="str">
        <f t="shared" si="6"/>
        <v>H1</v>
      </c>
      <c r="K246">
        <f t="shared" si="7"/>
        <v>1</v>
      </c>
    </row>
    <row r="247" spans="1:11" x14ac:dyDescent="0.25">
      <c r="A247" t="s">
        <v>666</v>
      </c>
      <c r="B247" t="s">
        <v>58</v>
      </c>
      <c r="C247" t="s">
        <v>57</v>
      </c>
      <c r="D247" t="s">
        <v>656</v>
      </c>
      <c r="E247">
        <v>20</v>
      </c>
      <c r="F247">
        <v>7</v>
      </c>
      <c r="G247">
        <v>2</v>
      </c>
      <c r="H247">
        <v>0</v>
      </c>
      <c r="I247">
        <v>0</v>
      </c>
      <c r="J247" t="str">
        <f t="shared" si="6"/>
        <v>H1</v>
      </c>
      <c r="K247">
        <f t="shared" si="7"/>
        <v>1</v>
      </c>
    </row>
    <row r="248" spans="1:11" x14ac:dyDescent="0.25">
      <c r="A248" t="s">
        <v>666</v>
      </c>
      <c r="B248" t="s">
        <v>58</v>
      </c>
      <c r="C248" t="s">
        <v>57</v>
      </c>
      <c r="D248" t="s">
        <v>657</v>
      </c>
      <c r="E248">
        <v>8</v>
      </c>
      <c r="F248">
        <v>4</v>
      </c>
      <c r="G248">
        <v>1</v>
      </c>
      <c r="H248">
        <v>0</v>
      </c>
      <c r="I248">
        <v>0</v>
      </c>
      <c r="J248" t="str">
        <f t="shared" si="6"/>
        <v>H2</v>
      </c>
      <c r="K248">
        <f t="shared" si="7"/>
        <v>1</v>
      </c>
    </row>
    <row r="249" spans="1:11" x14ac:dyDescent="0.25">
      <c r="A249" t="s">
        <v>666</v>
      </c>
      <c r="B249" t="s">
        <v>58</v>
      </c>
      <c r="C249" t="s">
        <v>57</v>
      </c>
      <c r="D249" t="s">
        <v>657</v>
      </c>
      <c r="E249">
        <v>16</v>
      </c>
      <c r="F249">
        <v>5</v>
      </c>
      <c r="G249">
        <v>2</v>
      </c>
      <c r="H249">
        <v>0</v>
      </c>
      <c r="I249">
        <v>0</v>
      </c>
      <c r="J249" t="str">
        <f t="shared" si="6"/>
        <v>H2</v>
      </c>
      <c r="K249">
        <f t="shared" si="7"/>
        <v>1</v>
      </c>
    </row>
    <row r="250" spans="1:11" x14ac:dyDescent="0.25">
      <c r="A250" t="s">
        <v>666</v>
      </c>
      <c r="B250" t="s">
        <v>58</v>
      </c>
      <c r="C250" t="s">
        <v>57</v>
      </c>
      <c r="D250" t="s">
        <v>657</v>
      </c>
      <c r="E250">
        <v>21</v>
      </c>
      <c r="F250">
        <v>8</v>
      </c>
      <c r="G250">
        <v>4</v>
      </c>
      <c r="H250">
        <v>1</v>
      </c>
      <c r="I250">
        <v>785.13</v>
      </c>
      <c r="J250" t="str">
        <f t="shared" si="6"/>
        <v>H2</v>
      </c>
      <c r="K250">
        <f t="shared" si="7"/>
        <v>0</v>
      </c>
    </row>
    <row r="251" spans="1:11" x14ac:dyDescent="0.25">
      <c r="A251" t="s">
        <v>666</v>
      </c>
      <c r="B251" t="s">
        <v>58</v>
      </c>
      <c r="C251" t="s">
        <v>57</v>
      </c>
      <c r="D251" t="s">
        <v>657</v>
      </c>
      <c r="E251">
        <v>20</v>
      </c>
      <c r="F251">
        <v>8</v>
      </c>
      <c r="G251">
        <v>4</v>
      </c>
      <c r="H251">
        <v>1</v>
      </c>
      <c r="I251">
        <v>679.62</v>
      </c>
      <c r="J251" t="str">
        <f t="shared" si="6"/>
        <v>H2</v>
      </c>
      <c r="K251">
        <f t="shared" si="7"/>
        <v>0</v>
      </c>
    </row>
    <row r="252" spans="1:11" x14ac:dyDescent="0.25">
      <c r="A252" t="s">
        <v>666</v>
      </c>
      <c r="B252" t="s">
        <v>58</v>
      </c>
      <c r="C252" t="s">
        <v>57</v>
      </c>
      <c r="D252" t="s">
        <v>657</v>
      </c>
      <c r="E252">
        <v>21</v>
      </c>
      <c r="F252">
        <v>10</v>
      </c>
      <c r="G252">
        <v>6</v>
      </c>
      <c r="H252">
        <v>2</v>
      </c>
      <c r="I252">
        <v>888.63</v>
      </c>
      <c r="J252" t="str">
        <f t="shared" si="6"/>
        <v>H2</v>
      </c>
      <c r="K252">
        <f t="shared" si="7"/>
        <v>0</v>
      </c>
    </row>
    <row r="253" spans="1:11" x14ac:dyDescent="0.25">
      <c r="A253" t="s">
        <v>666</v>
      </c>
      <c r="B253" t="s">
        <v>58</v>
      </c>
      <c r="C253" t="s">
        <v>57</v>
      </c>
      <c r="D253" t="s">
        <v>658</v>
      </c>
      <c r="E253">
        <v>25</v>
      </c>
      <c r="F253">
        <v>14</v>
      </c>
      <c r="G253">
        <v>5</v>
      </c>
      <c r="H253">
        <v>1</v>
      </c>
      <c r="I253">
        <v>341.67</v>
      </c>
      <c r="J253" t="str">
        <f t="shared" si="6"/>
        <v>H2</v>
      </c>
      <c r="K253">
        <f t="shared" si="7"/>
        <v>0</v>
      </c>
    </row>
    <row r="254" spans="1:11" x14ac:dyDescent="0.25">
      <c r="A254" t="s">
        <v>666</v>
      </c>
      <c r="B254" t="s">
        <v>58</v>
      </c>
      <c r="C254" t="s">
        <v>57</v>
      </c>
      <c r="D254" t="s">
        <v>658</v>
      </c>
      <c r="E254">
        <v>20</v>
      </c>
      <c r="F254">
        <v>9</v>
      </c>
      <c r="G254">
        <v>5</v>
      </c>
      <c r="H254">
        <v>1</v>
      </c>
      <c r="I254">
        <v>463.55</v>
      </c>
      <c r="J254" t="str">
        <f t="shared" si="6"/>
        <v>H2</v>
      </c>
      <c r="K254">
        <f t="shared" si="7"/>
        <v>0</v>
      </c>
    </row>
    <row r="255" spans="1:11" x14ac:dyDescent="0.25">
      <c r="A255" t="s">
        <v>666</v>
      </c>
      <c r="B255" t="s">
        <v>58</v>
      </c>
      <c r="C255" t="s">
        <v>57</v>
      </c>
      <c r="D255" t="s">
        <v>658</v>
      </c>
      <c r="E255">
        <v>13</v>
      </c>
      <c r="F255">
        <v>5</v>
      </c>
      <c r="G255">
        <v>3</v>
      </c>
      <c r="H255">
        <v>1</v>
      </c>
      <c r="I255">
        <v>678.73</v>
      </c>
      <c r="J255" t="str">
        <f t="shared" si="6"/>
        <v>H2</v>
      </c>
      <c r="K255">
        <f t="shared" si="7"/>
        <v>0</v>
      </c>
    </row>
    <row r="256" spans="1:11" x14ac:dyDescent="0.25">
      <c r="A256" t="s">
        <v>666</v>
      </c>
      <c r="B256" t="s">
        <v>58</v>
      </c>
      <c r="C256" t="s">
        <v>57</v>
      </c>
      <c r="D256" t="s">
        <v>658</v>
      </c>
      <c r="E256">
        <v>10</v>
      </c>
      <c r="F256">
        <v>4</v>
      </c>
      <c r="G256">
        <v>2</v>
      </c>
      <c r="H256">
        <v>0</v>
      </c>
      <c r="I256">
        <v>0</v>
      </c>
      <c r="J256" t="str">
        <f t="shared" si="6"/>
        <v>H2</v>
      </c>
      <c r="K256">
        <f t="shared" si="7"/>
        <v>1</v>
      </c>
    </row>
    <row r="257" spans="1:11" x14ac:dyDescent="0.25">
      <c r="A257" t="s">
        <v>666</v>
      </c>
      <c r="B257" t="s">
        <v>58</v>
      </c>
      <c r="C257" t="s">
        <v>57</v>
      </c>
      <c r="D257" t="s">
        <v>658</v>
      </c>
      <c r="E257">
        <v>23</v>
      </c>
      <c r="F257">
        <v>11</v>
      </c>
      <c r="G257">
        <v>8</v>
      </c>
      <c r="H257">
        <v>2</v>
      </c>
      <c r="I257">
        <v>1477.04</v>
      </c>
      <c r="J257" t="str">
        <f t="shared" si="6"/>
        <v>H2</v>
      </c>
      <c r="K257">
        <f t="shared" si="7"/>
        <v>0</v>
      </c>
    </row>
    <row r="258" spans="1:11" x14ac:dyDescent="0.25">
      <c r="A258" t="s">
        <v>666</v>
      </c>
      <c r="B258" t="s">
        <v>58</v>
      </c>
      <c r="C258" t="s">
        <v>57</v>
      </c>
      <c r="D258" t="s">
        <v>659</v>
      </c>
      <c r="E258">
        <v>11</v>
      </c>
      <c r="F258">
        <v>6</v>
      </c>
      <c r="G258">
        <v>3</v>
      </c>
      <c r="H258">
        <v>0</v>
      </c>
      <c r="I258">
        <v>0</v>
      </c>
      <c r="J258" t="str">
        <f t="shared" ref="J258:J321" si="8">IF(VALUE(RIGHT(D258,2))&lt;=6,"H1","H2")</f>
        <v>H2</v>
      </c>
      <c r="K258">
        <f t="shared" ref="K258:K321" si="9">IF(H258=0,1,0)</f>
        <v>1</v>
      </c>
    </row>
    <row r="259" spans="1:11" x14ac:dyDescent="0.25">
      <c r="A259" t="s">
        <v>666</v>
      </c>
      <c r="B259" t="s">
        <v>58</v>
      </c>
      <c r="C259" t="s">
        <v>57</v>
      </c>
      <c r="D259" t="s">
        <v>659</v>
      </c>
      <c r="E259">
        <v>11</v>
      </c>
      <c r="F259">
        <v>3</v>
      </c>
      <c r="G259">
        <v>1</v>
      </c>
      <c r="H259">
        <v>0</v>
      </c>
      <c r="I259">
        <v>0</v>
      </c>
      <c r="J259" t="str">
        <f t="shared" si="8"/>
        <v>H2</v>
      </c>
      <c r="K259">
        <f t="shared" si="9"/>
        <v>1</v>
      </c>
    </row>
    <row r="260" spans="1:11" x14ac:dyDescent="0.25">
      <c r="A260" t="s">
        <v>666</v>
      </c>
      <c r="B260" t="s">
        <v>58</v>
      </c>
      <c r="C260" t="s">
        <v>57</v>
      </c>
      <c r="D260" t="s">
        <v>659</v>
      </c>
      <c r="E260">
        <v>9</v>
      </c>
      <c r="F260">
        <v>3</v>
      </c>
      <c r="G260">
        <v>1</v>
      </c>
      <c r="H260">
        <v>0</v>
      </c>
      <c r="I260">
        <v>0</v>
      </c>
      <c r="J260" t="str">
        <f t="shared" si="8"/>
        <v>H2</v>
      </c>
      <c r="K260">
        <f t="shared" si="9"/>
        <v>1</v>
      </c>
    </row>
    <row r="261" spans="1:11" x14ac:dyDescent="0.25">
      <c r="A261" t="s">
        <v>666</v>
      </c>
      <c r="B261" t="s">
        <v>58</v>
      </c>
      <c r="C261" t="s">
        <v>57</v>
      </c>
      <c r="D261" t="s">
        <v>659</v>
      </c>
      <c r="E261">
        <v>21</v>
      </c>
      <c r="F261">
        <v>8</v>
      </c>
      <c r="G261">
        <v>5</v>
      </c>
      <c r="H261">
        <v>1</v>
      </c>
      <c r="I261">
        <v>879.09</v>
      </c>
      <c r="J261" t="str">
        <f t="shared" si="8"/>
        <v>H2</v>
      </c>
      <c r="K261">
        <f t="shared" si="9"/>
        <v>0</v>
      </c>
    </row>
    <row r="262" spans="1:11" x14ac:dyDescent="0.25">
      <c r="A262" t="s">
        <v>666</v>
      </c>
      <c r="B262" t="s">
        <v>58</v>
      </c>
      <c r="C262" t="s">
        <v>57</v>
      </c>
      <c r="D262" t="s">
        <v>659</v>
      </c>
      <c r="E262">
        <v>15</v>
      </c>
      <c r="F262">
        <v>4</v>
      </c>
      <c r="G262">
        <v>2</v>
      </c>
      <c r="H262">
        <v>0</v>
      </c>
      <c r="I262">
        <v>0</v>
      </c>
      <c r="J262" t="str">
        <f t="shared" si="8"/>
        <v>H2</v>
      </c>
      <c r="K262">
        <f t="shared" si="9"/>
        <v>1</v>
      </c>
    </row>
    <row r="263" spans="1:11" x14ac:dyDescent="0.25">
      <c r="A263" t="s">
        <v>666</v>
      </c>
      <c r="B263" t="s">
        <v>58</v>
      </c>
      <c r="C263" t="s">
        <v>57</v>
      </c>
      <c r="D263" t="s">
        <v>660</v>
      </c>
      <c r="E263">
        <v>15</v>
      </c>
      <c r="F263">
        <v>7</v>
      </c>
      <c r="G263">
        <v>4</v>
      </c>
      <c r="H263">
        <v>1</v>
      </c>
      <c r="I263">
        <v>346.81</v>
      </c>
      <c r="J263" t="str">
        <f t="shared" si="8"/>
        <v>H2</v>
      </c>
      <c r="K263">
        <f t="shared" si="9"/>
        <v>0</v>
      </c>
    </row>
    <row r="264" spans="1:11" x14ac:dyDescent="0.25">
      <c r="A264" t="s">
        <v>666</v>
      </c>
      <c r="B264" t="s">
        <v>58</v>
      </c>
      <c r="C264" t="s">
        <v>57</v>
      </c>
      <c r="D264" t="s">
        <v>660</v>
      </c>
      <c r="E264">
        <v>25</v>
      </c>
      <c r="F264">
        <v>7</v>
      </c>
      <c r="G264">
        <v>4</v>
      </c>
      <c r="H264">
        <v>1</v>
      </c>
      <c r="I264">
        <v>372.96</v>
      </c>
      <c r="J264" t="str">
        <f t="shared" si="8"/>
        <v>H2</v>
      </c>
      <c r="K264">
        <f t="shared" si="9"/>
        <v>0</v>
      </c>
    </row>
    <row r="265" spans="1:11" x14ac:dyDescent="0.25">
      <c r="A265" t="s">
        <v>666</v>
      </c>
      <c r="B265" t="s">
        <v>58</v>
      </c>
      <c r="C265" t="s">
        <v>57</v>
      </c>
      <c r="D265" t="s">
        <v>660</v>
      </c>
      <c r="E265">
        <v>19</v>
      </c>
      <c r="F265">
        <v>7</v>
      </c>
      <c r="G265">
        <v>3</v>
      </c>
      <c r="H265">
        <v>1</v>
      </c>
      <c r="I265">
        <v>557.63</v>
      </c>
      <c r="J265" t="str">
        <f t="shared" si="8"/>
        <v>H2</v>
      </c>
      <c r="K265">
        <f t="shared" si="9"/>
        <v>0</v>
      </c>
    </row>
    <row r="266" spans="1:11" x14ac:dyDescent="0.25">
      <c r="A266" t="s">
        <v>666</v>
      </c>
      <c r="B266" t="s">
        <v>58</v>
      </c>
      <c r="C266" t="s">
        <v>57</v>
      </c>
      <c r="D266" t="s">
        <v>660</v>
      </c>
      <c r="E266">
        <v>19</v>
      </c>
      <c r="F266">
        <v>7</v>
      </c>
      <c r="G266">
        <v>4</v>
      </c>
      <c r="H266">
        <v>1</v>
      </c>
      <c r="I266">
        <v>667.39</v>
      </c>
      <c r="J266" t="str">
        <f t="shared" si="8"/>
        <v>H2</v>
      </c>
      <c r="K266">
        <f t="shared" si="9"/>
        <v>0</v>
      </c>
    </row>
    <row r="267" spans="1:11" x14ac:dyDescent="0.25">
      <c r="A267" t="s">
        <v>666</v>
      </c>
      <c r="B267" t="s">
        <v>58</v>
      </c>
      <c r="C267" t="s">
        <v>57</v>
      </c>
      <c r="D267" t="s">
        <v>660</v>
      </c>
      <c r="E267">
        <v>14</v>
      </c>
      <c r="F267">
        <v>5</v>
      </c>
      <c r="G267">
        <v>3</v>
      </c>
      <c r="H267">
        <v>1</v>
      </c>
      <c r="I267">
        <v>596.16999999999996</v>
      </c>
      <c r="J267" t="str">
        <f t="shared" si="8"/>
        <v>H2</v>
      </c>
      <c r="K267">
        <f t="shared" si="9"/>
        <v>0</v>
      </c>
    </row>
    <row r="268" spans="1:11" x14ac:dyDescent="0.25">
      <c r="A268" t="s">
        <v>666</v>
      </c>
      <c r="B268" t="s">
        <v>58</v>
      </c>
      <c r="C268" t="s">
        <v>57</v>
      </c>
      <c r="D268" t="s">
        <v>661</v>
      </c>
      <c r="E268">
        <v>23</v>
      </c>
      <c r="F268">
        <v>7</v>
      </c>
      <c r="G268">
        <v>2</v>
      </c>
      <c r="H268">
        <v>0</v>
      </c>
      <c r="I268">
        <v>0</v>
      </c>
      <c r="J268" t="str">
        <f t="shared" si="8"/>
        <v>H2</v>
      </c>
      <c r="K268">
        <f t="shared" si="9"/>
        <v>1</v>
      </c>
    </row>
    <row r="269" spans="1:11" x14ac:dyDescent="0.25">
      <c r="A269" t="s">
        <v>666</v>
      </c>
      <c r="B269" t="s">
        <v>58</v>
      </c>
      <c r="C269" t="s">
        <v>57</v>
      </c>
      <c r="D269" t="s">
        <v>661</v>
      </c>
      <c r="E269">
        <v>20</v>
      </c>
      <c r="F269">
        <v>7</v>
      </c>
      <c r="G269">
        <v>5</v>
      </c>
      <c r="H269">
        <v>1</v>
      </c>
      <c r="I269">
        <v>684.66</v>
      </c>
      <c r="J269" t="str">
        <f t="shared" si="8"/>
        <v>H2</v>
      </c>
      <c r="K269">
        <f t="shared" si="9"/>
        <v>0</v>
      </c>
    </row>
    <row r="270" spans="1:11" x14ac:dyDescent="0.25">
      <c r="A270" t="s">
        <v>666</v>
      </c>
      <c r="B270" t="s">
        <v>58</v>
      </c>
      <c r="C270" t="s">
        <v>57</v>
      </c>
      <c r="D270" t="s">
        <v>661</v>
      </c>
      <c r="E270">
        <v>8</v>
      </c>
      <c r="F270">
        <v>3</v>
      </c>
      <c r="G270">
        <v>1</v>
      </c>
      <c r="H270">
        <v>0</v>
      </c>
      <c r="I270">
        <v>0</v>
      </c>
      <c r="J270" t="str">
        <f t="shared" si="8"/>
        <v>H2</v>
      </c>
      <c r="K270">
        <f t="shared" si="9"/>
        <v>1</v>
      </c>
    </row>
    <row r="271" spans="1:11" x14ac:dyDescent="0.25">
      <c r="A271" t="s">
        <v>666</v>
      </c>
      <c r="B271" t="s">
        <v>58</v>
      </c>
      <c r="C271" t="s">
        <v>57</v>
      </c>
      <c r="D271" t="s">
        <v>661</v>
      </c>
      <c r="E271">
        <v>13</v>
      </c>
      <c r="F271">
        <v>5</v>
      </c>
      <c r="G271">
        <v>2</v>
      </c>
      <c r="H271">
        <v>0</v>
      </c>
      <c r="I271">
        <v>0</v>
      </c>
      <c r="J271" t="str">
        <f t="shared" si="8"/>
        <v>H2</v>
      </c>
      <c r="K271">
        <f t="shared" si="9"/>
        <v>1</v>
      </c>
    </row>
    <row r="272" spans="1:11" x14ac:dyDescent="0.25">
      <c r="A272" t="s">
        <v>666</v>
      </c>
      <c r="B272" t="s">
        <v>58</v>
      </c>
      <c r="C272" t="s">
        <v>57</v>
      </c>
      <c r="D272" t="s">
        <v>661</v>
      </c>
      <c r="E272">
        <v>21</v>
      </c>
      <c r="F272">
        <v>6</v>
      </c>
      <c r="G272">
        <v>2</v>
      </c>
      <c r="H272">
        <v>0</v>
      </c>
      <c r="I272">
        <v>0</v>
      </c>
      <c r="J272" t="str">
        <f t="shared" si="8"/>
        <v>H2</v>
      </c>
      <c r="K272">
        <f t="shared" si="9"/>
        <v>1</v>
      </c>
    </row>
    <row r="273" spans="1:11" x14ac:dyDescent="0.25">
      <c r="A273" t="s">
        <v>666</v>
      </c>
      <c r="B273" t="s">
        <v>58</v>
      </c>
      <c r="C273" t="s">
        <v>57</v>
      </c>
      <c r="D273" t="s">
        <v>662</v>
      </c>
      <c r="E273">
        <v>14</v>
      </c>
      <c r="F273">
        <v>6</v>
      </c>
      <c r="G273">
        <v>3</v>
      </c>
      <c r="H273">
        <v>1</v>
      </c>
      <c r="I273">
        <v>756.96</v>
      </c>
      <c r="J273" t="str">
        <f t="shared" si="8"/>
        <v>H2</v>
      </c>
      <c r="K273">
        <f t="shared" si="9"/>
        <v>0</v>
      </c>
    </row>
    <row r="274" spans="1:11" x14ac:dyDescent="0.25">
      <c r="A274" t="s">
        <v>666</v>
      </c>
      <c r="B274" t="s">
        <v>58</v>
      </c>
      <c r="C274" t="s">
        <v>57</v>
      </c>
      <c r="D274" t="s">
        <v>662</v>
      </c>
      <c r="E274">
        <v>19</v>
      </c>
      <c r="F274">
        <v>6</v>
      </c>
      <c r="G274">
        <v>2</v>
      </c>
      <c r="H274">
        <v>0</v>
      </c>
      <c r="I274">
        <v>0</v>
      </c>
      <c r="J274" t="str">
        <f t="shared" si="8"/>
        <v>H2</v>
      </c>
      <c r="K274">
        <f t="shared" si="9"/>
        <v>1</v>
      </c>
    </row>
    <row r="275" spans="1:11" x14ac:dyDescent="0.25">
      <c r="A275" t="s">
        <v>666</v>
      </c>
      <c r="B275" t="s">
        <v>58</v>
      </c>
      <c r="C275" t="s">
        <v>57</v>
      </c>
      <c r="D275" t="s">
        <v>662</v>
      </c>
      <c r="E275">
        <v>18</v>
      </c>
      <c r="F275">
        <v>6</v>
      </c>
      <c r="G275">
        <v>3</v>
      </c>
      <c r="H275">
        <v>0</v>
      </c>
      <c r="I275">
        <v>0</v>
      </c>
      <c r="J275" t="str">
        <f t="shared" si="8"/>
        <v>H2</v>
      </c>
      <c r="K275">
        <f t="shared" si="9"/>
        <v>1</v>
      </c>
    </row>
    <row r="276" spans="1:11" x14ac:dyDescent="0.25">
      <c r="A276" t="s">
        <v>666</v>
      </c>
      <c r="B276" t="s">
        <v>58</v>
      </c>
      <c r="C276" t="s">
        <v>57</v>
      </c>
      <c r="D276" t="s">
        <v>662</v>
      </c>
      <c r="E276">
        <v>11</v>
      </c>
      <c r="F276">
        <v>6</v>
      </c>
      <c r="G276">
        <v>4</v>
      </c>
      <c r="H276">
        <v>0</v>
      </c>
      <c r="I276">
        <v>0</v>
      </c>
      <c r="J276" t="str">
        <f t="shared" si="8"/>
        <v>H2</v>
      </c>
      <c r="K276">
        <f t="shared" si="9"/>
        <v>1</v>
      </c>
    </row>
    <row r="277" spans="1:11" x14ac:dyDescent="0.25">
      <c r="A277" t="s">
        <v>666</v>
      </c>
      <c r="B277" t="s">
        <v>58</v>
      </c>
      <c r="C277" t="s">
        <v>57</v>
      </c>
      <c r="D277" t="s">
        <v>662</v>
      </c>
      <c r="E277">
        <v>11</v>
      </c>
      <c r="F277">
        <v>3</v>
      </c>
      <c r="G277">
        <v>1</v>
      </c>
      <c r="H277">
        <v>0</v>
      </c>
      <c r="I277">
        <v>0</v>
      </c>
      <c r="J277" t="str">
        <f t="shared" si="8"/>
        <v>H2</v>
      </c>
      <c r="K277">
        <f t="shared" si="9"/>
        <v>1</v>
      </c>
    </row>
    <row r="278" spans="1:11" x14ac:dyDescent="0.25">
      <c r="A278" t="s">
        <v>667</v>
      </c>
      <c r="B278" t="s">
        <v>65</v>
      </c>
      <c r="C278" t="s">
        <v>64</v>
      </c>
      <c r="D278" t="s">
        <v>651</v>
      </c>
      <c r="E278">
        <v>11</v>
      </c>
      <c r="F278">
        <v>4</v>
      </c>
      <c r="G278">
        <v>2</v>
      </c>
      <c r="H278">
        <v>0</v>
      </c>
      <c r="I278">
        <v>0</v>
      </c>
      <c r="J278" t="str">
        <f t="shared" si="8"/>
        <v>H1</v>
      </c>
      <c r="K278">
        <f t="shared" si="9"/>
        <v>1</v>
      </c>
    </row>
    <row r="279" spans="1:11" x14ac:dyDescent="0.25">
      <c r="A279" t="s">
        <v>667</v>
      </c>
      <c r="B279" t="s">
        <v>65</v>
      </c>
      <c r="C279" t="s">
        <v>64</v>
      </c>
      <c r="D279" t="s">
        <v>651</v>
      </c>
      <c r="E279">
        <v>17</v>
      </c>
      <c r="F279">
        <v>9</v>
      </c>
      <c r="G279">
        <v>3</v>
      </c>
      <c r="H279">
        <v>1</v>
      </c>
      <c r="I279">
        <v>303.05</v>
      </c>
      <c r="J279" t="str">
        <f t="shared" si="8"/>
        <v>H1</v>
      </c>
      <c r="K279">
        <f t="shared" si="9"/>
        <v>0</v>
      </c>
    </row>
    <row r="280" spans="1:11" x14ac:dyDescent="0.25">
      <c r="A280" t="s">
        <v>667</v>
      </c>
      <c r="B280" t="s">
        <v>65</v>
      </c>
      <c r="C280" t="s">
        <v>64</v>
      </c>
      <c r="D280" t="s">
        <v>651</v>
      </c>
      <c r="E280">
        <v>8</v>
      </c>
      <c r="F280">
        <v>4</v>
      </c>
      <c r="G280">
        <v>2</v>
      </c>
      <c r="H280">
        <v>0</v>
      </c>
      <c r="I280">
        <v>0</v>
      </c>
      <c r="J280" t="str">
        <f t="shared" si="8"/>
        <v>H1</v>
      </c>
      <c r="K280">
        <f t="shared" si="9"/>
        <v>1</v>
      </c>
    </row>
    <row r="281" spans="1:11" x14ac:dyDescent="0.25">
      <c r="A281" t="s">
        <v>667</v>
      </c>
      <c r="B281" t="s">
        <v>65</v>
      </c>
      <c r="C281" t="s">
        <v>64</v>
      </c>
      <c r="D281" t="s">
        <v>652</v>
      </c>
      <c r="E281">
        <v>20</v>
      </c>
      <c r="F281">
        <v>6</v>
      </c>
      <c r="G281">
        <v>3</v>
      </c>
      <c r="H281">
        <v>1</v>
      </c>
      <c r="I281">
        <v>460.96</v>
      </c>
      <c r="J281" t="str">
        <f t="shared" si="8"/>
        <v>H1</v>
      </c>
      <c r="K281">
        <f t="shared" si="9"/>
        <v>0</v>
      </c>
    </row>
    <row r="282" spans="1:11" x14ac:dyDescent="0.25">
      <c r="A282" t="s">
        <v>667</v>
      </c>
      <c r="B282" t="s">
        <v>65</v>
      </c>
      <c r="C282" t="s">
        <v>64</v>
      </c>
      <c r="D282" t="s">
        <v>652</v>
      </c>
      <c r="E282">
        <v>19</v>
      </c>
      <c r="F282">
        <v>9</v>
      </c>
      <c r="G282">
        <v>3</v>
      </c>
      <c r="H282">
        <v>0</v>
      </c>
      <c r="I282">
        <v>0</v>
      </c>
      <c r="J282" t="str">
        <f t="shared" si="8"/>
        <v>H1</v>
      </c>
      <c r="K282">
        <f t="shared" si="9"/>
        <v>1</v>
      </c>
    </row>
    <row r="283" spans="1:11" x14ac:dyDescent="0.25">
      <c r="A283" t="s">
        <v>667</v>
      </c>
      <c r="B283" t="s">
        <v>65</v>
      </c>
      <c r="C283" t="s">
        <v>64</v>
      </c>
      <c r="D283" t="s">
        <v>652</v>
      </c>
      <c r="E283">
        <v>23</v>
      </c>
      <c r="F283">
        <v>7</v>
      </c>
      <c r="G283">
        <v>4</v>
      </c>
      <c r="H283">
        <v>1</v>
      </c>
      <c r="I283">
        <v>312.44</v>
      </c>
      <c r="J283" t="str">
        <f t="shared" si="8"/>
        <v>H1</v>
      </c>
      <c r="K283">
        <f t="shared" si="9"/>
        <v>0</v>
      </c>
    </row>
    <row r="284" spans="1:11" x14ac:dyDescent="0.25">
      <c r="A284" t="s">
        <v>667</v>
      </c>
      <c r="B284" t="s">
        <v>65</v>
      </c>
      <c r="C284" t="s">
        <v>64</v>
      </c>
      <c r="D284" t="s">
        <v>653</v>
      </c>
      <c r="E284">
        <v>14</v>
      </c>
      <c r="F284">
        <v>4</v>
      </c>
      <c r="G284">
        <v>1</v>
      </c>
      <c r="H284">
        <v>0</v>
      </c>
      <c r="I284">
        <v>0</v>
      </c>
      <c r="J284" t="str">
        <f t="shared" si="8"/>
        <v>H1</v>
      </c>
      <c r="K284">
        <f t="shared" si="9"/>
        <v>1</v>
      </c>
    </row>
    <row r="285" spans="1:11" x14ac:dyDescent="0.25">
      <c r="A285" t="s">
        <v>667</v>
      </c>
      <c r="B285" t="s">
        <v>65</v>
      </c>
      <c r="C285" t="s">
        <v>64</v>
      </c>
      <c r="D285" t="s">
        <v>653</v>
      </c>
      <c r="E285">
        <v>17</v>
      </c>
      <c r="F285">
        <v>9</v>
      </c>
      <c r="G285">
        <v>5</v>
      </c>
      <c r="H285">
        <v>2</v>
      </c>
      <c r="I285">
        <v>1272.9000000000001</v>
      </c>
      <c r="J285" t="str">
        <f t="shared" si="8"/>
        <v>H1</v>
      </c>
      <c r="K285">
        <f t="shared" si="9"/>
        <v>0</v>
      </c>
    </row>
    <row r="286" spans="1:11" x14ac:dyDescent="0.25">
      <c r="A286" t="s">
        <v>667</v>
      </c>
      <c r="B286" t="s">
        <v>65</v>
      </c>
      <c r="C286" t="s">
        <v>64</v>
      </c>
      <c r="D286" t="s">
        <v>653</v>
      </c>
      <c r="E286">
        <v>21</v>
      </c>
      <c r="F286">
        <v>11</v>
      </c>
      <c r="G286">
        <v>6</v>
      </c>
      <c r="H286">
        <v>1</v>
      </c>
      <c r="I286">
        <v>598.70000000000005</v>
      </c>
      <c r="J286" t="str">
        <f t="shared" si="8"/>
        <v>H1</v>
      </c>
      <c r="K286">
        <f t="shared" si="9"/>
        <v>0</v>
      </c>
    </row>
    <row r="287" spans="1:11" x14ac:dyDescent="0.25">
      <c r="A287" t="s">
        <v>667</v>
      </c>
      <c r="B287" t="s">
        <v>65</v>
      </c>
      <c r="C287" t="s">
        <v>64</v>
      </c>
      <c r="D287" t="s">
        <v>654</v>
      </c>
      <c r="E287">
        <v>17</v>
      </c>
      <c r="F287">
        <v>8</v>
      </c>
      <c r="G287">
        <v>3</v>
      </c>
      <c r="H287">
        <v>1</v>
      </c>
      <c r="I287">
        <v>720.28</v>
      </c>
      <c r="J287" t="str">
        <f t="shared" si="8"/>
        <v>H1</v>
      </c>
      <c r="K287">
        <f t="shared" si="9"/>
        <v>0</v>
      </c>
    </row>
    <row r="288" spans="1:11" x14ac:dyDescent="0.25">
      <c r="A288" t="s">
        <v>667</v>
      </c>
      <c r="B288" t="s">
        <v>65</v>
      </c>
      <c r="C288" t="s">
        <v>64</v>
      </c>
      <c r="D288" t="s">
        <v>654</v>
      </c>
      <c r="E288">
        <v>10</v>
      </c>
      <c r="F288">
        <v>5</v>
      </c>
      <c r="G288">
        <v>2</v>
      </c>
      <c r="H288">
        <v>0</v>
      </c>
      <c r="I288">
        <v>0</v>
      </c>
      <c r="J288" t="str">
        <f t="shared" si="8"/>
        <v>H1</v>
      </c>
      <c r="K288">
        <f t="shared" si="9"/>
        <v>1</v>
      </c>
    </row>
    <row r="289" spans="1:11" x14ac:dyDescent="0.25">
      <c r="A289" t="s">
        <v>667</v>
      </c>
      <c r="B289" t="s">
        <v>65</v>
      </c>
      <c r="C289" t="s">
        <v>64</v>
      </c>
      <c r="D289" t="s">
        <v>654</v>
      </c>
      <c r="E289">
        <v>15</v>
      </c>
      <c r="F289">
        <v>7</v>
      </c>
      <c r="G289">
        <v>4</v>
      </c>
      <c r="H289">
        <v>1</v>
      </c>
      <c r="I289">
        <v>423.78</v>
      </c>
      <c r="J289" t="str">
        <f t="shared" si="8"/>
        <v>H1</v>
      </c>
      <c r="K289">
        <f t="shared" si="9"/>
        <v>0</v>
      </c>
    </row>
    <row r="290" spans="1:11" x14ac:dyDescent="0.25">
      <c r="A290" t="s">
        <v>667</v>
      </c>
      <c r="B290" t="s">
        <v>65</v>
      </c>
      <c r="C290" t="s">
        <v>64</v>
      </c>
      <c r="D290" t="s">
        <v>655</v>
      </c>
      <c r="E290">
        <v>23</v>
      </c>
      <c r="F290">
        <v>11</v>
      </c>
      <c r="G290">
        <v>7</v>
      </c>
      <c r="H290">
        <v>2</v>
      </c>
      <c r="I290">
        <v>804.28</v>
      </c>
      <c r="J290" t="str">
        <f t="shared" si="8"/>
        <v>H1</v>
      </c>
      <c r="K290">
        <f t="shared" si="9"/>
        <v>0</v>
      </c>
    </row>
    <row r="291" spans="1:11" x14ac:dyDescent="0.25">
      <c r="A291" t="s">
        <v>667</v>
      </c>
      <c r="B291" t="s">
        <v>65</v>
      </c>
      <c r="C291" t="s">
        <v>64</v>
      </c>
      <c r="D291" t="s">
        <v>655</v>
      </c>
      <c r="E291">
        <v>10</v>
      </c>
      <c r="F291">
        <v>3</v>
      </c>
      <c r="G291">
        <v>1</v>
      </c>
      <c r="H291">
        <v>0</v>
      </c>
      <c r="I291">
        <v>0</v>
      </c>
      <c r="J291" t="str">
        <f t="shared" si="8"/>
        <v>H1</v>
      </c>
      <c r="K291">
        <f t="shared" si="9"/>
        <v>1</v>
      </c>
    </row>
    <row r="292" spans="1:11" x14ac:dyDescent="0.25">
      <c r="A292" t="s">
        <v>667</v>
      </c>
      <c r="B292" t="s">
        <v>65</v>
      </c>
      <c r="C292" t="s">
        <v>64</v>
      </c>
      <c r="D292" t="s">
        <v>655</v>
      </c>
      <c r="E292">
        <v>10</v>
      </c>
      <c r="F292">
        <v>3</v>
      </c>
      <c r="G292">
        <v>2</v>
      </c>
      <c r="H292">
        <v>0</v>
      </c>
      <c r="I292">
        <v>0</v>
      </c>
      <c r="J292" t="str">
        <f t="shared" si="8"/>
        <v>H1</v>
      </c>
      <c r="K292">
        <f t="shared" si="9"/>
        <v>1</v>
      </c>
    </row>
    <row r="293" spans="1:11" x14ac:dyDescent="0.25">
      <c r="A293" t="s">
        <v>667</v>
      </c>
      <c r="B293" t="s">
        <v>65</v>
      </c>
      <c r="C293" t="s">
        <v>64</v>
      </c>
      <c r="D293" t="s">
        <v>656</v>
      </c>
      <c r="E293">
        <v>10</v>
      </c>
      <c r="F293">
        <v>3</v>
      </c>
      <c r="G293">
        <v>1</v>
      </c>
      <c r="H293">
        <v>0</v>
      </c>
      <c r="I293">
        <v>0</v>
      </c>
      <c r="J293" t="str">
        <f t="shared" si="8"/>
        <v>H1</v>
      </c>
      <c r="K293">
        <f t="shared" si="9"/>
        <v>1</v>
      </c>
    </row>
    <row r="294" spans="1:11" x14ac:dyDescent="0.25">
      <c r="A294" t="s">
        <v>667</v>
      </c>
      <c r="B294" t="s">
        <v>65</v>
      </c>
      <c r="C294" t="s">
        <v>64</v>
      </c>
      <c r="D294" t="s">
        <v>656</v>
      </c>
      <c r="E294">
        <v>20</v>
      </c>
      <c r="F294">
        <v>8</v>
      </c>
      <c r="G294">
        <v>5</v>
      </c>
      <c r="H294">
        <v>1</v>
      </c>
      <c r="I294">
        <v>456.76</v>
      </c>
      <c r="J294" t="str">
        <f t="shared" si="8"/>
        <v>H1</v>
      </c>
      <c r="K294">
        <f t="shared" si="9"/>
        <v>0</v>
      </c>
    </row>
    <row r="295" spans="1:11" x14ac:dyDescent="0.25">
      <c r="A295" t="s">
        <v>667</v>
      </c>
      <c r="B295" t="s">
        <v>65</v>
      </c>
      <c r="C295" t="s">
        <v>64</v>
      </c>
      <c r="D295" t="s">
        <v>656</v>
      </c>
      <c r="E295">
        <v>25</v>
      </c>
      <c r="F295">
        <v>14</v>
      </c>
      <c r="G295">
        <v>7</v>
      </c>
      <c r="H295">
        <v>3</v>
      </c>
      <c r="I295">
        <v>1848.43</v>
      </c>
      <c r="J295" t="str">
        <f t="shared" si="8"/>
        <v>H1</v>
      </c>
      <c r="K295">
        <f t="shared" si="9"/>
        <v>0</v>
      </c>
    </row>
    <row r="296" spans="1:11" x14ac:dyDescent="0.25">
      <c r="A296" t="s">
        <v>667</v>
      </c>
      <c r="B296" t="s">
        <v>65</v>
      </c>
      <c r="C296" t="s">
        <v>64</v>
      </c>
      <c r="D296" t="s">
        <v>657</v>
      </c>
      <c r="E296">
        <v>16</v>
      </c>
      <c r="F296">
        <v>9</v>
      </c>
      <c r="G296">
        <v>4</v>
      </c>
      <c r="H296">
        <v>1</v>
      </c>
      <c r="I296">
        <v>653.49</v>
      </c>
      <c r="J296" t="str">
        <f t="shared" si="8"/>
        <v>H2</v>
      </c>
      <c r="K296">
        <f t="shared" si="9"/>
        <v>0</v>
      </c>
    </row>
    <row r="297" spans="1:11" x14ac:dyDescent="0.25">
      <c r="A297" t="s">
        <v>667</v>
      </c>
      <c r="B297" t="s">
        <v>65</v>
      </c>
      <c r="C297" t="s">
        <v>64</v>
      </c>
      <c r="D297" t="s">
        <v>657</v>
      </c>
      <c r="E297">
        <v>23</v>
      </c>
      <c r="F297">
        <v>9</v>
      </c>
      <c r="G297">
        <v>3</v>
      </c>
      <c r="H297">
        <v>1</v>
      </c>
      <c r="I297">
        <v>828.75</v>
      </c>
      <c r="J297" t="str">
        <f t="shared" si="8"/>
        <v>H2</v>
      </c>
      <c r="K297">
        <f t="shared" si="9"/>
        <v>0</v>
      </c>
    </row>
    <row r="298" spans="1:11" x14ac:dyDescent="0.25">
      <c r="A298" t="s">
        <v>667</v>
      </c>
      <c r="B298" t="s">
        <v>65</v>
      </c>
      <c r="C298" t="s">
        <v>64</v>
      </c>
      <c r="D298" t="s">
        <v>657</v>
      </c>
      <c r="E298">
        <v>17</v>
      </c>
      <c r="F298">
        <v>8</v>
      </c>
      <c r="G298">
        <v>3</v>
      </c>
      <c r="H298">
        <v>0</v>
      </c>
      <c r="I298">
        <v>0</v>
      </c>
      <c r="J298" t="str">
        <f t="shared" si="8"/>
        <v>H2</v>
      </c>
      <c r="K298">
        <f t="shared" si="9"/>
        <v>1</v>
      </c>
    </row>
    <row r="299" spans="1:11" x14ac:dyDescent="0.25">
      <c r="A299" t="s">
        <v>667</v>
      </c>
      <c r="B299" t="s">
        <v>65</v>
      </c>
      <c r="C299" t="s">
        <v>64</v>
      </c>
      <c r="D299" t="s">
        <v>658</v>
      </c>
      <c r="E299">
        <v>16</v>
      </c>
      <c r="F299">
        <v>6</v>
      </c>
      <c r="G299">
        <v>2</v>
      </c>
      <c r="H299">
        <v>0</v>
      </c>
      <c r="I299">
        <v>0</v>
      </c>
      <c r="J299" t="str">
        <f t="shared" si="8"/>
        <v>H2</v>
      </c>
      <c r="K299">
        <f t="shared" si="9"/>
        <v>1</v>
      </c>
    </row>
    <row r="300" spans="1:11" x14ac:dyDescent="0.25">
      <c r="A300" t="s">
        <v>667</v>
      </c>
      <c r="B300" t="s">
        <v>65</v>
      </c>
      <c r="C300" t="s">
        <v>64</v>
      </c>
      <c r="D300" t="s">
        <v>658</v>
      </c>
      <c r="E300">
        <v>13</v>
      </c>
      <c r="F300">
        <v>6</v>
      </c>
      <c r="G300">
        <v>4</v>
      </c>
      <c r="H300">
        <v>1</v>
      </c>
      <c r="I300">
        <v>881.72</v>
      </c>
      <c r="J300" t="str">
        <f t="shared" si="8"/>
        <v>H2</v>
      </c>
      <c r="K300">
        <f t="shared" si="9"/>
        <v>0</v>
      </c>
    </row>
    <row r="301" spans="1:11" x14ac:dyDescent="0.25">
      <c r="A301" t="s">
        <v>667</v>
      </c>
      <c r="B301" t="s">
        <v>65</v>
      </c>
      <c r="C301" t="s">
        <v>64</v>
      </c>
      <c r="D301" t="s">
        <v>658</v>
      </c>
      <c r="E301">
        <v>12</v>
      </c>
      <c r="F301">
        <v>6</v>
      </c>
      <c r="G301">
        <v>2</v>
      </c>
      <c r="H301">
        <v>0</v>
      </c>
      <c r="I301">
        <v>0</v>
      </c>
      <c r="J301" t="str">
        <f t="shared" si="8"/>
        <v>H2</v>
      </c>
      <c r="K301">
        <f t="shared" si="9"/>
        <v>1</v>
      </c>
    </row>
    <row r="302" spans="1:11" x14ac:dyDescent="0.25">
      <c r="A302" t="s">
        <v>667</v>
      </c>
      <c r="B302" t="s">
        <v>65</v>
      </c>
      <c r="C302" t="s">
        <v>64</v>
      </c>
      <c r="D302" t="s">
        <v>659</v>
      </c>
      <c r="E302">
        <v>11</v>
      </c>
      <c r="F302">
        <v>4</v>
      </c>
      <c r="G302">
        <v>2</v>
      </c>
      <c r="H302">
        <v>0</v>
      </c>
      <c r="I302">
        <v>0</v>
      </c>
      <c r="J302" t="str">
        <f t="shared" si="8"/>
        <v>H2</v>
      </c>
      <c r="K302">
        <f t="shared" si="9"/>
        <v>1</v>
      </c>
    </row>
    <row r="303" spans="1:11" x14ac:dyDescent="0.25">
      <c r="A303" t="s">
        <v>667</v>
      </c>
      <c r="B303" t="s">
        <v>65</v>
      </c>
      <c r="C303" t="s">
        <v>64</v>
      </c>
      <c r="D303" t="s">
        <v>659</v>
      </c>
      <c r="E303">
        <v>8</v>
      </c>
      <c r="F303">
        <v>3</v>
      </c>
      <c r="G303">
        <v>1</v>
      </c>
      <c r="H303">
        <v>0</v>
      </c>
      <c r="I303">
        <v>0</v>
      </c>
      <c r="J303" t="str">
        <f t="shared" si="8"/>
        <v>H2</v>
      </c>
      <c r="K303">
        <f t="shared" si="9"/>
        <v>1</v>
      </c>
    </row>
    <row r="304" spans="1:11" x14ac:dyDescent="0.25">
      <c r="A304" t="s">
        <v>667</v>
      </c>
      <c r="B304" t="s">
        <v>65</v>
      </c>
      <c r="C304" t="s">
        <v>64</v>
      </c>
      <c r="D304" t="s">
        <v>659</v>
      </c>
      <c r="E304">
        <v>17</v>
      </c>
      <c r="F304">
        <v>6</v>
      </c>
      <c r="G304">
        <v>3</v>
      </c>
      <c r="H304">
        <v>1</v>
      </c>
      <c r="I304">
        <v>576.69000000000005</v>
      </c>
      <c r="J304" t="str">
        <f t="shared" si="8"/>
        <v>H2</v>
      </c>
      <c r="K304">
        <f t="shared" si="9"/>
        <v>0</v>
      </c>
    </row>
    <row r="305" spans="1:11" x14ac:dyDescent="0.25">
      <c r="A305" t="s">
        <v>667</v>
      </c>
      <c r="B305" t="s">
        <v>65</v>
      </c>
      <c r="C305" t="s">
        <v>64</v>
      </c>
      <c r="D305" t="s">
        <v>660</v>
      </c>
      <c r="E305">
        <v>17</v>
      </c>
      <c r="F305">
        <v>5</v>
      </c>
      <c r="G305">
        <v>2</v>
      </c>
      <c r="H305">
        <v>0</v>
      </c>
      <c r="I305">
        <v>0</v>
      </c>
      <c r="J305" t="str">
        <f t="shared" si="8"/>
        <v>H2</v>
      </c>
      <c r="K305">
        <f t="shared" si="9"/>
        <v>1</v>
      </c>
    </row>
    <row r="306" spans="1:11" x14ac:dyDescent="0.25">
      <c r="A306" t="s">
        <v>667</v>
      </c>
      <c r="B306" t="s">
        <v>65</v>
      </c>
      <c r="C306" t="s">
        <v>64</v>
      </c>
      <c r="D306" t="s">
        <v>660</v>
      </c>
      <c r="E306">
        <v>17</v>
      </c>
      <c r="F306">
        <v>9</v>
      </c>
      <c r="G306">
        <v>5</v>
      </c>
      <c r="H306">
        <v>1</v>
      </c>
      <c r="I306">
        <v>387.95</v>
      </c>
      <c r="J306" t="str">
        <f t="shared" si="8"/>
        <v>H2</v>
      </c>
      <c r="K306">
        <f t="shared" si="9"/>
        <v>0</v>
      </c>
    </row>
    <row r="307" spans="1:11" x14ac:dyDescent="0.25">
      <c r="A307" t="s">
        <v>667</v>
      </c>
      <c r="B307" t="s">
        <v>65</v>
      </c>
      <c r="C307" t="s">
        <v>64</v>
      </c>
      <c r="D307" t="s">
        <v>660</v>
      </c>
      <c r="E307">
        <v>13</v>
      </c>
      <c r="F307">
        <v>5</v>
      </c>
      <c r="G307">
        <v>3</v>
      </c>
      <c r="H307">
        <v>0</v>
      </c>
      <c r="I307">
        <v>0</v>
      </c>
      <c r="J307" t="str">
        <f t="shared" si="8"/>
        <v>H2</v>
      </c>
      <c r="K307">
        <f t="shared" si="9"/>
        <v>1</v>
      </c>
    </row>
    <row r="308" spans="1:11" x14ac:dyDescent="0.25">
      <c r="A308" t="s">
        <v>667</v>
      </c>
      <c r="B308" t="s">
        <v>65</v>
      </c>
      <c r="C308" t="s">
        <v>64</v>
      </c>
      <c r="D308" t="s">
        <v>661</v>
      </c>
      <c r="E308">
        <v>12</v>
      </c>
      <c r="F308">
        <v>5</v>
      </c>
      <c r="G308">
        <v>2</v>
      </c>
      <c r="H308">
        <v>0</v>
      </c>
      <c r="I308">
        <v>0</v>
      </c>
      <c r="J308" t="str">
        <f t="shared" si="8"/>
        <v>H2</v>
      </c>
      <c r="K308">
        <f t="shared" si="9"/>
        <v>1</v>
      </c>
    </row>
    <row r="309" spans="1:11" x14ac:dyDescent="0.25">
      <c r="A309" t="s">
        <v>667</v>
      </c>
      <c r="B309" t="s">
        <v>65</v>
      </c>
      <c r="C309" t="s">
        <v>64</v>
      </c>
      <c r="D309" t="s">
        <v>661</v>
      </c>
      <c r="E309">
        <v>11</v>
      </c>
      <c r="F309">
        <v>3</v>
      </c>
      <c r="G309">
        <v>2</v>
      </c>
      <c r="H309">
        <v>0</v>
      </c>
      <c r="I309">
        <v>0</v>
      </c>
      <c r="J309" t="str">
        <f t="shared" si="8"/>
        <v>H2</v>
      </c>
      <c r="K309">
        <f t="shared" si="9"/>
        <v>1</v>
      </c>
    </row>
    <row r="310" spans="1:11" x14ac:dyDescent="0.25">
      <c r="A310" t="s">
        <v>667</v>
      </c>
      <c r="B310" t="s">
        <v>65</v>
      </c>
      <c r="C310" t="s">
        <v>64</v>
      </c>
      <c r="D310" t="s">
        <v>661</v>
      </c>
      <c r="E310">
        <v>22</v>
      </c>
      <c r="F310">
        <v>11</v>
      </c>
      <c r="G310">
        <v>6</v>
      </c>
      <c r="H310">
        <v>2</v>
      </c>
      <c r="I310">
        <v>1029.07</v>
      </c>
      <c r="J310" t="str">
        <f t="shared" si="8"/>
        <v>H2</v>
      </c>
      <c r="K310">
        <f t="shared" si="9"/>
        <v>0</v>
      </c>
    </row>
    <row r="311" spans="1:11" x14ac:dyDescent="0.25">
      <c r="A311" t="s">
        <v>667</v>
      </c>
      <c r="B311" t="s">
        <v>65</v>
      </c>
      <c r="C311" t="s">
        <v>64</v>
      </c>
      <c r="D311" t="s">
        <v>662</v>
      </c>
      <c r="E311">
        <v>23</v>
      </c>
      <c r="F311">
        <v>8</v>
      </c>
      <c r="G311">
        <v>5</v>
      </c>
      <c r="H311">
        <v>1</v>
      </c>
      <c r="I311">
        <v>324.57</v>
      </c>
      <c r="J311" t="str">
        <f t="shared" si="8"/>
        <v>H2</v>
      </c>
      <c r="K311">
        <f t="shared" si="9"/>
        <v>0</v>
      </c>
    </row>
    <row r="312" spans="1:11" x14ac:dyDescent="0.25">
      <c r="A312" t="s">
        <v>667</v>
      </c>
      <c r="B312" t="s">
        <v>65</v>
      </c>
      <c r="C312" t="s">
        <v>64</v>
      </c>
      <c r="D312" t="s">
        <v>662</v>
      </c>
      <c r="E312">
        <v>19</v>
      </c>
      <c r="F312">
        <v>11</v>
      </c>
      <c r="G312">
        <v>5</v>
      </c>
      <c r="H312">
        <v>1</v>
      </c>
      <c r="I312">
        <v>518.57000000000005</v>
      </c>
      <c r="J312" t="str">
        <f t="shared" si="8"/>
        <v>H2</v>
      </c>
      <c r="K312">
        <f t="shared" si="9"/>
        <v>0</v>
      </c>
    </row>
    <row r="313" spans="1:11" x14ac:dyDescent="0.25">
      <c r="A313" t="s">
        <v>667</v>
      </c>
      <c r="B313" t="s">
        <v>65</v>
      </c>
      <c r="C313" t="s">
        <v>64</v>
      </c>
      <c r="D313" t="s">
        <v>662</v>
      </c>
      <c r="E313">
        <v>19</v>
      </c>
      <c r="F313">
        <v>8</v>
      </c>
      <c r="G313">
        <v>4</v>
      </c>
      <c r="H313">
        <v>1</v>
      </c>
      <c r="I313">
        <v>316.60000000000002</v>
      </c>
      <c r="J313" t="str">
        <f t="shared" si="8"/>
        <v>H2</v>
      </c>
      <c r="K313">
        <f t="shared" si="9"/>
        <v>0</v>
      </c>
    </row>
    <row r="314" spans="1:11" x14ac:dyDescent="0.25">
      <c r="A314" t="s">
        <v>668</v>
      </c>
      <c r="B314" t="s">
        <v>63</v>
      </c>
      <c r="C314" t="s">
        <v>62</v>
      </c>
      <c r="D314" t="s">
        <v>651</v>
      </c>
      <c r="E314">
        <v>25</v>
      </c>
      <c r="F314">
        <v>7</v>
      </c>
      <c r="G314">
        <v>4</v>
      </c>
      <c r="H314">
        <v>0</v>
      </c>
      <c r="I314">
        <v>0</v>
      </c>
      <c r="J314" t="str">
        <f t="shared" si="8"/>
        <v>H1</v>
      </c>
      <c r="K314">
        <f t="shared" si="9"/>
        <v>1</v>
      </c>
    </row>
    <row r="315" spans="1:11" x14ac:dyDescent="0.25">
      <c r="A315" t="s">
        <v>668</v>
      </c>
      <c r="B315" t="s">
        <v>63</v>
      </c>
      <c r="C315" t="s">
        <v>62</v>
      </c>
      <c r="D315" t="s">
        <v>651</v>
      </c>
      <c r="E315">
        <v>23</v>
      </c>
      <c r="F315">
        <v>11</v>
      </c>
      <c r="G315">
        <v>5</v>
      </c>
      <c r="H315">
        <v>2</v>
      </c>
      <c r="I315">
        <v>1208.3800000000001</v>
      </c>
      <c r="J315" t="str">
        <f t="shared" si="8"/>
        <v>H1</v>
      </c>
      <c r="K315">
        <f t="shared" si="9"/>
        <v>0</v>
      </c>
    </row>
    <row r="316" spans="1:11" x14ac:dyDescent="0.25">
      <c r="A316" t="s">
        <v>668</v>
      </c>
      <c r="B316" t="s">
        <v>63</v>
      </c>
      <c r="C316" t="s">
        <v>62</v>
      </c>
      <c r="D316" t="s">
        <v>651</v>
      </c>
      <c r="E316">
        <v>10</v>
      </c>
      <c r="F316">
        <v>4</v>
      </c>
      <c r="G316">
        <v>2</v>
      </c>
      <c r="H316">
        <v>0</v>
      </c>
      <c r="I316">
        <v>0</v>
      </c>
      <c r="J316" t="str">
        <f t="shared" si="8"/>
        <v>H1</v>
      </c>
      <c r="K316">
        <f t="shared" si="9"/>
        <v>1</v>
      </c>
    </row>
    <row r="317" spans="1:11" x14ac:dyDescent="0.25">
      <c r="A317" t="s">
        <v>668</v>
      </c>
      <c r="B317" t="s">
        <v>63</v>
      </c>
      <c r="C317" t="s">
        <v>62</v>
      </c>
      <c r="D317" t="s">
        <v>651</v>
      </c>
      <c r="E317">
        <v>15</v>
      </c>
      <c r="F317">
        <v>8</v>
      </c>
      <c r="G317">
        <v>4</v>
      </c>
      <c r="H317">
        <v>1</v>
      </c>
      <c r="I317">
        <v>708.79</v>
      </c>
      <c r="J317" t="str">
        <f t="shared" si="8"/>
        <v>H1</v>
      </c>
      <c r="K317">
        <f t="shared" si="9"/>
        <v>0</v>
      </c>
    </row>
    <row r="318" spans="1:11" x14ac:dyDescent="0.25">
      <c r="A318" t="s">
        <v>668</v>
      </c>
      <c r="B318" t="s">
        <v>63</v>
      </c>
      <c r="C318" t="s">
        <v>62</v>
      </c>
      <c r="D318" t="s">
        <v>652</v>
      </c>
      <c r="E318">
        <v>17</v>
      </c>
      <c r="F318">
        <v>9</v>
      </c>
      <c r="G318">
        <v>5</v>
      </c>
      <c r="H318">
        <v>1</v>
      </c>
      <c r="I318">
        <v>672.53</v>
      </c>
      <c r="J318" t="str">
        <f t="shared" si="8"/>
        <v>H1</v>
      </c>
      <c r="K318">
        <f t="shared" si="9"/>
        <v>0</v>
      </c>
    </row>
    <row r="319" spans="1:11" x14ac:dyDescent="0.25">
      <c r="A319" t="s">
        <v>668</v>
      </c>
      <c r="B319" t="s">
        <v>63</v>
      </c>
      <c r="C319" t="s">
        <v>62</v>
      </c>
      <c r="D319" t="s">
        <v>652</v>
      </c>
      <c r="E319">
        <v>24</v>
      </c>
      <c r="F319">
        <v>10</v>
      </c>
      <c r="G319">
        <v>6</v>
      </c>
      <c r="H319">
        <v>2</v>
      </c>
      <c r="I319">
        <v>1168.48</v>
      </c>
      <c r="J319" t="str">
        <f t="shared" si="8"/>
        <v>H1</v>
      </c>
      <c r="K319">
        <f t="shared" si="9"/>
        <v>0</v>
      </c>
    </row>
    <row r="320" spans="1:11" x14ac:dyDescent="0.25">
      <c r="A320" t="s">
        <v>668</v>
      </c>
      <c r="B320" t="s">
        <v>63</v>
      </c>
      <c r="C320" t="s">
        <v>62</v>
      </c>
      <c r="D320" t="s">
        <v>652</v>
      </c>
      <c r="E320">
        <v>24</v>
      </c>
      <c r="F320">
        <v>9</v>
      </c>
      <c r="G320">
        <v>5</v>
      </c>
      <c r="H320">
        <v>1</v>
      </c>
      <c r="I320">
        <v>648.42999999999995</v>
      </c>
      <c r="J320" t="str">
        <f t="shared" si="8"/>
        <v>H1</v>
      </c>
      <c r="K320">
        <f t="shared" si="9"/>
        <v>0</v>
      </c>
    </row>
    <row r="321" spans="1:11" x14ac:dyDescent="0.25">
      <c r="A321" t="s">
        <v>668</v>
      </c>
      <c r="B321" t="s">
        <v>63</v>
      </c>
      <c r="C321" t="s">
        <v>62</v>
      </c>
      <c r="D321" t="s">
        <v>652</v>
      </c>
      <c r="E321">
        <v>11</v>
      </c>
      <c r="F321">
        <v>4</v>
      </c>
      <c r="G321">
        <v>2</v>
      </c>
      <c r="H321">
        <v>0</v>
      </c>
      <c r="I321">
        <v>0</v>
      </c>
      <c r="J321" t="str">
        <f t="shared" si="8"/>
        <v>H1</v>
      </c>
      <c r="K321">
        <f t="shared" si="9"/>
        <v>1</v>
      </c>
    </row>
    <row r="322" spans="1:11" x14ac:dyDescent="0.25">
      <c r="A322" t="s">
        <v>668</v>
      </c>
      <c r="B322" t="s">
        <v>63</v>
      </c>
      <c r="C322" t="s">
        <v>62</v>
      </c>
      <c r="D322" t="s">
        <v>653</v>
      </c>
      <c r="E322">
        <v>20</v>
      </c>
      <c r="F322">
        <v>6</v>
      </c>
      <c r="G322">
        <v>2</v>
      </c>
      <c r="H322">
        <v>0</v>
      </c>
      <c r="I322">
        <v>0</v>
      </c>
      <c r="J322" t="str">
        <f t="shared" ref="J322:J385" si="10">IF(VALUE(RIGHT(D322,2))&lt;=6,"H1","H2")</f>
        <v>H1</v>
      </c>
      <c r="K322">
        <f t="shared" ref="K322:K385" si="11">IF(H322=0,1,0)</f>
        <v>1</v>
      </c>
    </row>
    <row r="323" spans="1:11" x14ac:dyDescent="0.25">
      <c r="A323" t="s">
        <v>668</v>
      </c>
      <c r="B323" t="s">
        <v>63</v>
      </c>
      <c r="C323" t="s">
        <v>62</v>
      </c>
      <c r="D323" t="s">
        <v>653</v>
      </c>
      <c r="E323">
        <v>19</v>
      </c>
      <c r="F323">
        <v>7</v>
      </c>
      <c r="G323">
        <v>5</v>
      </c>
      <c r="H323">
        <v>2</v>
      </c>
      <c r="I323">
        <v>1561.92</v>
      </c>
      <c r="J323" t="str">
        <f t="shared" si="10"/>
        <v>H1</v>
      </c>
      <c r="K323">
        <f t="shared" si="11"/>
        <v>0</v>
      </c>
    </row>
    <row r="324" spans="1:11" x14ac:dyDescent="0.25">
      <c r="A324" t="s">
        <v>668</v>
      </c>
      <c r="B324" t="s">
        <v>63</v>
      </c>
      <c r="C324" t="s">
        <v>62</v>
      </c>
      <c r="D324" t="s">
        <v>653</v>
      </c>
      <c r="E324">
        <v>17</v>
      </c>
      <c r="F324">
        <v>5</v>
      </c>
      <c r="G324">
        <v>3</v>
      </c>
      <c r="H324">
        <v>0</v>
      </c>
      <c r="I324">
        <v>0</v>
      </c>
      <c r="J324" t="str">
        <f t="shared" si="10"/>
        <v>H1</v>
      </c>
      <c r="K324">
        <f t="shared" si="11"/>
        <v>1</v>
      </c>
    </row>
    <row r="325" spans="1:11" x14ac:dyDescent="0.25">
      <c r="A325" t="s">
        <v>668</v>
      </c>
      <c r="B325" t="s">
        <v>63</v>
      </c>
      <c r="C325" t="s">
        <v>62</v>
      </c>
      <c r="D325" t="s">
        <v>653</v>
      </c>
      <c r="E325">
        <v>15</v>
      </c>
      <c r="F325">
        <v>5</v>
      </c>
      <c r="G325">
        <v>3</v>
      </c>
      <c r="H325">
        <v>1</v>
      </c>
      <c r="I325">
        <v>585.70000000000005</v>
      </c>
      <c r="J325" t="str">
        <f t="shared" si="10"/>
        <v>H1</v>
      </c>
      <c r="K325">
        <f t="shared" si="11"/>
        <v>0</v>
      </c>
    </row>
    <row r="326" spans="1:11" x14ac:dyDescent="0.25">
      <c r="A326" t="s">
        <v>668</v>
      </c>
      <c r="B326" t="s">
        <v>63</v>
      </c>
      <c r="C326" t="s">
        <v>62</v>
      </c>
      <c r="D326" t="s">
        <v>654</v>
      </c>
      <c r="E326">
        <v>22</v>
      </c>
      <c r="F326">
        <v>11</v>
      </c>
      <c r="G326">
        <v>7</v>
      </c>
      <c r="H326">
        <v>2</v>
      </c>
      <c r="I326">
        <v>665.22</v>
      </c>
      <c r="J326" t="str">
        <f t="shared" si="10"/>
        <v>H1</v>
      </c>
      <c r="K326">
        <f t="shared" si="11"/>
        <v>0</v>
      </c>
    </row>
    <row r="327" spans="1:11" x14ac:dyDescent="0.25">
      <c r="A327" t="s">
        <v>668</v>
      </c>
      <c r="B327" t="s">
        <v>63</v>
      </c>
      <c r="C327" t="s">
        <v>62</v>
      </c>
      <c r="D327" t="s">
        <v>654</v>
      </c>
      <c r="E327">
        <v>22</v>
      </c>
      <c r="F327">
        <v>9</v>
      </c>
      <c r="G327">
        <v>4</v>
      </c>
      <c r="H327">
        <v>0</v>
      </c>
      <c r="I327">
        <v>0</v>
      </c>
      <c r="J327" t="str">
        <f t="shared" si="10"/>
        <v>H1</v>
      </c>
      <c r="K327">
        <f t="shared" si="11"/>
        <v>1</v>
      </c>
    </row>
    <row r="328" spans="1:11" x14ac:dyDescent="0.25">
      <c r="A328" t="s">
        <v>668</v>
      </c>
      <c r="B328" t="s">
        <v>63</v>
      </c>
      <c r="C328" t="s">
        <v>62</v>
      </c>
      <c r="D328" t="s">
        <v>654</v>
      </c>
      <c r="E328">
        <v>11</v>
      </c>
      <c r="F328">
        <v>4</v>
      </c>
      <c r="G328">
        <v>2</v>
      </c>
      <c r="H328">
        <v>0</v>
      </c>
      <c r="I328">
        <v>0</v>
      </c>
      <c r="J328" t="str">
        <f t="shared" si="10"/>
        <v>H1</v>
      </c>
      <c r="K328">
        <f t="shared" si="11"/>
        <v>1</v>
      </c>
    </row>
    <row r="329" spans="1:11" x14ac:dyDescent="0.25">
      <c r="A329" t="s">
        <v>668</v>
      </c>
      <c r="B329" t="s">
        <v>63</v>
      </c>
      <c r="C329" t="s">
        <v>62</v>
      </c>
      <c r="D329" t="s">
        <v>654</v>
      </c>
      <c r="E329">
        <v>17</v>
      </c>
      <c r="F329">
        <v>6</v>
      </c>
      <c r="G329">
        <v>2</v>
      </c>
      <c r="H329">
        <v>0</v>
      </c>
      <c r="I329">
        <v>0</v>
      </c>
      <c r="J329" t="str">
        <f t="shared" si="10"/>
        <v>H1</v>
      </c>
      <c r="K329">
        <f t="shared" si="11"/>
        <v>1</v>
      </c>
    </row>
    <row r="330" spans="1:11" x14ac:dyDescent="0.25">
      <c r="A330" t="s">
        <v>668</v>
      </c>
      <c r="B330" t="s">
        <v>63</v>
      </c>
      <c r="C330" t="s">
        <v>62</v>
      </c>
      <c r="D330" t="s">
        <v>655</v>
      </c>
      <c r="E330">
        <v>15</v>
      </c>
      <c r="F330">
        <v>4</v>
      </c>
      <c r="G330">
        <v>2</v>
      </c>
      <c r="H330">
        <v>0</v>
      </c>
      <c r="I330">
        <v>0</v>
      </c>
      <c r="J330" t="str">
        <f t="shared" si="10"/>
        <v>H1</v>
      </c>
      <c r="K330">
        <f t="shared" si="11"/>
        <v>1</v>
      </c>
    </row>
    <row r="331" spans="1:11" x14ac:dyDescent="0.25">
      <c r="A331" t="s">
        <v>668</v>
      </c>
      <c r="B331" t="s">
        <v>63</v>
      </c>
      <c r="C331" t="s">
        <v>62</v>
      </c>
      <c r="D331" t="s">
        <v>655</v>
      </c>
      <c r="E331">
        <v>16</v>
      </c>
      <c r="F331">
        <v>6</v>
      </c>
      <c r="G331">
        <v>3</v>
      </c>
      <c r="H331">
        <v>0</v>
      </c>
      <c r="I331">
        <v>0</v>
      </c>
      <c r="J331" t="str">
        <f t="shared" si="10"/>
        <v>H1</v>
      </c>
      <c r="K331">
        <f t="shared" si="11"/>
        <v>1</v>
      </c>
    </row>
    <row r="332" spans="1:11" x14ac:dyDescent="0.25">
      <c r="A332" t="s">
        <v>668</v>
      </c>
      <c r="B332" t="s">
        <v>63</v>
      </c>
      <c r="C332" t="s">
        <v>62</v>
      </c>
      <c r="D332" t="s">
        <v>655</v>
      </c>
      <c r="E332">
        <v>24</v>
      </c>
      <c r="F332">
        <v>9</v>
      </c>
      <c r="G332">
        <v>3</v>
      </c>
      <c r="H332">
        <v>0</v>
      </c>
      <c r="I332">
        <v>0</v>
      </c>
      <c r="J332" t="str">
        <f t="shared" si="10"/>
        <v>H1</v>
      </c>
      <c r="K332">
        <f t="shared" si="11"/>
        <v>1</v>
      </c>
    </row>
    <row r="333" spans="1:11" x14ac:dyDescent="0.25">
      <c r="A333" t="s">
        <v>668</v>
      </c>
      <c r="B333" t="s">
        <v>63</v>
      </c>
      <c r="C333" t="s">
        <v>62</v>
      </c>
      <c r="D333" t="s">
        <v>655</v>
      </c>
      <c r="E333">
        <v>9</v>
      </c>
      <c r="F333">
        <v>3</v>
      </c>
      <c r="G333">
        <v>2</v>
      </c>
      <c r="H333">
        <v>0</v>
      </c>
      <c r="I333">
        <v>0</v>
      </c>
      <c r="J333" t="str">
        <f t="shared" si="10"/>
        <v>H1</v>
      </c>
      <c r="K333">
        <f t="shared" si="11"/>
        <v>1</v>
      </c>
    </row>
    <row r="334" spans="1:11" x14ac:dyDescent="0.25">
      <c r="A334" t="s">
        <v>668</v>
      </c>
      <c r="B334" t="s">
        <v>63</v>
      </c>
      <c r="C334" t="s">
        <v>62</v>
      </c>
      <c r="D334" t="s">
        <v>656</v>
      </c>
      <c r="E334">
        <v>18</v>
      </c>
      <c r="F334">
        <v>5</v>
      </c>
      <c r="G334">
        <v>3</v>
      </c>
      <c r="H334">
        <v>0</v>
      </c>
      <c r="I334">
        <v>0</v>
      </c>
      <c r="J334" t="str">
        <f t="shared" si="10"/>
        <v>H1</v>
      </c>
      <c r="K334">
        <f t="shared" si="11"/>
        <v>1</v>
      </c>
    </row>
    <row r="335" spans="1:11" x14ac:dyDescent="0.25">
      <c r="A335" t="s">
        <v>668</v>
      </c>
      <c r="B335" t="s">
        <v>63</v>
      </c>
      <c r="C335" t="s">
        <v>62</v>
      </c>
      <c r="D335" t="s">
        <v>656</v>
      </c>
      <c r="E335">
        <v>21</v>
      </c>
      <c r="F335">
        <v>7</v>
      </c>
      <c r="G335">
        <v>3</v>
      </c>
      <c r="H335">
        <v>0</v>
      </c>
      <c r="I335">
        <v>0</v>
      </c>
      <c r="J335" t="str">
        <f t="shared" si="10"/>
        <v>H1</v>
      </c>
      <c r="K335">
        <f t="shared" si="11"/>
        <v>1</v>
      </c>
    </row>
    <row r="336" spans="1:11" x14ac:dyDescent="0.25">
      <c r="A336" t="s">
        <v>668</v>
      </c>
      <c r="B336" t="s">
        <v>63</v>
      </c>
      <c r="C336" t="s">
        <v>62</v>
      </c>
      <c r="D336" t="s">
        <v>656</v>
      </c>
      <c r="E336">
        <v>21</v>
      </c>
      <c r="F336">
        <v>12</v>
      </c>
      <c r="G336">
        <v>5</v>
      </c>
      <c r="H336">
        <v>1</v>
      </c>
      <c r="I336">
        <v>322.45</v>
      </c>
      <c r="J336" t="str">
        <f t="shared" si="10"/>
        <v>H1</v>
      </c>
      <c r="K336">
        <f t="shared" si="11"/>
        <v>0</v>
      </c>
    </row>
    <row r="337" spans="1:11" x14ac:dyDescent="0.25">
      <c r="A337" t="s">
        <v>668</v>
      </c>
      <c r="B337" t="s">
        <v>63</v>
      </c>
      <c r="C337" t="s">
        <v>62</v>
      </c>
      <c r="D337" t="s">
        <v>656</v>
      </c>
      <c r="E337">
        <v>17</v>
      </c>
      <c r="F337">
        <v>7</v>
      </c>
      <c r="G337">
        <v>4</v>
      </c>
      <c r="H337">
        <v>1</v>
      </c>
      <c r="I337">
        <v>372.87</v>
      </c>
      <c r="J337" t="str">
        <f t="shared" si="10"/>
        <v>H1</v>
      </c>
      <c r="K337">
        <f t="shared" si="11"/>
        <v>0</v>
      </c>
    </row>
    <row r="338" spans="1:11" x14ac:dyDescent="0.25">
      <c r="A338" t="s">
        <v>668</v>
      </c>
      <c r="B338" t="s">
        <v>63</v>
      </c>
      <c r="C338" t="s">
        <v>62</v>
      </c>
      <c r="D338" t="s">
        <v>657</v>
      </c>
      <c r="E338">
        <v>17</v>
      </c>
      <c r="F338">
        <v>5</v>
      </c>
      <c r="G338">
        <v>3</v>
      </c>
      <c r="H338">
        <v>1</v>
      </c>
      <c r="I338">
        <v>566.69000000000005</v>
      </c>
      <c r="J338" t="str">
        <f t="shared" si="10"/>
        <v>H2</v>
      </c>
      <c r="K338">
        <f t="shared" si="11"/>
        <v>0</v>
      </c>
    </row>
    <row r="339" spans="1:11" x14ac:dyDescent="0.25">
      <c r="A339" t="s">
        <v>668</v>
      </c>
      <c r="B339" t="s">
        <v>63</v>
      </c>
      <c r="C339" t="s">
        <v>62</v>
      </c>
      <c r="D339" t="s">
        <v>657</v>
      </c>
      <c r="E339">
        <v>24</v>
      </c>
      <c r="F339">
        <v>12</v>
      </c>
      <c r="G339">
        <v>5</v>
      </c>
      <c r="H339">
        <v>1</v>
      </c>
      <c r="I339">
        <v>386.49</v>
      </c>
      <c r="J339" t="str">
        <f t="shared" si="10"/>
        <v>H2</v>
      </c>
      <c r="K339">
        <f t="shared" si="11"/>
        <v>0</v>
      </c>
    </row>
    <row r="340" spans="1:11" x14ac:dyDescent="0.25">
      <c r="A340" t="s">
        <v>668</v>
      </c>
      <c r="B340" t="s">
        <v>63</v>
      </c>
      <c r="C340" t="s">
        <v>62</v>
      </c>
      <c r="D340" t="s">
        <v>657</v>
      </c>
      <c r="E340">
        <v>10</v>
      </c>
      <c r="F340">
        <v>4</v>
      </c>
      <c r="G340">
        <v>2</v>
      </c>
      <c r="H340">
        <v>0</v>
      </c>
      <c r="I340">
        <v>0</v>
      </c>
      <c r="J340" t="str">
        <f t="shared" si="10"/>
        <v>H2</v>
      </c>
      <c r="K340">
        <f t="shared" si="11"/>
        <v>1</v>
      </c>
    </row>
    <row r="341" spans="1:11" x14ac:dyDescent="0.25">
      <c r="A341" t="s">
        <v>668</v>
      </c>
      <c r="B341" t="s">
        <v>63</v>
      </c>
      <c r="C341" t="s">
        <v>62</v>
      </c>
      <c r="D341" t="s">
        <v>657</v>
      </c>
      <c r="E341">
        <v>20</v>
      </c>
      <c r="F341">
        <v>10</v>
      </c>
      <c r="G341">
        <v>4</v>
      </c>
      <c r="H341">
        <v>1</v>
      </c>
      <c r="I341">
        <v>880.87</v>
      </c>
      <c r="J341" t="str">
        <f t="shared" si="10"/>
        <v>H2</v>
      </c>
      <c r="K341">
        <f t="shared" si="11"/>
        <v>0</v>
      </c>
    </row>
    <row r="342" spans="1:11" x14ac:dyDescent="0.25">
      <c r="A342" t="s">
        <v>668</v>
      </c>
      <c r="B342" t="s">
        <v>63</v>
      </c>
      <c r="C342" t="s">
        <v>62</v>
      </c>
      <c r="D342" t="s">
        <v>658</v>
      </c>
      <c r="E342">
        <v>13</v>
      </c>
      <c r="F342">
        <v>5</v>
      </c>
      <c r="G342">
        <v>3</v>
      </c>
      <c r="H342">
        <v>0</v>
      </c>
      <c r="I342">
        <v>0</v>
      </c>
      <c r="J342" t="str">
        <f t="shared" si="10"/>
        <v>H2</v>
      </c>
      <c r="K342">
        <f t="shared" si="11"/>
        <v>1</v>
      </c>
    </row>
    <row r="343" spans="1:11" x14ac:dyDescent="0.25">
      <c r="A343" t="s">
        <v>668</v>
      </c>
      <c r="B343" t="s">
        <v>63</v>
      </c>
      <c r="C343" t="s">
        <v>62</v>
      </c>
      <c r="D343" t="s">
        <v>658</v>
      </c>
      <c r="E343">
        <v>19</v>
      </c>
      <c r="F343">
        <v>11</v>
      </c>
      <c r="G343">
        <v>6</v>
      </c>
      <c r="H343">
        <v>2</v>
      </c>
      <c r="I343">
        <v>932.28</v>
      </c>
      <c r="J343" t="str">
        <f t="shared" si="10"/>
        <v>H2</v>
      </c>
      <c r="K343">
        <f t="shared" si="11"/>
        <v>0</v>
      </c>
    </row>
    <row r="344" spans="1:11" x14ac:dyDescent="0.25">
      <c r="A344" t="s">
        <v>668</v>
      </c>
      <c r="B344" t="s">
        <v>63</v>
      </c>
      <c r="C344" t="s">
        <v>62</v>
      </c>
      <c r="D344" t="s">
        <v>658</v>
      </c>
      <c r="E344">
        <v>23</v>
      </c>
      <c r="F344">
        <v>7</v>
      </c>
      <c r="G344">
        <v>4</v>
      </c>
      <c r="H344">
        <v>1</v>
      </c>
      <c r="I344">
        <v>392.87</v>
      </c>
      <c r="J344" t="str">
        <f t="shared" si="10"/>
        <v>H2</v>
      </c>
      <c r="K344">
        <f t="shared" si="11"/>
        <v>0</v>
      </c>
    </row>
    <row r="345" spans="1:11" x14ac:dyDescent="0.25">
      <c r="A345" t="s">
        <v>668</v>
      </c>
      <c r="B345" t="s">
        <v>63</v>
      </c>
      <c r="C345" t="s">
        <v>62</v>
      </c>
      <c r="D345" t="s">
        <v>658</v>
      </c>
      <c r="E345">
        <v>10</v>
      </c>
      <c r="F345">
        <v>4</v>
      </c>
      <c r="G345">
        <v>1</v>
      </c>
      <c r="H345">
        <v>0</v>
      </c>
      <c r="I345">
        <v>0</v>
      </c>
      <c r="J345" t="str">
        <f t="shared" si="10"/>
        <v>H2</v>
      </c>
      <c r="K345">
        <f t="shared" si="11"/>
        <v>1</v>
      </c>
    </row>
    <row r="346" spans="1:11" x14ac:dyDescent="0.25">
      <c r="A346" t="s">
        <v>668</v>
      </c>
      <c r="B346" t="s">
        <v>63</v>
      </c>
      <c r="C346" t="s">
        <v>62</v>
      </c>
      <c r="D346" t="s">
        <v>659</v>
      </c>
      <c r="E346">
        <v>17</v>
      </c>
      <c r="F346">
        <v>8</v>
      </c>
      <c r="G346">
        <v>5</v>
      </c>
      <c r="H346">
        <v>2</v>
      </c>
      <c r="I346">
        <v>1348.4</v>
      </c>
      <c r="J346" t="str">
        <f t="shared" si="10"/>
        <v>H2</v>
      </c>
      <c r="K346">
        <f t="shared" si="11"/>
        <v>0</v>
      </c>
    </row>
    <row r="347" spans="1:11" x14ac:dyDescent="0.25">
      <c r="A347" t="s">
        <v>668</v>
      </c>
      <c r="B347" t="s">
        <v>63</v>
      </c>
      <c r="C347" t="s">
        <v>62</v>
      </c>
      <c r="D347" t="s">
        <v>659</v>
      </c>
      <c r="E347">
        <v>13</v>
      </c>
      <c r="F347">
        <v>5</v>
      </c>
      <c r="G347">
        <v>3</v>
      </c>
      <c r="H347">
        <v>1</v>
      </c>
      <c r="I347">
        <v>509.3</v>
      </c>
      <c r="J347" t="str">
        <f t="shared" si="10"/>
        <v>H2</v>
      </c>
      <c r="K347">
        <f t="shared" si="11"/>
        <v>0</v>
      </c>
    </row>
    <row r="348" spans="1:11" x14ac:dyDescent="0.25">
      <c r="A348" t="s">
        <v>668</v>
      </c>
      <c r="B348" t="s">
        <v>63</v>
      </c>
      <c r="C348" t="s">
        <v>62</v>
      </c>
      <c r="D348" t="s">
        <v>659</v>
      </c>
      <c r="E348">
        <v>17</v>
      </c>
      <c r="F348">
        <v>7</v>
      </c>
      <c r="G348">
        <v>2</v>
      </c>
      <c r="H348">
        <v>0</v>
      </c>
      <c r="I348">
        <v>0</v>
      </c>
      <c r="J348" t="str">
        <f t="shared" si="10"/>
        <v>H2</v>
      </c>
      <c r="K348">
        <f t="shared" si="11"/>
        <v>1</v>
      </c>
    </row>
    <row r="349" spans="1:11" x14ac:dyDescent="0.25">
      <c r="A349" t="s">
        <v>668</v>
      </c>
      <c r="B349" t="s">
        <v>63</v>
      </c>
      <c r="C349" t="s">
        <v>62</v>
      </c>
      <c r="D349" t="s">
        <v>659</v>
      </c>
      <c r="E349">
        <v>25</v>
      </c>
      <c r="F349">
        <v>8</v>
      </c>
      <c r="G349">
        <v>3</v>
      </c>
      <c r="H349">
        <v>0</v>
      </c>
      <c r="I349">
        <v>0</v>
      </c>
      <c r="J349" t="str">
        <f t="shared" si="10"/>
        <v>H2</v>
      </c>
      <c r="K349">
        <f t="shared" si="11"/>
        <v>1</v>
      </c>
    </row>
    <row r="350" spans="1:11" x14ac:dyDescent="0.25">
      <c r="A350" t="s">
        <v>668</v>
      </c>
      <c r="B350" t="s">
        <v>63</v>
      </c>
      <c r="C350" t="s">
        <v>62</v>
      </c>
      <c r="D350" t="s">
        <v>660</v>
      </c>
      <c r="E350">
        <v>14</v>
      </c>
      <c r="F350">
        <v>4</v>
      </c>
      <c r="G350">
        <v>1</v>
      </c>
      <c r="H350">
        <v>0</v>
      </c>
      <c r="I350">
        <v>0</v>
      </c>
      <c r="J350" t="str">
        <f t="shared" si="10"/>
        <v>H2</v>
      </c>
      <c r="K350">
        <f t="shared" si="11"/>
        <v>1</v>
      </c>
    </row>
    <row r="351" spans="1:11" x14ac:dyDescent="0.25">
      <c r="A351" t="s">
        <v>668</v>
      </c>
      <c r="B351" t="s">
        <v>63</v>
      </c>
      <c r="C351" t="s">
        <v>62</v>
      </c>
      <c r="D351" t="s">
        <v>660</v>
      </c>
      <c r="E351">
        <v>14</v>
      </c>
      <c r="F351">
        <v>7</v>
      </c>
      <c r="G351">
        <v>3</v>
      </c>
      <c r="H351">
        <v>1</v>
      </c>
      <c r="I351">
        <v>774</v>
      </c>
      <c r="J351" t="str">
        <f t="shared" si="10"/>
        <v>H2</v>
      </c>
      <c r="K351">
        <f t="shared" si="11"/>
        <v>0</v>
      </c>
    </row>
    <row r="352" spans="1:11" x14ac:dyDescent="0.25">
      <c r="A352" t="s">
        <v>668</v>
      </c>
      <c r="B352" t="s">
        <v>63</v>
      </c>
      <c r="C352" t="s">
        <v>62</v>
      </c>
      <c r="D352" t="s">
        <v>660</v>
      </c>
      <c r="E352">
        <v>24</v>
      </c>
      <c r="F352">
        <v>10</v>
      </c>
      <c r="G352">
        <v>4</v>
      </c>
      <c r="H352">
        <v>1</v>
      </c>
      <c r="I352">
        <v>511.12</v>
      </c>
      <c r="J352" t="str">
        <f t="shared" si="10"/>
        <v>H2</v>
      </c>
      <c r="K352">
        <f t="shared" si="11"/>
        <v>0</v>
      </c>
    </row>
    <row r="353" spans="1:11" x14ac:dyDescent="0.25">
      <c r="A353" t="s">
        <v>668</v>
      </c>
      <c r="B353" t="s">
        <v>63</v>
      </c>
      <c r="C353" t="s">
        <v>62</v>
      </c>
      <c r="D353" t="s">
        <v>660</v>
      </c>
      <c r="E353">
        <v>23</v>
      </c>
      <c r="F353">
        <v>13</v>
      </c>
      <c r="G353">
        <v>9</v>
      </c>
      <c r="H353">
        <v>3</v>
      </c>
      <c r="I353">
        <v>958.09</v>
      </c>
      <c r="J353" t="str">
        <f t="shared" si="10"/>
        <v>H2</v>
      </c>
      <c r="K353">
        <f t="shared" si="11"/>
        <v>0</v>
      </c>
    </row>
    <row r="354" spans="1:11" x14ac:dyDescent="0.25">
      <c r="A354" t="s">
        <v>668</v>
      </c>
      <c r="B354" t="s">
        <v>63</v>
      </c>
      <c r="C354" t="s">
        <v>62</v>
      </c>
      <c r="D354" t="s">
        <v>661</v>
      </c>
      <c r="E354">
        <v>18</v>
      </c>
      <c r="F354">
        <v>7</v>
      </c>
      <c r="G354">
        <v>4</v>
      </c>
      <c r="H354">
        <v>0</v>
      </c>
      <c r="I354">
        <v>0</v>
      </c>
      <c r="J354" t="str">
        <f t="shared" si="10"/>
        <v>H2</v>
      </c>
      <c r="K354">
        <f t="shared" si="11"/>
        <v>1</v>
      </c>
    </row>
    <row r="355" spans="1:11" x14ac:dyDescent="0.25">
      <c r="A355" t="s">
        <v>668</v>
      </c>
      <c r="B355" t="s">
        <v>63</v>
      </c>
      <c r="C355" t="s">
        <v>62</v>
      </c>
      <c r="D355" t="s">
        <v>661</v>
      </c>
      <c r="E355">
        <v>10</v>
      </c>
      <c r="F355">
        <v>4</v>
      </c>
      <c r="G355">
        <v>2</v>
      </c>
      <c r="H355">
        <v>0</v>
      </c>
      <c r="I355">
        <v>0</v>
      </c>
      <c r="J355" t="str">
        <f t="shared" si="10"/>
        <v>H2</v>
      </c>
      <c r="K355">
        <f t="shared" si="11"/>
        <v>1</v>
      </c>
    </row>
    <row r="356" spans="1:11" x14ac:dyDescent="0.25">
      <c r="A356" t="s">
        <v>668</v>
      </c>
      <c r="B356" t="s">
        <v>63</v>
      </c>
      <c r="C356" t="s">
        <v>62</v>
      </c>
      <c r="D356" t="s">
        <v>661</v>
      </c>
      <c r="E356">
        <v>11</v>
      </c>
      <c r="F356">
        <v>4</v>
      </c>
      <c r="G356">
        <v>1</v>
      </c>
      <c r="H356">
        <v>0</v>
      </c>
      <c r="I356">
        <v>0</v>
      </c>
      <c r="J356" t="str">
        <f t="shared" si="10"/>
        <v>H2</v>
      </c>
      <c r="K356">
        <f t="shared" si="11"/>
        <v>1</v>
      </c>
    </row>
    <row r="357" spans="1:11" x14ac:dyDescent="0.25">
      <c r="A357" t="s">
        <v>668</v>
      </c>
      <c r="B357" t="s">
        <v>63</v>
      </c>
      <c r="C357" t="s">
        <v>62</v>
      </c>
      <c r="D357" t="s">
        <v>661</v>
      </c>
      <c r="E357">
        <v>21</v>
      </c>
      <c r="F357">
        <v>7</v>
      </c>
      <c r="G357">
        <v>3</v>
      </c>
      <c r="H357">
        <v>1</v>
      </c>
      <c r="I357">
        <v>383.57</v>
      </c>
      <c r="J357" t="str">
        <f t="shared" si="10"/>
        <v>H2</v>
      </c>
      <c r="K357">
        <f t="shared" si="11"/>
        <v>0</v>
      </c>
    </row>
    <row r="358" spans="1:11" x14ac:dyDescent="0.25">
      <c r="A358" t="s">
        <v>668</v>
      </c>
      <c r="B358" t="s">
        <v>63</v>
      </c>
      <c r="C358" t="s">
        <v>62</v>
      </c>
      <c r="D358" t="s">
        <v>662</v>
      </c>
      <c r="E358">
        <v>17</v>
      </c>
      <c r="F358">
        <v>9</v>
      </c>
      <c r="G358">
        <v>3</v>
      </c>
      <c r="H358">
        <v>1</v>
      </c>
      <c r="I358">
        <v>590.25</v>
      </c>
      <c r="J358" t="str">
        <f t="shared" si="10"/>
        <v>H2</v>
      </c>
      <c r="K358">
        <f t="shared" si="11"/>
        <v>0</v>
      </c>
    </row>
    <row r="359" spans="1:11" x14ac:dyDescent="0.25">
      <c r="A359" t="s">
        <v>668</v>
      </c>
      <c r="B359" t="s">
        <v>63</v>
      </c>
      <c r="C359" t="s">
        <v>62</v>
      </c>
      <c r="D359" t="s">
        <v>662</v>
      </c>
      <c r="E359">
        <v>20</v>
      </c>
      <c r="F359">
        <v>6</v>
      </c>
      <c r="G359">
        <v>2</v>
      </c>
      <c r="H359">
        <v>0</v>
      </c>
      <c r="I359">
        <v>0</v>
      </c>
      <c r="J359" t="str">
        <f t="shared" si="10"/>
        <v>H2</v>
      </c>
      <c r="K359">
        <f t="shared" si="11"/>
        <v>1</v>
      </c>
    </row>
    <row r="360" spans="1:11" x14ac:dyDescent="0.25">
      <c r="A360" t="s">
        <v>668</v>
      </c>
      <c r="B360" t="s">
        <v>63</v>
      </c>
      <c r="C360" t="s">
        <v>62</v>
      </c>
      <c r="D360" t="s">
        <v>662</v>
      </c>
      <c r="E360">
        <v>12</v>
      </c>
      <c r="F360">
        <v>6</v>
      </c>
      <c r="G360">
        <v>3</v>
      </c>
      <c r="H360">
        <v>0</v>
      </c>
      <c r="I360">
        <v>0</v>
      </c>
      <c r="J360" t="str">
        <f t="shared" si="10"/>
        <v>H2</v>
      </c>
      <c r="K360">
        <f t="shared" si="11"/>
        <v>1</v>
      </c>
    </row>
    <row r="361" spans="1:11" x14ac:dyDescent="0.25">
      <c r="A361" t="s">
        <v>668</v>
      </c>
      <c r="B361" t="s">
        <v>63</v>
      </c>
      <c r="C361" t="s">
        <v>62</v>
      </c>
      <c r="D361" t="s">
        <v>662</v>
      </c>
      <c r="E361">
        <v>25</v>
      </c>
      <c r="F361">
        <v>13</v>
      </c>
      <c r="G361">
        <v>6</v>
      </c>
      <c r="H361">
        <v>2</v>
      </c>
      <c r="I361">
        <v>1694.78</v>
      </c>
      <c r="J361" t="str">
        <f t="shared" si="10"/>
        <v>H2</v>
      </c>
      <c r="K361">
        <f t="shared" si="11"/>
        <v>0</v>
      </c>
    </row>
    <row r="362" spans="1:11" x14ac:dyDescent="0.25">
      <c r="A362" t="s">
        <v>669</v>
      </c>
      <c r="B362" t="s">
        <v>41</v>
      </c>
      <c r="C362" t="s">
        <v>40</v>
      </c>
      <c r="D362" t="s">
        <v>651</v>
      </c>
      <c r="E362">
        <v>9</v>
      </c>
      <c r="F362">
        <v>3</v>
      </c>
      <c r="G362">
        <v>1</v>
      </c>
      <c r="H362">
        <v>0</v>
      </c>
      <c r="I362">
        <v>0</v>
      </c>
      <c r="J362" t="str">
        <f t="shared" si="10"/>
        <v>H1</v>
      </c>
      <c r="K362">
        <f t="shared" si="11"/>
        <v>1</v>
      </c>
    </row>
    <row r="363" spans="1:11" x14ac:dyDescent="0.25">
      <c r="A363" t="s">
        <v>669</v>
      </c>
      <c r="B363" t="s">
        <v>41</v>
      </c>
      <c r="C363" t="s">
        <v>40</v>
      </c>
      <c r="D363" t="s">
        <v>651</v>
      </c>
      <c r="E363">
        <v>21</v>
      </c>
      <c r="F363">
        <v>9</v>
      </c>
      <c r="G363">
        <v>5</v>
      </c>
      <c r="H363">
        <v>1</v>
      </c>
      <c r="I363">
        <v>757.8</v>
      </c>
      <c r="J363" t="str">
        <f t="shared" si="10"/>
        <v>H1</v>
      </c>
      <c r="K363">
        <f t="shared" si="11"/>
        <v>0</v>
      </c>
    </row>
    <row r="364" spans="1:11" x14ac:dyDescent="0.25">
      <c r="A364" t="s">
        <v>669</v>
      </c>
      <c r="B364" t="s">
        <v>41</v>
      </c>
      <c r="C364" t="s">
        <v>40</v>
      </c>
      <c r="D364" t="s">
        <v>651</v>
      </c>
      <c r="E364">
        <v>19</v>
      </c>
      <c r="F364">
        <v>9</v>
      </c>
      <c r="G364">
        <v>6</v>
      </c>
      <c r="H364">
        <v>2</v>
      </c>
      <c r="I364">
        <v>755.66</v>
      </c>
      <c r="J364" t="str">
        <f t="shared" si="10"/>
        <v>H1</v>
      </c>
      <c r="K364">
        <f t="shared" si="11"/>
        <v>0</v>
      </c>
    </row>
    <row r="365" spans="1:11" x14ac:dyDescent="0.25">
      <c r="A365" t="s">
        <v>669</v>
      </c>
      <c r="B365" t="s">
        <v>41</v>
      </c>
      <c r="C365" t="s">
        <v>40</v>
      </c>
      <c r="D365" t="s">
        <v>652</v>
      </c>
      <c r="E365">
        <v>9</v>
      </c>
      <c r="F365">
        <v>3</v>
      </c>
      <c r="G365">
        <v>1</v>
      </c>
      <c r="H365">
        <v>0</v>
      </c>
      <c r="I365">
        <v>0</v>
      </c>
      <c r="J365" t="str">
        <f t="shared" si="10"/>
        <v>H1</v>
      </c>
      <c r="K365">
        <f t="shared" si="11"/>
        <v>1</v>
      </c>
    </row>
    <row r="366" spans="1:11" x14ac:dyDescent="0.25">
      <c r="A366" t="s">
        <v>669</v>
      </c>
      <c r="B366" t="s">
        <v>41</v>
      </c>
      <c r="C366" t="s">
        <v>40</v>
      </c>
      <c r="D366" t="s">
        <v>652</v>
      </c>
      <c r="E366">
        <v>8</v>
      </c>
      <c r="F366">
        <v>4</v>
      </c>
      <c r="G366">
        <v>2</v>
      </c>
      <c r="H366">
        <v>0</v>
      </c>
      <c r="I366">
        <v>0</v>
      </c>
      <c r="J366" t="str">
        <f t="shared" si="10"/>
        <v>H1</v>
      </c>
      <c r="K366">
        <f t="shared" si="11"/>
        <v>1</v>
      </c>
    </row>
    <row r="367" spans="1:11" x14ac:dyDescent="0.25">
      <c r="A367" t="s">
        <v>669</v>
      </c>
      <c r="B367" t="s">
        <v>41</v>
      </c>
      <c r="C367" t="s">
        <v>40</v>
      </c>
      <c r="D367" t="s">
        <v>652</v>
      </c>
      <c r="E367">
        <v>20</v>
      </c>
      <c r="F367">
        <v>8</v>
      </c>
      <c r="G367">
        <v>3</v>
      </c>
      <c r="H367">
        <v>0</v>
      </c>
      <c r="I367">
        <v>0</v>
      </c>
      <c r="J367" t="str">
        <f t="shared" si="10"/>
        <v>H1</v>
      </c>
      <c r="K367">
        <f t="shared" si="11"/>
        <v>1</v>
      </c>
    </row>
    <row r="368" spans="1:11" x14ac:dyDescent="0.25">
      <c r="A368" t="s">
        <v>669</v>
      </c>
      <c r="B368" t="s">
        <v>41</v>
      </c>
      <c r="C368" t="s">
        <v>40</v>
      </c>
      <c r="D368" t="s">
        <v>653</v>
      </c>
      <c r="E368">
        <v>10</v>
      </c>
      <c r="F368">
        <v>5</v>
      </c>
      <c r="G368">
        <v>2</v>
      </c>
      <c r="H368">
        <v>0</v>
      </c>
      <c r="I368">
        <v>0</v>
      </c>
      <c r="J368" t="str">
        <f t="shared" si="10"/>
        <v>H1</v>
      </c>
      <c r="K368">
        <f t="shared" si="11"/>
        <v>1</v>
      </c>
    </row>
    <row r="369" spans="1:11" x14ac:dyDescent="0.25">
      <c r="A369" t="s">
        <v>669</v>
      </c>
      <c r="B369" t="s">
        <v>41</v>
      </c>
      <c r="C369" t="s">
        <v>40</v>
      </c>
      <c r="D369" t="s">
        <v>653</v>
      </c>
      <c r="E369">
        <v>16</v>
      </c>
      <c r="F369">
        <v>8</v>
      </c>
      <c r="G369">
        <v>4</v>
      </c>
      <c r="H369">
        <v>1</v>
      </c>
      <c r="I369">
        <v>504.57</v>
      </c>
      <c r="J369" t="str">
        <f t="shared" si="10"/>
        <v>H1</v>
      </c>
      <c r="K369">
        <f t="shared" si="11"/>
        <v>0</v>
      </c>
    </row>
    <row r="370" spans="1:11" x14ac:dyDescent="0.25">
      <c r="A370" t="s">
        <v>669</v>
      </c>
      <c r="B370" t="s">
        <v>41</v>
      </c>
      <c r="C370" t="s">
        <v>40</v>
      </c>
      <c r="D370" t="s">
        <v>653</v>
      </c>
      <c r="E370">
        <v>25</v>
      </c>
      <c r="F370">
        <v>9</v>
      </c>
      <c r="G370">
        <v>5</v>
      </c>
      <c r="H370">
        <v>2</v>
      </c>
      <c r="I370">
        <v>1677.17</v>
      </c>
      <c r="J370" t="str">
        <f t="shared" si="10"/>
        <v>H1</v>
      </c>
      <c r="K370">
        <f t="shared" si="11"/>
        <v>0</v>
      </c>
    </row>
    <row r="371" spans="1:11" x14ac:dyDescent="0.25">
      <c r="A371" t="s">
        <v>669</v>
      </c>
      <c r="B371" t="s">
        <v>41</v>
      </c>
      <c r="C371" t="s">
        <v>40</v>
      </c>
      <c r="D371" t="s">
        <v>654</v>
      </c>
      <c r="E371">
        <v>11</v>
      </c>
      <c r="F371">
        <v>3</v>
      </c>
      <c r="G371">
        <v>1</v>
      </c>
      <c r="H371">
        <v>0</v>
      </c>
      <c r="I371">
        <v>0</v>
      </c>
      <c r="J371" t="str">
        <f t="shared" si="10"/>
        <v>H1</v>
      </c>
      <c r="K371">
        <f t="shared" si="11"/>
        <v>1</v>
      </c>
    </row>
    <row r="372" spans="1:11" x14ac:dyDescent="0.25">
      <c r="A372" t="s">
        <v>669</v>
      </c>
      <c r="B372" t="s">
        <v>41</v>
      </c>
      <c r="C372" t="s">
        <v>40</v>
      </c>
      <c r="D372" t="s">
        <v>654</v>
      </c>
      <c r="E372">
        <v>21</v>
      </c>
      <c r="F372">
        <v>11</v>
      </c>
      <c r="G372">
        <v>7</v>
      </c>
      <c r="H372">
        <v>3</v>
      </c>
      <c r="I372">
        <v>2254.3200000000002</v>
      </c>
      <c r="J372" t="str">
        <f t="shared" si="10"/>
        <v>H1</v>
      </c>
      <c r="K372">
        <f t="shared" si="11"/>
        <v>0</v>
      </c>
    </row>
    <row r="373" spans="1:11" x14ac:dyDescent="0.25">
      <c r="A373" t="s">
        <v>669</v>
      </c>
      <c r="B373" t="s">
        <v>41</v>
      </c>
      <c r="C373" t="s">
        <v>40</v>
      </c>
      <c r="D373" t="s">
        <v>654</v>
      </c>
      <c r="E373">
        <v>15</v>
      </c>
      <c r="F373">
        <v>6</v>
      </c>
      <c r="G373">
        <v>3</v>
      </c>
      <c r="H373">
        <v>0</v>
      </c>
      <c r="I373">
        <v>0</v>
      </c>
      <c r="J373" t="str">
        <f t="shared" si="10"/>
        <v>H1</v>
      </c>
      <c r="K373">
        <f t="shared" si="11"/>
        <v>1</v>
      </c>
    </row>
    <row r="374" spans="1:11" x14ac:dyDescent="0.25">
      <c r="A374" t="s">
        <v>669</v>
      </c>
      <c r="B374" t="s">
        <v>41</v>
      </c>
      <c r="C374" t="s">
        <v>40</v>
      </c>
      <c r="D374" t="s">
        <v>655</v>
      </c>
      <c r="E374">
        <v>17</v>
      </c>
      <c r="F374">
        <v>9</v>
      </c>
      <c r="G374">
        <v>6</v>
      </c>
      <c r="H374">
        <v>1</v>
      </c>
      <c r="I374">
        <v>858.75</v>
      </c>
      <c r="J374" t="str">
        <f t="shared" si="10"/>
        <v>H1</v>
      </c>
      <c r="K374">
        <f t="shared" si="11"/>
        <v>0</v>
      </c>
    </row>
    <row r="375" spans="1:11" x14ac:dyDescent="0.25">
      <c r="A375" t="s">
        <v>669</v>
      </c>
      <c r="B375" t="s">
        <v>41</v>
      </c>
      <c r="C375" t="s">
        <v>40</v>
      </c>
      <c r="D375" t="s">
        <v>655</v>
      </c>
      <c r="E375">
        <v>11</v>
      </c>
      <c r="F375">
        <v>5</v>
      </c>
      <c r="G375">
        <v>3</v>
      </c>
      <c r="H375">
        <v>1</v>
      </c>
      <c r="I375">
        <v>472.45</v>
      </c>
      <c r="J375" t="str">
        <f t="shared" si="10"/>
        <v>H1</v>
      </c>
      <c r="K375">
        <f t="shared" si="11"/>
        <v>0</v>
      </c>
    </row>
    <row r="376" spans="1:11" x14ac:dyDescent="0.25">
      <c r="A376" t="s">
        <v>669</v>
      </c>
      <c r="B376" t="s">
        <v>41</v>
      </c>
      <c r="C376" t="s">
        <v>40</v>
      </c>
      <c r="D376" t="s">
        <v>655</v>
      </c>
      <c r="E376">
        <v>15</v>
      </c>
      <c r="F376">
        <v>6</v>
      </c>
      <c r="G376">
        <v>2</v>
      </c>
      <c r="H376">
        <v>0</v>
      </c>
      <c r="I376">
        <v>0</v>
      </c>
      <c r="J376" t="str">
        <f t="shared" si="10"/>
        <v>H1</v>
      </c>
      <c r="K376">
        <f t="shared" si="11"/>
        <v>1</v>
      </c>
    </row>
    <row r="377" spans="1:11" x14ac:dyDescent="0.25">
      <c r="A377" t="s">
        <v>669</v>
      </c>
      <c r="B377" t="s">
        <v>41</v>
      </c>
      <c r="C377" t="s">
        <v>40</v>
      </c>
      <c r="D377" t="s">
        <v>656</v>
      </c>
      <c r="E377">
        <v>8</v>
      </c>
      <c r="F377">
        <v>4</v>
      </c>
      <c r="G377">
        <v>2</v>
      </c>
      <c r="H377">
        <v>0</v>
      </c>
      <c r="I377">
        <v>0</v>
      </c>
      <c r="J377" t="str">
        <f t="shared" si="10"/>
        <v>H1</v>
      </c>
      <c r="K377">
        <f t="shared" si="11"/>
        <v>1</v>
      </c>
    </row>
    <row r="378" spans="1:11" x14ac:dyDescent="0.25">
      <c r="A378" t="s">
        <v>669</v>
      </c>
      <c r="B378" t="s">
        <v>41</v>
      </c>
      <c r="C378" t="s">
        <v>40</v>
      </c>
      <c r="D378" t="s">
        <v>656</v>
      </c>
      <c r="E378">
        <v>25</v>
      </c>
      <c r="F378">
        <v>10</v>
      </c>
      <c r="G378">
        <v>6</v>
      </c>
      <c r="H378">
        <v>2</v>
      </c>
      <c r="I378">
        <v>1222.7</v>
      </c>
      <c r="J378" t="str">
        <f t="shared" si="10"/>
        <v>H1</v>
      </c>
      <c r="K378">
        <f t="shared" si="11"/>
        <v>0</v>
      </c>
    </row>
    <row r="379" spans="1:11" x14ac:dyDescent="0.25">
      <c r="A379" t="s">
        <v>669</v>
      </c>
      <c r="B379" t="s">
        <v>41</v>
      </c>
      <c r="C379" t="s">
        <v>40</v>
      </c>
      <c r="D379" t="s">
        <v>656</v>
      </c>
      <c r="E379">
        <v>9</v>
      </c>
      <c r="F379">
        <v>3</v>
      </c>
      <c r="G379">
        <v>1</v>
      </c>
      <c r="H379">
        <v>0</v>
      </c>
      <c r="I379">
        <v>0</v>
      </c>
      <c r="J379" t="str">
        <f t="shared" si="10"/>
        <v>H1</v>
      </c>
      <c r="K379">
        <f t="shared" si="11"/>
        <v>1</v>
      </c>
    </row>
    <row r="380" spans="1:11" x14ac:dyDescent="0.25">
      <c r="A380" t="s">
        <v>669</v>
      </c>
      <c r="B380" t="s">
        <v>41</v>
      </c>
      <c r="C380" t="s">
        <v>40</v>
      </c>
      <c r="D380" t="s">
        <v>657</v>
      </c>
      <c r="E380">
        <v>10</v>
      </c>
      <c r="F380">
        <v>3</v>
      </c>
      <c r="G380">
        <v>1</v>
      </c>
      <c r="H380">
        <v>0</v>
      </c>
      <c r="I380">
        <v>0</v>
      </c>
      <c r="J380" t="str">
        <f t="shared" si="10"/>
        <v>H2</v>
      </c>
      <c r="K380">
        <f t="shared" si="11"/>
        <v>1</v>
      </c>
    </row>
    <row r="381" spans="1:11" x14ac:dyDescent="0.25">
      <c r="A381" t="s">
        <v>669</v>
      </c>
      <c r="B381" t="s">
        <v>41</v>
      </c>
      <c r="C381" t="s">
        <v>40</v>
      </c>
      <c r="D381" t="s">
        <v>657</v>
      </c>
      <c r="E381">
        <v>8</v>
      </c>
      <c r="F381">
        <v>3</v>
      </c>
      <c r="G381">
        <v>1</v>
      </c>
      <c r="H381">
        <v>0</v>
      </c>
      <c r="I381">
        <v>0</v>
      </c>
      <c r="J381" t="str">
        <f t="shared" si="10"/>
        <v>H2</v>
      </c>
      <c r="K381">
        <f t="shared" si="11"/>
        <v>1</v>
      </c>
    </row>
    <row r="382" spans="1:11" x14ac:dyDescent="0.25">
      <c r="A382" t="s">
        <v>669</v>
      </c>
      <c r="B382" t="s">
        <v>41</v>
      </c>
      <c r="C382" t="s">
        <v>40</v>
      </c>
      <c r="D382" t="s">
        <v>657</v>
      </c>
      <c r="E382">
        <v>13</v>
      </c>
      <c r="F382">
        <v>7</v>
      </c>
      <c r="G382">
        <v>3</v>
      </c>
      <c r="H382">
        <v>1</v>
      </c>
      <c r="I382">
        <v>442.94</v>
      </c>
      <c r="J382" t="str">
        <f t="shared" si="10"/>
        <v>H2</v>
      </c>
      <c r="K382">
        <f t="shared" si="11"/>
        <v>0</v>
      </c>
    </row>
    <row r="383" spans="1:11" x14ac:dyDescent="0.25">
      <c r="A383" t="s">
        <v>669</v>
      </c>
      <c r="B383" t="s">
        <v>41</v>
      </c>
      <c r="C383" t="s">
        <v>40</v>
      </c>
      <c r="D383" t="s">
        <v>658</v>
      </c>
      <c r="E383">
        <v>25</v>
      </c>
      <c r="F383">
        <v>9</v>
      </c>
      <c r="G383">
        <v>4</v>
      </c>
      <c r="H383">
        <v>1</v>
      </c>
      <c r="I383">
        <v>385.18</v>
      </c>
      <c r="J383" t="str">
        <f t="shared" si="10"/>
        <v>H2</v>
      </c>
      <c r="K383">
        <f t="shared" si="11"/>
        <v>0</v>
      </c>
    </row>
    <row r="384" spans="1:11" x14ac:dyDescent="0.25">
      <c r="A384" t="s">
        <v>669</v>
      </c>
      <c r="B384" t="s">
        <v>41</v>
      </c>
      <c r="C384" t="s">
        <v>40</v>
      </c>
      <c r="D384" t="s">
        <v>658</v>
      </c>
      <c r="E384">
        <v>21</v>
      </c>
      <c r="F384">
        <v>10</v>
      </c>
      <c r="G384">
        <v>5</v>
      </c>
      <c r="H384">
        <v>1</v>
      </c>
      <c r="I384">
        <v>370.8</v>
      </c>
      <c r="J384" t="str">
        <f t="shared" si="10"/>
        <v>H2</v>
      </c>
      <c r="K384">
        <f t="shared" si="11"/>
        <v>0</v>
      </c>
    </row>
    <row r="385" spans="1:11" x14ac:dyDescent="0.25">
      <c r="A385" t="s">
        <v>669</v>
      </c>
      <c r="B385" t="s">
        <v>41</v>
      </c>
      <c r="C385" t="s">
        <v>40</v>
      </c>
      <c r="D385" t="s">
        <v>658</v>
      </c>
      <c r="E385">
        <v>8</v>
      </c>
      <c r="F385">
        <v>3</v>
      </c>
      <c r="G385">
        <v>1</v>
      </c>
      <c r="H385">
        <v>0</v>
      </c>
      <c r="I385">
        <v>0</v>
      </c>
      <c r="J385" t="str">
        <f t="shared" si="10"/>
        <v>H2</v>
      </c>
      <c r="K385">
        <f t="shared" si="11"/>
        <v>1</v>
      </c>
    </row>
    <row r="386" spans="1:11" x14ac:dyDescent="0.25">
      <c r="A386" t="s">
        <v>669</v>
      </c>
      <c r="B386" t="s">
        <v>41</v>
      </c>
      <c r="C386" t="s">
        <v>40</v>
      </c>
      <c r="D386" t="s">
        <v>659</v>
      </c>
      <c r="E386">
        <v>15</v>
      </c>
      <c r="F386">
        <v>7</v>
      </c>
      <c r="G386">
        <v>4</v>
      </c>
      <c r="H386">
        <v>1</v>
      </c>
      <c r="I386">
        <v>368.54</v>
      </c>
      <c r="J386" t="str">
        <f t="shared" ref="J386:J449" si="12">IF(VALUE(RIGHT(D386,2))&lt;=6,"H1","H2")</f>
        <v>H2</v>
      </c>
      <c r="K386">
        <f t="shared" ref="K386:K449" si="13">IF(H386=0,1,0)</f>
        <v>0</v>
      </c>
    </row>
    <row r="387" spans="1:11" x14ac:dyDescent="0.25">
      <c r="A387" t="s">
        <v>669</v>
      </c>
      <c r="B387" t="s">
        <v>41</v>
      </c>
      <c r="C387" t="s">
        <v>40</v>
      </c>
      <c r="D387" t="s">
        <v>659</v>
      </c>
      <c r="E387">
        <v>19</v>
      </c>
      <c r="F387">
        <v>7</v>
      </c>
      <c r="G387">
        <v>3</v>
      </c>
      <c r="H387">
        <v>1</v>
      </c>
      <c r="I387">
        <v>442.9</v>
      </c>
      <c r="J387" t="str">
        <f t="shared" si="12"/>
        <v>H2</v>
      </c>
      <c r="K387">
        <f t="shared" si="13"/>
        <v>0</v>
      </c>
    </row>
    <row r="388" spans="1:11" x14ac:dyDescent="0.25">
      <c r="A388" t="s">
        <v>669</v>
      </c>
      <c r="B388" t="s">
        <v>41</v>
      </c>
      <c r="C388" t="s">
        <v>40</v>
      </c>
      <c r="D388" t="s">
        <v>659</v>
      </c>
      <c r="E388">
        <v>25</v>
      </c>
      <c r="F388">
        <v>9</v>
      </c>
      <c r="G388">
        <v>5</v>
      </c>
      <c r="H388">
        <v>1</v>
      </c>
      <c r="I388">
        <v>464.56</v>
      </c>
      <c r="J388" t="str">
        <f t="shared" si="12"/>
        <v>H2</v>
      </c>
      <c r="K388">
        <f t="shared" si="13"/>
        <v>0</v>
      </c>
    </row>
    <row r="389" spans="1:11" x14ac:dyDescent="0.25">
      <c r="A389" t="s">
        <v>669</v>
      </c>
      <c r="B389" t="s">
        <v>41</v>
      </c>
      <c r="C389" t="s">
        <v>40</v>
      </c>
      <c r="D389" t="s">
        <v>660</v>
      </c>
      <c r="E389">
        <v>23</v>
      </c>
      <c r="F389">
        <v>12</v>
      </c>
      <c r="G389">
        <v>5</v>
      </c>
      <c r="H389">
        <v>1</v>
      </c>
      <c r="I389">
        <v>480.25</v>
      </c>
      <c r="J389" t="str">
        <f t="shared" si="12"/>
        <v>H2</v>
      </c>
      <c r="K389">
        <f t="shared" si="13"/>
        <v>0</v>
      </c>
    </row>
    <row r="390" spans="1:11" x14ac:dyDescent="0.25">
      <c r="A390" t="s">
        <v>669</v>
      </c>
      <c r="B390" t="s">
        <v>41</v>
      </c>
      <c r="C390" t="s">
        <v>40</v>
      </c>
      <c r="D390" t="s">
        <v>660</v>
      </c>
      <c r="E390">
        <v>10</v>
      </c>
      <c r="F390">
        <v>4</v>
      </c>
      <c r="G390">
        <v>1</v>
      </c>
      <c r="H390">
        <v>0</v>
      </c>
      <c r="I390">
        <v>0</v>
      </c>
      <c r="J390" t="str">
        <f t="shared" si="12"/>
        <v>H2</v>
      </c>
      <c r="K390">
        <f t="shared" si="13"/>
        <v>1</v>
      </c>
    </row>
    <row r="391" spans="1:11" x14ac:dyDescent="0.25">
      <c r="A391" t="s">
        <v>669</v>
      </c>
      <c r="B391" t="s">
        <v>41</v>
      </c>
      <c r="C391" t="s">
        <v>40</v>
      </c>
      <c r="D391" t="s">
        <v>660</v>
      </c>
      <c r="E391">
        <v>16</v>
      </c>
      <c r="F391">
        <v>7</v>
      </c>
      <c r="G391">
        <v>4</v>
      </c>
      <c r="H391">
        <v>1</v>
      </c>
      <c r="I391">
        <v>664.8</v>
      </c>
      <c r="J391" t="str">
        <f t="shared" si="12"/>
        <v>H2</v>
      </c>
      <c r="K391">
        <f t="shared" si="13"/>
        <v>0</v>
      </c>
    </row>
    <row r="392" spans="1:11" x14ac:dyDescent="0.25">
      <c r="A392" t="s">
        <v>669</v>
      </c>
      <c r="B392" t="s">
        <v>41</v>
      </c>
      <c r="C392" t="s">
        <v>40</v>
      </c>
      <c r="D392" t="s">
        <v>661</v>
      </c>
      <c r="E392">
        <v>10</v>
      </c>
      <c r="F392">
        <v>3</v>
      </c>
      <c r="G392">
        <v>2</v>
      </c>
      <c r="H392">
        <v>0</v>
      </c>
      <c r="I392">
        <v>0</v>
      </c>
      <c r="J392" t="str">
        <f t="shared" si="12"/>
        <v>H2</v>
      </c>
      <c r="K392">
        <f t="shared" si="13"/>
        <v>1</v>
      </c>
    </row>
    <row r="393" spans="1:11" x14ac:dyDescent="0.25">
      <c r="A393" t="s">
        <v>669</v>
      </c>
      <c r="B393" t="s">
        <v>41</v>
      </c>
      <c r="C393" t="s">
        <v>40</v>
      </c>
      <c r="D393" t="s">
        <v>661</v>
      </c>
      <c r="E393">
        <v>25</v>
      </c>
      <c r="F393">
        <v>11</v>
      </c>
      <c r="G393">
        <v>8</v>
      </c>
      <c r="H393">
        <v>1</v>
      </c>
      <c r="I393">
        <v>731.9</v>
      </c>
      <c r="J393" t="str">
        <f t="shared" si="12"/>
        <v>H2</v>
      </c>
      <c r="K393">
        <f t="shared" si="13"/>
        <v>0</v>
      </c>
    </row>
    <row r="394" spans="1:11" x14ac:dyDescent="0.25">
      <c r="A394" t="s">
        <v>669</v>
      </c>
      <c r="B394" t="s">
        <v>41</v>
      </c>
      <c r="C394" t="s">
        <v>40</v>
      </c>
      <c r="D394" t="s">
        <v>661</v>
      </c>
      <c r="E394">
        <v>11</v>
      </c>
      <c r="F394">
        <v>4</v>
      </c>
      <c r="G394">
        <v>2</v>
      </c>
      <c r="H394">
        <v>0</v>
      </c>
      <c r="I394">
        <v>0</v>
      </c>
      <c r="J394" t="str">
        <f t="shared" si="12"/>
        <v>H2</v>
      </c>
      <c r="K394">
        <f t="shared" si="13"/>
        <v>1</v>
      </c>
    </row>
    <row r="395" spans="1:11" x14ac:dyDescent="0.25">
      <c r="A395" t="s">
        <v>669</v>
      </c>
      <c r="B395" t="s">
        <v>41</v>
      </c>
      <c r="C395" t="s">
        <v>40</v>
      </c>
      <c r="D395" t="s">
        <v>662</v>
      </c>
      <c r="E395">
        <v>20</v>
      </c>
      <c r="F395">
        <v>8</v>
      </c>
      <c r="G395">
        <v>3</v>
      </c>
      <c r="H395">
        <v>0</v>
      </c>
      <c r="I395">
        <v>0</v>
      </c>
      <c r="J395" t="str">
        <f t="shared" si="12"/>
        <v>H2</v>
      </c>
      <c r="K395">
        <f t="shared" si="13"/>
        <v>1</v>
      </c>
    </row>
    <row r="396" spans="1:11" x14ac:dyDescent="0.25">
      <c r="A396" t="s">
        <v>669</v>
      </c>
      <c r="B396" t="s">
        <v>41</v>
      </c>
      <c r="C396" t="s">
        <v>40</v>
      </c>
      <c r="D396" t="s">
        <v>662</v>
      </c>
      <c r="E396">
        <v>9</v>
      </c>
      <c r="F396">
        <v>2</v>
      </c>
      <c r="G396">
        <v>0</v>
      </c>
      <c r="H396">
        <v>0</v>
      </c>
      <c r="I396">
        <v>0</v>
      </c>
      <c r="J396" t="str">
        <f t="shared" si="12"/>
        <v>H2</v>
      </c>
      <c r="K396">
        <f t="shared" si="13"/>
        <v>1</v>
      </c>
    </row>
    <row r="397" spans="1:11" x14ac:dyDescent="0.25">
      <c r="A397" t="s">
        <v>669</v>
      </c>
      <c r="B397" t="s">
        <v>41</v>
      </c>
      <c r="C397" t="s">
        <v>40</v>
      </c>
      <c r="D397" t="s">
        <v>662</v>
      </c>
      <c r="E397">
        <v>22</v>
      </c>
      <c r="F397">
        <v>9</v>
      </c>
      <c r="G397">
        <v>4</v>
      </c>
      <c r="H397">
        <v>1</v>
      </c>
      <c r="I397">
        <v>879.53</v>
      </c>
      <c r="J397" t="str">
        <f t="shared" si="12"/>
        <v>H2</v>
      </c>
      <c r="K397">
        <f t="shared" si="13"/>
        <v>0</v>
      </c>
    </row>
    <row r="398" spans="1:11" x14ac:dyDescent="0.25">
      <c r="A398" t="s">
        <v>670</v>
      </c>
      <c r="B398" t="s">
        <v>45</v>
      </c>
      <c r="C398" t="s">
        <v>44</v>
      </c>
      <c r="D398" t="s">
        <v>651</v>
      </c>
      <c r="E398">
        <v>23</v>
      </c>
      <c r="F398">
        <v>11</v>
      </c>
      <c r="G398">
        <v>6</v>
      </c>
      <c r="H398">
        <v>1</v>
      </c>
      <c r="I398">
        <v>647.74</v>
      </c>
      <c r="J398" t="str">
        <f t="shared" si="12"/>
        <v>H1</v>
      </c>
      <c r="K398">
        <f t="shared" si="13"/>
        <v>0</v>
      </c>
    </row>
    <row r="399" spans="1:11" x14ac:dyDescent="0.25">
      <c r="A399" t="s">
        <v>670</v>
      </c>
      <c r="B399" t="s">
        <v>45</v>
      </c>
      <c r="C399" t="s">
        <v>44</v>
      </c>
      <c r="D399" t="s">
        <v>651</v>
      </c>
      <c r="E399">
        <v>8</v>
      </c>
      <c r="F399">
        <v>2</v>
      </c>
      <c r="G399">
        <v>0</v>
      </c>
      <c r="H399">
        <v>0</v>
      </c>
      <c r="I399">
        <v>0</v>
      </c>
      <c r="J399" t="str">
        <f t="shared" si="12"/>
        <v>H1</v>
      </c>
      <c r="K399">
        <f t="shared" si="13"/>
        <v>1</v>
      </c>
    </row>
    <row r="400" spans="1:11" x14ac:dyDescent="0.25">
      <c r="A400" t="s">
        <v>670</v>
      </c>
      <c r="B400" t="s">
        <v>45</v>
      </c>
      <c r="C400" t="s">
        <v>44</v>
      </c>
      <c r="D400" t="s">
        <v>652</v>
      </c>
      <c r="E400">
        <v>10</v>
      </c>
      <c r="F400">
        <v>3</v>
      </c>
      <c r="G400">
        <v>1</v>
      </c>
      <c r="H400">
        <v>0</v>
      </c>
      <c r="I400">
        <v>0</v>
      </c>
      <c r="J400" t="str">
        <f t="shared" si="12"/>
        <v>H1</v>
      </c>
      <c r="K400">
        <f t="shared" si="13"/>
        <v>1</v>
      </c>
    </row>
    <row r="401" spans="1:11" x14ac:dyDescent="0.25">
      <c r="A401" t="s">
        <v>670</v>
      </c>
      <c r="B401" t="s">
        <v>45</v>
      </c>
      <c r="C401" t="s">
        <v>44</v>
      </c>
      <c r="D401" t="s">
        <v>652</v>
      </c>
      <c r="E401">
        <v>24</v>
      </c>
      <c r="F401">
        <v>12</v>
      </c>
      <c r="G401">
        <v>7</v>
      </c>
      <c r="H401">
        <v>3</v>
      </c>
      <c r="I401">
        <v>1581.91</v>
      </c>
      <c r="J401" t="str">
        <f t="shared" si="12"/>
        <v>H1</v>
      </c>
      <c r="K401">
        <f t="shared" si="13"/>
        <v>0</v>
      </c>
    </row>
    <row r="402" spans="1:11" x14ac:dyDescent="0.25">
      <c r="A402" t="s">
        <v>670</v>
      </c>
      <c r="B402" t="s">
        <v>45</v>
      </c>
      <c r="C402" t="s">
        <v>44</v>
      </c>
      <c r="D402" t="s">
        <v>653</v>
      </c>
      <c r="E402">
        <v>13</v>
      </c>
      <c r="F402">
        <v>4</v>
      </c>
      <c r="G402">
        <v>2</v>
      </c>
      <c r="H402">
        <v>0</v>
      </c>
      <c r="I402">
        <v>0</v>
      </c>
      <c r="J402" t="str">
        <f t="shared" si="12"/>
        <v>H1</v>
      </c>
      <c r="K402">
        <f t="shared" si="13"/>
        <v>1</v>
      </c>
    </row>
    <row r="403" spans="1:11" x14ac:dyDescent="0.25">
      <c r="A403" t="s">
        <v>670</v>
      </c>
      <c r="B403" t="s">
        <v>45</v>
      </c>
      <c r="C403" t="s">
        <v>44</v>
      </c>
      <c r="D403" t="s">
        <v>653</v>
      </c>
      <c r="E403">
        <v>9</v>
      </c>
      <c r="F403">
        <v>4</v>
      </c>
      <c r="G403">
        <v>1</v>
      </c>
      <c r="H403">
        <v>0</v>
      </c>
      <c r="I403">
        <v>0</v>
      </c>
      <c r="J403" t="str">
        <f t="shared" si="12"/>
        <v>H1</v>
      </c>
      <c r="K403">
        <f t="shared" si="13"/>
        <v>1</v>
      </c>
    </row>
    <row r="404" spans="1:11" x14ac:dyDescent="0.25">
      <c r="A404" t="s">
        <v>670</v>
      </c>
      <c r="B404" t="s">
        <v>45</v>
      </c>
      <c r="C404" t="s">
        <v>44</v>
      </c>
      <c r="D404" t="s">
        <v>654</v>
      </c>
      <c r="E404">
        <v>15</v>
      </c>
      <c r="F404">
        <v>7</v>
      </c>
      <c r="G404">
        <v>3</v>
      </c>
      <c r="H404">
        <v>1</v>
      </c>
      <c r="I404">
        <v>329.75</v>
      </c>
      <c r="J404" t="str">
        <f t="shared" si="12"/>
        <v>H1</v>
      </c>
      <c r="K404">
        <f t="shared" si="13"/>
        <v>0</v>
      </c>
    </row>
    <row r="405" spans="1:11" x14ac:dyDescent="0.25">
      <c r="A405" t="s">
        <v>670</v>
      </c>
      <c r="B405" t="s">
        <v>45</v>
      </c>
      <c r="C405" t="s">
        <v>44</v>
      </c>
      <c r="D405" t="s">
        <v>654</v>
      </c>
      <c r="E405">
        <v>10</v>
      </c>
      <c r="F405">
        <v>5</v>
      </c>
      <c r="G405">
        <v>3</v>
      </c>
      <c r="H405">
        <v>1</v>
      </c>
      <c r="I405">
        <v>898.69</v>
      </c>
      <c r="J405" t="str">
        <f t="shared" si="12"/>
        <v>H1</v>
      </c>
      <c r="K405">
        <f t="shared" si="13"/>
        <v>0</v>
      </c>
    </row>
    <row r="406" spans="1:11" x14ac:dyDescent="0.25">
      <c r="A406" t="s">
        <v>670</v>
      </c>
      <c r="B406" t="s">
        <v>45</v>
      </c>
      <c r="C406" t="s">
        <v>44</v>
      </c>
      <c r="D406" t="s">
        <v>655</v>
      </c>
      <c r="E406">
        <v>11</v>
      </c>
      <c r="F406">
        <v>5</v>
      </c>
      <c r="G406">
        <v>2</v>
      </c>
      <c r="H406">
        <v>0</v>
      </c>
      <c r="I406">
        <v>0</v>
      </c>
      <c r="J406" t="str">
        <f t="shared" si="12"/>
        <v>H1</v>
      </c>
      <c r="K406">
        <f t="shared" si="13"/>
        <v>1</v>
      </c>
    </row>
    <row r="407" spans="1:11" x14ac:dyDescent="0.25">
      <c r="A407" t="s">
        <v>670</v>
      </c>
      <c r="B407" t="s">
        <v>45</v>
      </c>
      <c r="C407" t="s">
        <v>44</v>
      </c>
      <c r="D407" t="s">
        <v>655</v>
      </c>
      <c r="E407">
        <v>25</v>
      </c>
      <c r="F407">
        <v>13</v>
      </c>
      <c r="G407">
        <v>7</v>
      </c>
      <c r="H407">
        <v>1</v>
      </c>
      <c r="I407">
        <v>827.09</v>
      </c>
      <c r="J407" t="str">
        <f t="shared" si="12"/>
        <v>H1</v>
      </c>
      <c r="K407">
        <f t="shared" si="13"/>
        <v>0</v>
      </c>
    </row>
    <row r="408" spans="1:11" x14ac:dyDescent="0.25">
      <c r="A408" t="s">
        <v>670</v>
      </c>
      <c r="B408" t="s">
        <v>45</v>
      </c>
      <c r="C408" t="s">
        <v>44</v>
      </c>
      <c r="D408" t="s">
        <v>656</v>
      </c>
      <c r="E408">
        <v>18</v>
      </c>
      <c r="F408">
        <v>5</v>
      </c>
      <c r="G408">
        <v>3</v>
      </c>
      <c r="H408">
        <v>0</v>
      </c>
      <c r="I408">
        <v>0</v>
      </c>
      <c r="J408" t="str">
        <f t="shared" si="12"/>
        <v>H1</v>
      </c>
      <c r="K408">
        <f t="shared" si="13"/>
        <v>1</v>
      </c>
    </row>
    <row r="409" spans="1:11" x14ac:dyDescent="0.25">
      <c r="A409" t="s">
        <v>670</v>
      </c>
      <c r="B409" t="s">
        <v>45</v>
      </c>
      <c r="C409" t="s">
        <v>44</v>
      </c>
      <c r="D409" t="s">
        <v>656</v>
      </c>
      <c r="E409">
        <v>9</v>
      </c>
      <c r="F409">
        <v>4</v>
      </c>
      <c r="G409">
        <v>2</v>
      </c>
      <c r="H409">
        <v>0</v>
      </c>
      <c r="I409">
        <v>0</v>
      </c>
      <c r="J409" t="str">
        <f t="shared" si="12"/>
        <v>H1</v>
      </c>
      <c r="K409">
        <f t="shared" si="13"/>
        <v>1</v>
      </c>
    </row>
    <row r="410" spans="1:11" x14ac:dyDescent="0.25">
      <c r="A410" t="s">
        <v>670</v>
      </c>
      <c r="B410" t="s">
        <v>45</v>
      </c>
      <c r="C410" t="s">
        <v>44</v>
      </c>
      <c r="D410" t="s">
        <v>657</v>
      </c>
      <c r="E410">
        <v>16</v>
      </c>
      <c r="F410">
        <v>9</v>
      </c>
      <c r="G410">
        <v>3</v>
      </c>
      <c r="H410">
        <v>1</v>
      </c>
      <c r="I410">
        <v>809.64</v>
      </c>
      <c r="J410" t="str">
        <f t="shared" si="12"/>
        <v>H2</v>
      </c>
      <c r="K410">
        <f t="shared" si="13"/>
        <v>0</v>
      </c>
    </row>
    <row r="411" spans="1:11" x14ac:dyDescent="0.25">
      <c r="A411" t="s">
        <v>670</v>
      </c>
      <c r="B411" t="s">
        <v>45</v>
      </c>
      <c r="C411" t="s">
        <v>44</v>
      </c>
      <c r="D411" t="s">
        <v>657</v>
      </c>
      <c r="E411">
        <v>14</v>
      </c>
      <c r="F411">
        <v>7</v>
      </c>
      <c r="G411">
        <v>3</v>
      </c>
      <c r="H411">
        <v>0</v>
      </c>
      <c r="I411">
        <v>0</v>
      </c>
      <c r="J411" t="str">
        <f t="shared" si="12"/>
        <v>H2</v>
      </c>
      <c r="K411">
        <f t="shared" si="13"/>
        <v>1</v>
      </c>
    </row>
    <row r="412" spans="1:11" x14ac:dyDescent="0.25">
      <c r="A412" t="s">
        <v>670</v>
      </c>
      <c r="B412" t="s">
        <v>45</v>
      </c>
      <c r="C412" t="s">
        <v>44</v>
      </c>
      <c r="D412" t="s">
        <v>658</v>
      </c>
      <c r="E412">
        <v>25</v>
      </c>
      <c r="F412">
        <v>12</v>
      </c>
      <c r="G412">
        <v>7</v>
      </c>
      <c r="H412">
        <v>2</v>
      </c>
      <c r="I412">
        <v>692.97</v>
      </c>
      <c r="J412" t="str">
        <f t="shared" si="12"/>
        <v>H2</v>
      </c>
      <c r="K412">
        <f t="shared" si="13"/>
        <v>0</v>
      </c>
    </row>
    <row r="413" spans="1:11" x14ac:dyDescent="0.25">
      <c r="A413" t="s">
        <v>670</v>
      </c>
      <c r="B413" t="s">
        <v>45</v>
      </c>
      <c r="C413" t="s">
        <v>44</v>
      </c>
      <c r="D413" t="s">
        <v>658</v>
      </c>
      <c r="E413">
        <v>19</v>
      </c>
      <c r="F413">
        <v>7</v>
      </c>
      <c r="G413">
        <v>3</v>
      </c>
      <c r="H413">
        <v>1</v>
      </c>
      <c r="I413">
        <v>715.84</v>
      </c>
      <c r="J413" t="str">
        <f t="shared" si="12"/>
        <v>H2</v>
      </c>
      <c r="K413">
        <f t="shared" si="13"/>
        <v>0</v>
      </c>
    </row>
    <row r="414" spans="1:11" x14ac:dyDescent="0.25">
      <c r="A414" t="s">
        <v>670</v>
      </c>
      <c r="B414" t="s">
        <v>45</v>
      </c>
      <c r="C414" t="s">
        <v>44</v>
      </c>
      <c r="D414" t="s">
        <v>659</v>
      </c>
      <c r="E414">
        <v>22</v>
      </c>
      <c r="F414">
        <v>7</v>
      </c>
      <c r="G414">
        <v>2</v>
      </c>
      <c r="H414">
        <v>0</v>
      </c>
      <c r="I414">
        <v>0</v>
      </c>
      <c r="J414" t="str">
        <f t="shared" si="12"/>
        <v>H2</v>
      </c>
      <c r="K414">
        <f t="shared" si="13"/>
        <v>1</v>
      </c>
    </row>
    <row r="415" spans="1:11" x14ac:dyDescent="0.25">
      <c r="A415" t="s">
        <v>670</v>
      </c>
      <c r="B415" t="s">
        <v>45</v>
      </c>
      <c r="C415" t="s">
        <v>44</v>
      </c>
      <c r="D415" t="s">
        <v>659</v>
      </c>
      <c r="E415">
        <v>22</v>
      </c>
      <c r="F415">
        <v>11</v>
      </c>
      <c r="G415">
        <v>7</v>
      </c>
      <c r="H415">
        <v>2</v>
      </c>
      <c r="I415">
        <v>1022.38</v>
      </c>
      <c r="J415" t="str">
        <f t="shared" si="12"/>
        <v>H2</v>
      </c>
      <c r="K415">
        <f t="shared" si="13"/>
        <v>0</v>
      </c>
    </row>
    <row r="416" spans="1:11" x14ac:dyDescent="0.25">
      <c r="A416" t="s">
        <v>670</v>
      </c>
      <c r="B416" t="s">
        <v>45</v>
      </c>
      <c r="C416" t="s">
        <v>44</v>
      </c>
      <c r="D416" t="s">
        <v>660</v>
      </c>
      <c r="E416">
        <v>21</v>
      </c>
      <c r="F416">
        <v>6</v>
      </c>
      <c r="G416">
        <v>3</v>
      </c>
      <c r="H416">
        <v>0</v>
      </c>
      <c r="I416">
        <v>0</v>
      </c>
      <c r="J416" t="str">
        <f t="shared" si="12"/>
        <v>H2</v>
      </c>
      <c r="K416">
        <f t="shared" si="13"/>
        <v>1</v>
      </c>
    </row>
    <row r="417" spans="1:11" x14ac:dyDescent="0.25">
      <c r="A417" t="s">
        <v>670</v>
      </c>
      <c r="B417" t="s">
        <v>45</v>
      </c>
      <c r="C417" t="s">
        <v>44</v>
      </c>
      <c r="D417" t="s">
        <v>660</v>
      </c>
      <c r="E417">
        <v>24</v>
      </c>
      <c r="F417">
        <v>7</v>
      </c>
      <c r="G417">
        <v>3</v>
      </c>
      <c r="H417">
        <v>1</v>
      </c>
      <c r="I417">
        <v>438.21</v>
      </c>
      <c r="J417" t="str">
        <f t="shared" si="12"/>
        <v>H2</v>
      </c>
      <c r="K417">
        <f t="shared" si="13"/>
        <v>0</v>
      </c>
    </row>
    <row r="418" spans="1:11" x14ac:dyDescent="0.25">
      <c r="A418" t="s">
        <v>670</v>
      </c>
      <c r="B418" t="s">
        <v>45</v>
      </c>
      <c r="C418" t="s">
        <v>44</v>
      </c>
      <c r="D418" t="s">
        <v>661</v>
      </c>
      <c r="E418">
        <v>19</v>
      </c>
      <c r="F418">
        <v>7</v>
      </c>
      <c r="G418">
        <v>3</v>
      </c>
      <c r="H418">
        <v>1</v>
      </c>
      <c r="I418">
        <v>582.41</v>
      </c>
      <c r="J418" t="str">
        <f t="shared" si="12"/>
        <v>H2</v>
      </c>
      <c r="K418">
        <f t="shared" si="13"/>
        <v>0</v>
      </c>
    </row>
    <row r="419" spans="1:11" x14ac:dyDescent="0.25">
      <c r="A419" t="s">
        <v>670</v>
      </c>
      <c r="B419" t="s">
        <v>45</v>
      </c>
      <c r="C419" t="s">
        <v>44</v>
      </c>
      <c r="D419" t="s">
        <v>661</v>
      </c>
      <c r="E419">
        <v>21</v>
      </c>
      <c r="F419">
        <v>7</v>
      </c>
      <c r="G419">
        <v>4</v>
      </c>
      <c r="H419">
        <v>1</v>
      </c>
      <c r="I419">
        <v>855.43</v>
      </c>
      <c r="J419" t="str">
        <f t="shared" si="12"/>
        <v>H2</v>
      </c>
      <c r="K419">
        <f t="shared" si="13"/>
        <v>0</v>
      </c>
    </row>
    <row r="420" spans="1:11" x14ac:dyDescent="0.25">
      <c r="A420" t="s">
        <v>670</v>
      </c>
      <c r="B420" t="s">
        <v>45</v>
      </c>
      <c r="C420" t="s">
        <v>44</v>
      </c>
      <c r="D420" t="s">
        <v>662</v>
      </c>
      <c r="E420">
        <v>17</v>
      </c>
      <c r="F420">
        <v>8</v>
      </c>
      <c r="G420">
        <v>3</v>
      </c>
      <c r="H420">
        <v>0</v>
      </c>
      <c r="I420">
        <v>0</v>
      </c>
      <c r="J420" t="str">
        <f t="shared" si="12"/>
        <v>H2</v>
      </c>
      <c r="K420">
        <f t="shared" si="13"/>
        <v>1</v>
      </c>
    </row>
    <row r="421" spans="1:11" x14ac:dyDescent="0.25">
      <c r="A421" t="s">
        <v>670</v>
      </c>
      <c r="B421" t="s">
        <v>45</v>
      </c>
      <c r="C421" t="s">
        <v>44</v>
      </c>
      <c r="D421" t="s">
        <v>662</v>
      </c>
      <c r="E421">
        <v>15</v>
      </c>
      <c r="F421">
        <v>7</v>
      </c>
      <c r="G421">
        <v>3</v>
      </c>
      <c r="H421">
        <v>1</v>
      </c>
      <c r="I421">
        <v>382.88</v>
      </c>
      <c r="J421" t="str">
        <f t="shared" si="12"/>
        <v>H2</v>
      </c>
      <c r="K421">
        <f t="shared" si="13"/>
        <v>0</v>
      </c>
    </row>
    <row r="422" spans="1:11" x14ac:dyDescent="0.25">
      <c r="A422" t="s">
        <v>671</v>
      </c>
      <c r="B422" t="s">
        <v>37</v>
      </c>
      <c r="C422" t="s">
        <v>36</v>
      </c>
      <c r="D422" t="s">
        <v>651</v>
      </c>
      <c r="E422">
        <v>11</v>
      </c>
      <c r="F422">
        <v>4</v>
      </c>
      <c r="G422">
        <v>2</v>
      </c>
      <c r="H422">
        <v>0</v>
      </c>
      <c r="I422">
        <v>0</v>
      </c>
      <c r="J422" t="str">
        <f t="shared" si="12"/>
        <v>H1</v>
      </c>
      <c r="K422">
        <f t="shared" si="13"/>
        <v>1</v>
      </c>
    </row>
    <row r="423" spans="1:11" x14ac:dyDescent="0.25">
      <c r="A423" t="s">
        <v>671</v>
      </c>
      <c r="B423" t="s">
        <v>37</v>
      </c>
      <c r="C423" t="s">
        <v>36</v>
      </c>
      <c r="D423" t="s">
        <v>651</v>
      </c>
      <c r="E423">
        <v>16</v>
      </c>
      <c r="F423">
        <v>8</v>
      </c>
      <c r="G423">
        <v>4</v>
      </c>
      <c r="H423">
        <v>0</v>
      </c>
      <c r="I423">
        <v>0</v>
      </c>
      <c r="J423" t="str">
        <f t="shared" si="12"/>
        <v>H1</v>
      </c>
      <c r="K423">
        <f t="shared" si="13"/>
        <v>1</v>
      </c>
    </row>
    <row r="424" spans="1:11" x14ac:dyDescent="0.25">
      <c r="A424" t="s">
        <v>671</v>
      </c>
      <c r="B424" t="s">
        <v>37</v>
      </c>
      <c r="C424" t="s">
        <v>36</v>
      </c>
      <c r="D424" t="s">
        <v>652</v>
      </c>
      <c r="E424">
        <v>24</v>
      </c>
      <c r="F424">
        <v>14</v>
      </c>
      <c r="G424">
        <v>8</v>
      </c>
      <c r="H424">
        <v>3</v>
      </c>
      <c r="I424">
        <v>2290.7600000000002</v>
      </c>
      <c r="J424" t="str">
        <f t="shared" si="12"/>
        <v>H1</v>
      </c>
      <c r="K424">
        <f t="shared" si="13"/>
        <v>0</v>
      </c>
    </row>
    <row r="425" spans="1:11" x14ac:dyDescent="0.25">
      <c r="A425" t="s">
        <v>671</v>
      </c>
      <c r="B425" t="s">
        <v>37</v>
      </c>
      <c r="C425" t="s">
        <v>36</v>
      </c>
      <c r="D425" t="s">
        <v>652</v>
      </c>
      <c r="E425">
        <v>24</v>
      </c>
      <c r="F425">
        <v>11</v>
      </c>
      <c r="G425">
        <v>7</v>
      </c>
      <c r="H425">
        <v>2</v>
      </c>
      <c r="I425">
        <v>987.36</v>
      </c>
      <c r="J425" t="str">
        <f t="shared" si="12"/>
        <v>H1</v>
      </c>
      <c r="K425">
        <f t="shared" si="13"/>
        <v>0</v>
      </c>
    </row>
    <row r="426" spans="1:11" x14ac:dyDescent="0.25">
      <c r="A426" t="s">
        <v>671</v>
      </c>
      <c r="B426" t="s">
        <v>37</v>
      </c>
      <c r="C426" t="s">
        <v>36</v>
      </c>
      <c r="D426" t="s">
        <v>653</v>
      </c>
      <c r="E426">
        <v>13</v>
      </c>
      <c r="F426">
        <v>7</v>
      </c>
      <c r="G426">
        <v>2</v>
      </c>
      <c r="H426">
        <v>0</v>
      </c>
      <c r="I426">
        <v>0</v>
      </c>
      <c r="J426" t="str">
        <f t="shared" si="12"/>
        <v>H1</v>
      </c>
      <c r="K426">
        <f t="shared" si="13"/>
        <v>1</v>
      </c>
    </row>
    <row r="427" spans="1:11" x14ac:dyDescent="0.25">
      <c r="A427" t="s">
        <v>671</v>
      </c>
      <c r="B427" t="s">
        <v>37</v>
      </c>
      <c r="C427" t="s">
        <v>36</v>
      </c>
      <c r="D427" t="s">
        <v>653</v>
      </c>
      <c r="E427">
        <v>18</v>
      </c>
      <c r="F427">
        <v>9</v>
      </c>
      <c r="G427">
        <v>6</v>
      </c>
      <c r="H427">
        <v>1</v>
      </c>
      <c r="I427">
        <v>867.03</v>
      </c>
      <c r="J427" t="str">
        <f t="shared" si="12"/>
        <v>H1</v>
      </c>
      <c r="K427">
        <f t="shared" si="13"/>
        <v>0</v>
      </c>
    </row>
    <row r="428" spans="1:11" x14ac:dyDescent="0.25">
      <c r="A428" t="s">
        <v>671</v>
      </c>
      <c r="B428" t="s">
        <v>37</v>
      </c>
      <c r="C428" t="s">
        <v>36</v>
      </c>
      <c r="D428" t="s">
        <v>654</v>
      </c>
      <c r="E428">
        <v>25</v>
      </c>
      <c r="F428">
        <v>12</v>
      </c>
      <c r="G428">
        <v>6</v>
      </c>
      <c r="H428">
        <v>1</v>
      </c>
      <c r="I428">
        <v>821.68</v>
      </c>
      <c r="J428" t="str">
        <f t="shared" si="12"/>
        <v>H1</v>
      </c>
      <c r="K428">
        <f t="shared" si="13"/>
        <v>0</v>
      </c>
    </row>
    <row r="429" spans="1:11" x14ac:dyDescent="0.25">
      <c r="A429" t="s">
        <v>671</v>
      </c>
      <c r="B429" t="s">
        <v>37</v>
      </c>
      <c r="C429" t="s">
        <v>36</v>
      </c>
      <c r="D429" t="s">
        <v>654</v>
      </c>
      <c r="E429">
        <v>14</v>
      </c>
      <c r="F429">
        <v>6</v>
      </c>
      <c r="G429">
        <v>2</v>
      </c>
      <c r="H429">
        <v>0</v>
      </c>
      <c r="I429">
        <v>0</v>
      </c>
      <c r="J429" t="str">
        <f t="shared" si="12"/>
        <v>H1</v>
      </c>
      <c r="K429">
        <f t="shared" si="13"/>
        <v>1</v>
      </c>
    </row>
    <row r="430" spans="1:11" x14ac:dyDescent="0.25">
      <c r="A430" t="s">
        <v>671</v>
      </c>
      <c r="B430" t="s">
        <v>37</v>
      </c>
      <c r="C430" t="s">
        <v>36</v>
      </c>
      <c r="D430" t="s">
        <v>655</v>
      </c>
      <c r="E430">
        <v>21</v>
      </c>
      <c r="F430">
        <v>6</v>
      </c>
      <c r="G430">
        <v>2</v>
      </c>
      <c r="H430">
        <v>0</v>
      </c>
      <c r="I430">
        <v>0</v>
      </c>
      <c r="J430" t="str">
        <f t="shared" si="12"/>
        <v>H1</v>
      </c>
      <c r="K430">
        <f t="shared" si="13"/>
        <v>1</v>
      </c>
    </row>
    <row r="431" spans="1:11" x14ac:dyDescent="0.25">
      <c r="A431" t="s">
        <v>671</v>
      </c>
      <c r="B431" t="s">
        <v>37</v>
      </c>
      <c r="C431" t="s">
        <v>36</v>
      </c>
      <c r="D431" t="s">
        <v>655</v>
      </c>
      <c r="E431">
        <v>19</v>
      </c>
      <c r="F431">
        <v>7</v>
      </c>
      <c r="G431">
        <v>3</v>
      </c>
      <c r="H431">
        <v>0</v>
      </c>
      <c r="I431">
        <v>0</v>
      </c>
      <c r="J431" t="str">
        <f t="shared" si="12"/>
        <v>H1</v>
      </c>
      <c r="K431">
        <f t="shared" si="13"/>
        <v>1</v>
      </c>
    </row>
    <row r="432" spans="1:11" x14ac:dyDescent="0.25">
      <c r="A432" t="s">
        <v>671</v>
      </c>
      <c r="B432" t="s">
        <v>37</v>
      </c>
      <c r="C432" t="s">
        <v>36</v>
      </c>
      <c r="D432" t="s">
        <v>656</v>
      </c>
      <c r="E432">
        <v>24</v>
      </c>
      <c r="F432">
        <v>13</v>
      </c>
      <c r="G432">
        <v>9</v>
      </c>
      <c r="H432">
        <v>2</v>
      </c>
      <c r="I432">
        <v>1082.78</v>
      </c>
      <c r="J432" t="str">
        <f t="shared" si="12"/>
        <v>H1</v>
      </c>
      <c r="K432">
        <f t="shared" si="13"/>
        <v>0</v>
      </c>
    </row>
    <row r="433" spans="1:11" x14ac:dyDescent="0.25">
      <c r="A433" t="s">
        <v>671</v>
      </c>
      <c r="B433" t="s">
        <v>37</v>
      </c>
      <c r="C433" t="s">
        <v>36</v>
      </c>
      <c r="D433" t="s">
        <v>656</v>
      </c>
      <c r="E433">
        <v>13</v>
      </c>
      <c r="F433">
        <v>5</v>
      </c>
      <c r="G433">
        <v>3</v>
      </c>
      <c r="H433">
        <v>1</v>
      </c>
      <c r="I433">
        <v>752.08</v>
      </c>
      <c r="J433" t="str">
        <f t="shared" si="12"/>
        <v>H1</v>
      </c>
      <c r="K433">
        <f t="shared" si="13"/>
        <v>0</v>
      </c>
    </row>
    <row r="434" spans="1:11" x14ac:dyDescent="0.25">
      <c r="A434" t="s">
        <v>671</v>
      </c>
      <c r="B434" t="s">
        <v>37</v>
      </c>
      <c r="C434" t="s">
        <v>36</v>
      </c>
      <c r="D434" t="s">
        <v>657</v>
      </c>
      <c r="E434">
        <v>15</v>
      </c>
      <c r="F434">
        <v>7</v>
      </c>
      <c r="G434">
        <v>3</v>
      </c>
      <c r="H434">
        <v>0</v>
      </c>
      <c r="I434">
        <v>0</v>
      </c>
      <c r="J434" t="str">
        <f t="shared" si="12"/>
        <v>H2</v>
      </c>
      <c r="K434">
        <f t="shared" si="13"/>
        <v>1</v>
      </c>
    </row>
    <row r="435" spans="1:11" x14ac:dyDescent="0.25">
      <c r="A435" t="s">
        <v>671</v>
      </c>
      <c r="B435" t="s">
        <v>37</v>
      </c>
      <c r="C435" t="s">
        <v>36</v>
      </c>
      <c r="D435" t="s">
        <v>657</v>
      </c>
      <c r="E435">
        <v>25</v>
      </c>
      <c r="F435">
        <v>9</v>
      </c>
      <c r="G435">
        <v>4</v>
      </c>
      <c r="H435">
        <v>1</v>
      </c>
      <c r="I435">
        <v>794.83</v>
      </c>
      <c r="J435" t="str">
        <f t="shared" si="12"/>
        <v>H2</v>
      </c>
      <c r="K435">
        <f t="shared" si="13"/>
        <v>0</v>
      </c>
    </row>
    <row r="436" spans="1:11" x14ac:dyDescent="0.25">
      <c r="A436" t="s">
        <v>671</v>
      </c>
      <c r="B436" t="s">
        <v>37</v>
      </c>
      <c r="C436" t="s">
        <v>36</v>
      </c>
      <c r="D436" t="s">
        <v>658</v>
      </c>
      <c r="E436">
        <v>18</v>
      </c>
      <c r="F436">
        <v>8</v>
      </c>
      <c r="G436">
        <v>4</v>
      </c>
      <c r="H436">
        <v>1</v>
      </c>
      <c r="I436">
        <v>327.14</v>
      </c>
      <c r="J436" t="str">
        <f t="shared" si="12"/>
        <v>H2</v>
      </c>
      <c r="K436">
        <f t="shared" si="13"/>
        <v>0</v>
      </c>
    </row>
    <row r="437" spans="1:11" x14ac:dyDescent="0.25">
      <c r="A437" t="s">
        <v>671</v>
      </c>
      <c r="B437" t="s">
        <v>37</v>
      </c>
      <c r="C437" t="s">
        <v>36</v>
      </c>
      <c r="D437" t="s">
        <v>658</v>
      </c>
      <c r="E437">
        <v>13</v>
      </c>
      <c r="F437">
        <v>4</v>
      </c>
      <c r="G437">
        <v>2</v>
      </c>
      <c r="H437">
        <v>0</v>
      </c>
      <c r="I437">
        <v>0</v>
      </c>
      <c r="J437" t="str">
        <f t="shared" si="12"/>
        <v>H2</v>
      </c>
      <c r="K437">
        <f t="shared" si="13"/>
        <v>1</v>
      </c>
    </row>
    <row r="438" spans="1:11" x14ac:dyDescent="0.25">
      <c r="A438" t="s">
        <v>671</v>
      </c>
      <c r="B438" t="s">
        <v>37</v>
      </c>
      <c r="C438" t="s">
        <v>36</v>
      </c>
      <c r="D438" t="s">
        <v>659</v>
      </c>
      <c r="E438">
        <v>19</v>
      </c>
      <c r="F438">
        <v>11</v>
      </c>
      <c r="G438">
        <v>7</v>
      </c>
      <c r="H438">
        <v>2</v>
      </c>
      <c r="I438">
        <v>1488.84</v>
      </c>
      <c r="J438" t="str">
        <f t="shared" si="12"/>
        <v>H2</v>
      </c>
      <c r="K438">
        <f t="shared" si="13"/>
        <v>0</v>
      </c>
    </row>
    <row r="439" spans="1:11" x14ac:dyDescent="0.25">
      <c r="A439" t="s">
        <v>671</v>
      </c>
      <c r="B439" t="s">
        <v>37</v>
      </c>
      <c r="C439" t="s">
        <v>36</v>
      </c>
      <c r="D439" t="s">
        <v>659</v>
      </c>
      <c r="E439">
        <v>14</v>
      </c>
      <c r="F439">
        <v>4</v>
      </c>
      <c r="G439">
        <v>2</v>
      </c>
      <c r="H439">
        <v>0</v>
      </c>
      <c r="I439">
        <v>0</v>
      </c>
      <c r="J439" t="str">
        <f t="shared" si="12"/>
        <v>H2</v>
      </c>
      <c r="K439">
        <f t="shared" si="13"/>
        <v>1</v>
      </c>
    </row>
    <row r="440" spans="1:11" x14ac:dyDescent="0.25">
      <c r="A440" t="s">
        <v>671</v>
      </c>
      <c r="B440" t="s">
        <v>37</v>
      </c>
      <c r="C440" t="s">
        <v>36</v>
      </c>
      <c r="D440" t="s">
        <v>660</v>
      </c>
      <c r="E440">
        <v>21</v>
      </c>
      <c r="F440">
        <v>8</v>
      </c>
      <c r="G440">
        <v>4</v>
      </c>
      <c r="H440">
        <v>0</v>
      </c>
      <c r="I440">
        <v>0</v>
      </c>
      <c r="J440" t="str">
        <f t="shared" si="12"/>
        <v>H2</v>
      </c>
      <c r="K440">
        <f t="shared" si="13"/>
        <v>1</v>
      </c>
    </row>
    <row r="441" spans="1:11" x14ac:dyDescent="0.25">
      <c r="A441" t="s">
        <v>671</v>
      </c>
      <c r="B441" t="s">
        <v>37</v>
      </c>
      <c r="C441" t="s">
        <v>36</v>
      </c>
      <c r="D441" t="s">
        <v>660</v>
      </c>
      <c r="E441">
        <v>21</v>
      </c>
      <c r="F441">
        <v>10</v>
      </c>
      <c r="G441">
        <v>5</v>
      </c>
      <c r="H441">
        <v>2</v>
      </c>
      <c r="I441">
        <v>953.93</v>
      </c>
      <c r="J441" t="str">
        <f t="shared" si="12"/>
        <v>H2</v>
      </c>
      <c r="K441">
        <f t="shared" si="13"/>
        <v>0</v>
      </c>
    </row>
    <row r="442" spans="1:11" x14ac:dyDescent="0.25">
      <c r="A442" t="s">
        <v>671</v>
      </c>
      <c r="B442" t="s">
        <v>37</v>
      </c>
      <c r="C442" t="s">
        <v>36</v>
      </c>
      <c r="D442" t="s">
        <v>661</v>
      </c>
      <c r="E442">
        <v>24</v>
      </c>
      <c r="F442">
        <v>7</v>
      </c>
      <c r="G442">
        <v>4</v>
      </c>
      <c r="H442">
        <v>1</v>
      </c>
      <c r="I442">
        <v>521.91999999999996</v>
      </c>
      <c r="J442" t="str">
        <f t="shared" si="12"/>
        <v>H2</v>
      </c>
      <c r="K442">
        <f t="shared" si="13"/>
        <v>0</v>
      </c>
    </row>
    <row r="443" spans="1:11" x14ac:dyDescent="0.25">
      <c r="A443" t="s">
        <v>671</v>
      </c>
      <c r="B443" t="s">
        <v>37</v>
      </c>
      <c r="C443" t="s">
        <v>36</v>
      </c>
      <c r="D443" t="s">
        <v>661</v>
      </c>
      <c r="E443">
        <v>11</v>
      </c>
      <c r="F443">
        <v>5</v>
      </c>
      <c r="G443">
        <v>3</v>
      </c>
      <c r="H443">
        <v>0</v>
      </c>
      <c r="I443">
        <v>0</v>
      </c>
      <c r="J443" t="str">
        <f t="shared" si="12"/>
        <v>H2</v>
      </c>
      <c r="K443">
        <f t="shared" si="13"/>
        <v>1</v>
      </c>
    </row>
    <row r="444" spans="1:11" x14ac:dyDescent="0.25">
      <c r="A444" t="s">
        <v>671</v>
      </c>
      <c r="B444" t="s">
        <v>37</v>
      </c>
      <c r="C444" t="s">
        <v>36</v>
      </c>
      <c r="D444" t="s">
        <v>662</v>
      </c>
      <c r="E444">
        <v>22</v>
      </c>
      <c r="F444">
        <v>9</v>
      </c>
      <c r="G444">
        <v>4</v>
      </c>
      <c r="H444">
        <v>1</v>
      </c>
      <c r="I444">
        <v>652.85</v>
      </c>
      <c r="J444" t="str">
        <f t="shared" si="12"/>
        <v>H2</v>
      </c>
      <c r="K444">
        <f t="shared" si="13"/>
        <v>0</v>
      </c>
    </row>
    <row r="445" spans="1:11" x14ac:dyDescent="0.25">
      <c r="A445" t="s">
        <v>671</v>
      </c>
      <c r="B445" t="s">
        <v>37</v>
      </c>
      <c r="C445" t="s">
        <v>36</v>
      </c>
      <c r="D445" t="s">
        <v>662</v>
      </c>
      <c r="E445">
        <v>23</v>
      </c>
      <c r="F445">
        <v>8</v>
      </c>
      <c r="G445">
        <v>5</v>
      </c>
      <c r="H445">
        <v>2</v>
      </c>
      <c r="I445">
        <v>1477.96</v>
      </c>
      <c r="J445" t="str">
        <f t="shared" si="12"/>
        <v>H2</v>
      </c>
      <c r="K445">
        <f t="shared" si="13"/>
        <v>0</v>
      </c>
    </row>
    <row r="446" spans="1:11" x14ac:dyDescent="0.25">
      <c r="A446" t="s">
        <v>672</v>
      </c>
      <c r="B446" t="s">
        <v>56</v>
      </c>
      <c r="C446" t="s">
        <v>55</v>
      </c>
      <c r="D446" t="s">
        <v>651</v>
      </c>
      <c r="E446">
        <v>11</v>
      </c>
      <c r="F446">
        <v>6</v>
      </c>
      <c r="G446">
        <v>4</v>
      </c>
      <c r="H446">
        <v>1</v>
      </c>
      <c r="I446">
        <v>433.47</v>
      </c>
      <c r="J446" t="str">
        <f t="shared" si="12"/>
        <v>H1</v>
      </c>
      <c r="K446">
        <f t="shared" si="13"/>
        <v>0</v>
      </c>
    </row>
    <row r="447" spans="1:11" x14ac:dyDescent="0.25">
      <c r="A447" t="s">
        <v>672</v>
      </c>
      <c r="B447" t="s">
        <v>56</v>
      </c>
      <c r="C447" t="s">
        <v>55</v>
      </c>
      <c r="D447" t="s">
        <v>651</v>
      </c>
      <c r="E447">
        <v>20</v>
      </c>
      <c r="F447">
        <v>9</v>
      </c>
      <c r="G447">
        <v>5</v>
      </c>
      <c r="H447">
        <v>1</v>
      </c>
      <c r="I447">
        <v>431.36</v>
      </c>
      <c r="J447" t="str">
        <f t="shared" si="12"/>
        <v>H1</v>
      </c>
      <c r="K447">
        <f t="shared" si="13"/>
        <v>0</v>
      </c>
    </row>
    <row r="448" spans="1:11" x14ac:dyDescent="0.25">
      <c r="A448" t="s">
        <v>672</v>
      </c>
      <c r="B448" t="s">
        <v>56</v>
      </c>
      <c r="C448" t="s">
        <v>55</v>
      </c>
      <c r="D448" t="s">
        <v>652</v>
      </c>
      <c r="E448">
        <v>10</v>
      </c>
      <c r="F448">
        <v>3</v>
      </c>
      <c r="G448">
        <v>1</v>
      </c>
      <c r="H448">
        <v>0</v>
      </c>
      <c r="I448">
        <v>0</v>
      </c>
      <c r="J448" t="str">
        <f t="shared" si="12"/>
        <v>H1</v>
      </c>
      <c r="K448">
        <f t="shared" si="13"/>
        <v>1</v>
      </c>
    </row>
    <row r="449" spans="1:11" x14ac:dyDescent="0.25">
      <c r="A449" t="s">
        <v>672</v>
      </c>
      <c r="B449" t="s">
        <v>56</v>
      </c>
      <c r="C449" t="s">
        <v>55</v>
      </c>
      <c r="D449" t="s">
        <v>652</v>
      </c>
      <c r="E449">
        <v>17</v>
      </c>
      <c r="F449">
        <v>7</v>
      </c>
      <c r="G449">
        <v>3</v>
      </c>
      <c r="H449">
        <v>0</v>
      </c>
      <c r="I449">
        <v>0</v>
      </c>
      <c r="J449" t="str">
        <f t="shared" si="12"/>
        <v>H1</v>
      </c>
      <c r="K449">
        <f t="shared" si="13"/>
        <v>1</v>
      </c>
    </row>
    <row r="450" spans="1:11" x14ac:dyDescent="0.25">
      <c r="A450" t="s">
        <v>672</v>
      </c>
      <c r="B450" t="s">
        <v>56</v>
      </c>
      <c r="C450" t="s">
        <v>55</v>
      </c>
      <c r="D450" t="s">
        <v>653</v>
      </c>
      <c r="E450">
        <v>24</v>
      </c>
      <c r="F450">
        <v>12</v>
      </c>
      <c r="G450">
        <v>5</v>
      </c>
      <c r="H450">
        <v>2</v>
      </c>
      <c r="I450">
        <v>1670.73</v>
      </c>
      <c r="J450" t="str">
        <f t="shared" ref="J450:J513" si="14">IF(VALUE(RIGHT(D450,2))&lt;=6,"H1","H2")</f>
        <v>H1</v>
      </c>
      <c r="K450">
        <f t="shared" ref="K450:K513" si="15">IF(H450=0,1,0)</f>
        <v>0</v>
      </c>
    </row>
    <row r="451" spans="1:11" x14ac:dyDescent="0.25">
      <c r="A451" t="s">
        <v>672</v>
      </c>
      <c r="B451" t="s">
        <v>56</v>
      </c>
      <c r="C451" t="s">
        <v>55</v>
      </c>
      <c r="D451" t="s">
        <v>653</v>
      </c>
      <c r="E451">
        <v>13</v>
      </c>
      <c r="F451">
        <v>5</v>
      </c>
      <c r="G451">
        <v>2</v>
      </c>
      <c r="H451">
        <v>0</v>
      </c>
      <c r="I451">
        <v>0</v>
      </c>
      <c r="J451" t="str">
        <f t="shared" si="14"/>
        <v>H1</v>
      </c>
      <c r="K451">
        <f t="shared" si="15"/>
        <v>1</v>
      </c>
    </row>
    <row r="452" spans="1:11" x14ac:dyDescent="0.25">
      <c r="A452" t="s">
        <v>672</v>
      </c>
      <c r="B452" t="s">
        <v>56</v>
      </c>
      <c r="C452" t="s">
        <v>55</v>
      </c>
      <c r="D452" t="s">
        <v>654</v>
      </c>
      <c r="E452">
        <v>9</v>
      </c>
      <c r="F452">
        <v>3</v>
      </c>
      <c r="G452">
        <v>2</v>
      </c>
      <c r="H452">
        <v>0</v>
      </c>
      <c r="I452">
        <v>0</v>
      </c>
      <c r="J452" t="str">
        <f t="shared" si="14"/>
        <v>H1</v>
      </c>
      <c r="K452">
        <f t="shared" si="15"/>
        <v>1</v>
      </c>
    </row>
    <row r="453" spans="1:11" x14ac:dyDescent="0.25">
      <c r="A453" t="s">
        <v>672</v>
      </c>
      <c r="B453" t="s">
        <v>56</v>
      </c>
      <c r="C453" t="s">
        <v>55</v>
      </c>
      <c r="D453" t="s">
        <v>654</v>
      </c>
      <c r="E453">
        <v>12</v>
      </c>
      <c r="F453">
        <v>6</v>
      </c>
      <c r="G453">
        <v>3</v>
      </c>
      <c r="H453">
        <v>1</v>
      </c>
      <c r="I453">
        <v>593.5</v>
      </c>
      <c r="J453" t="str">
        <f t="shared" si="14"/>
        <v>H1</v>
      </c>
      <c r="K453">
        <f t="shared" si="15"/>
        <v>0</v>
      </c>
    </row>
    <row r="454" spans="1:11" x14ac:dyDescent="0.25">
      <c r="A454" t="s">
        <v>672</v>
      </c>
      <c r="B454" t="s">
        <v>56</v>
      </c>
      <c r="C454" t="s">
        <v>55</v>
      </c>
      <c r="D454" t="s">
        <v>655</v>
      </c>
      <c r="E454">
        <v>25</v>
      </c>
      <c r="F454">
        <v>12</v>
      </c>
      <c r="G454">
        <v>8</v>
      </c>
      <c r="H454">
        <v>1</v>
      </c>
      <c r="I454">
        <v>680.7</v>
      </c>
      <c r="J454" t="str">
        <f t="shared" si="14"/>
        <v>H1</v>
      </c>
      <c r="K454">
        <f t="shared" si="15"/>
        <v>0</v>
      </c>
    </row>
    <row r="455" spans="1:11" x14ac:dyDescent="0.25">
      <c r="A455" t="s">
        <v>672</v>
      </c>
      <c r="B455" t="s">
        <v>56</v>
      </c>
      <c r="C455" t="s">
        <v>55</v>
      </c>
      <c r="D455" t="s">
        <v>655</v>
      </c>
      <c r="E455">
        <v>21</v>
      </c>
      <c r="F455">
        <v>10</v>
      </c>
      <c r="G455">
        <v>4</v>
      </c>
      <c r="H455">
        <v>1</v>
      </c>
      <c r="I455">
        <v>429.06</v>
      </c>
      <c r="J455" t="str">
        <f t="shared" si="14"/>
        <v>H1</v>
      </c>
      <c r="K455">
        <f t="shared" si="15"/>
        <v>0</v>
      </c>
    </row>
    <row r="456" spans="1:11" x14ac:dyDescent="0.25">
      <c r="A456" t="s">
        <v>672</v>
      </c>
      <c r="B456" t="s">
        <v>56</v>
      </c>
      <c r="C456" t="s">
        <v>55</v>
      </c>
      <c r="D456" t="s">
        <v>656</v>
      </c>
      <c r="E456">
        <v>8</v>
      </c>
      <c r="F456">
        <v>2</v>
      </c>
      <c r="G456">
        <v>1</v>
      </c>
      <c r="H456">
        <v>0</v>
      </c>
      <c r="I456">
        <v>0</v>
      </c>
      <c r="J456" t="str">
        <f t="shared" si="14"/>
        <v>H1</v>
      </c>
      <c r="K456">
        <f t="shared" si="15"/>
        <v>1</v>
      </c>
    </row>
    <row r="457" spans="1:11" x14ac:dyDescent="0.25">
      <c r="A457" t="s">
        <v>672</v>
      </c>
      <c r="B457" t="s">
        <v>56</v>
      </c>
      <c r="C457" t="s">
        <v>55</v>
      </c>
      <c r="D457" t="s">
        <v>656</v>
      </c>
      <c r="E457">
        <v>21</v>
      </c>
      <c r="F457">
        <v>6</v>
      </c>
      <c r="G457">
        <v>4</v>
      </c>
      <c r="H457">
        <v>1</v>
      </c>
      <c r="I457">
        <v>490.57</v>
      </c>
      <c r="J457" t="str">
        <f t="shared" si="14"/>
        <v>H1</v>
      </c>
      <c r="K457">
        <f t="shared" si="15"/>
        <v>0</v>
      </c>
    </row>
    <row r="458" spans="1:11" x14ac:dyDescent="0.25">
      <c r="A458" t="s">
        <v>672</v>
      </c>
      <c r="B458" t="s">
        <v>56</v>
      </c>
      <c r="C458" t="s">
        <v>55</v>
      </c>
      <c r="D458" t="s">
        <v>657</v>
      </c>
      <c r="E458">
        <v>14</v>
      </c>
      <c r="F458">
        <v>5</v>
      </c>
      <c r="G458">
        <v>2</v>
      </c>
      <c r="H458">
        <v>0</v>
      </c>
      <c r="I458">
        <v>0</v>
      </c>
      <c r="J458" t="str">
        <f t="shared" si="14"/>
        <v>H2</v>
      </c>
      <c r="K458">
        <f t="shared" si="15"/>
        <v>1</v>
      </c>
    </row>
    <row r="459" spans="1:11" x14ac:dyDescent="0.25">
      <c r="A459" t="s">
        <v>672</v>
      </c>
      <c r="B459" t="s">
        <v>56</v>
      </c>
      <c r="C459" t="s">
        <v>55</v>
      </c>
      <c r="D459" t="s">
        <v>657</v>
      </c>
      <c r="E459">
        <v>20</v>
      </c>
      <c r="F459">
        <v>10</v>
      </c>
      <c r="G459">
        <v>5</v>
      </c>
      <c r="H459">
        <v>1</v>
      </c>
      <c r="I459">
        <v>332.78</v>
      </c>
      <c r="J459" t="str">
        <f t="shared" si="14"/>
        <v>H2</v>
      </c>
      <c r="K459">
        <f t="shared" si="15"/>
        <v>0</v>
      </c>
    </row>
    <row r="460" spans="1:11" x14ac:dyDescent="0.25">
      <c r="A460" t="s">
        <v>672</v>
      </c>
      <c r="B460" t="s">
        <v>56</v>
      </c>
      <c r="C460" t="s">
        <v>55</v>
      </c>
      <c r="D460" t="s">
        <v>658</v>
      </c>
      <c r="E460">
        <v>17</v>
      </c>
      <c r="F460">
        <v>5</v>
      </c>
      <c r="G460">
        <v>3</v>
      </c>
      <c r="H460">
        <v>0</v>
      </c>
      <c r="I460">
        <v>0</v>
      </c>
      <c r="J460" t="str">
        <f t="shared" si="14"/>
        <v>H2</v>
      </c>
      <c r="K460">
        <f t="shared" si="15"/>
        <v>1</v>
      </c>
    </row>
    <row r="461" spans="1:11" x14ac:dyDescent="0.25">
      <c r="A461" t="s">
        <v>672</v>
      </c>
      <c r="B461" t="s">
        <v>56</v>
      </c>
      <c r="C461" t="s">
        <v>55</v>
      </c>
      <c r="D461" t="s">
        <v>658</v>
      </c>
      <c r="E461">
        <v>23</v>
      </c>
      <c r="F461">
        <v>11</v>
      </c>
      <c r="G461">
        <v>5</v>
      </c>
      <c r="H461">
        <v>2</v>
      </c>
      <c r="I461">
        <v>970.21</v>
      </c>
      <c r="J461" t="str">
        <f t="shared" si="14"/>
        <v>H2</v>
      </c>
      <c r="K461">
        <f t="shared" si="15"/>
        <v>0</v>
      </c>
    </row>
    <row r="462" spans="1:11" x14ac:dyDescent="0.25">
      <c r="A462" t="s">
        <v>672</v>
      </c>
      <c r="B462" t="s">
        <v>56</v>
      </c>
      <c r="C462" t="s">
        <v>55</v>
      </c>
      <c r="D462" t="s">
        <v>659</v>
      </c>
      <c r="E462">
        <v>14</v>
      </c>
      <c r="F462">
        <v>4</v>
      </c>
      <c r="G462">
        <v>1</v>
      </c>
      <c r="H462">
        <v>0</v>
      </c>
      <c r="I462">
        <v>0</v>
      </c>
      <c r="J462" t="str">
        <f t="shared" si="14"/>
        <v>H2</v>
      </c>
      <c r="K462">
        <f t="shared" si="15"/>
        <v>1</v>
      </c>
    </row>
    <row r="463" spans="1:11" x14ac:dyDescent="0.25">
      <c r="A463" t="s">
        <v>672</v>
      </c>
      <c r="B463" t="s">
        <v>56</v>
      </c>
      <c r="C463" t="s">
        <v>55</v>
      </c>
      <c r="D463" t="s">
        <v>659</v>
      </c>
      <c r="E463">
        <v>21</v>
      </c>
      <c r="F463">
        <v>7</v>
      </c>
      <c r="G463">
        <v>4</v>
      </c>
      <c r="H463">
        <v>1</v>
      </c>
      <c r="I463">
        <v>767.73</v>
      </c>
      <c r="J463" t="str">
        <f t="shared" si="14"/>
        <v>H2</v>
      </c>
      <c r="K463">
        <f t="shared" si="15"/>
        <v>0</v>
      </c>
    </row>
    <row r="464" spans="1:11" x14ac:dyDescent="0.25">
      <c r="A464" t="s">
        <v>672</v>
      </c>
      <c r="B464" t="s">
        <v>56</v>
      </c>
      <c r="C464" t="s">
        <v>55</v>
      </c>
      <c r="D464" t="s">
        <v>660</v>
      </c>
      <c r="E464">
        <v>13</v>
      </c>
      <c r="F464">
        <v>4</v>
      </c>
      <c r="G464">
        <v>2</v>
      </c>
      <c r="H464">
        <v>0</v>
      </c>
      <c r="I464">
        <v>0</v>
      </c>
      <c r="J464" t="str">
        <f t="shared" si="14"/>
        <v>H2</v>
      </c>
      <c r="K464">
        <f t="shared" si="15"/>
        <v>1</v>
      </c>
    </row>
    <row r="465" spans="1:11" x14ac:dyDescent="0.25">
      <c r="A465" t="s">
        <v>672</v>
      </c>
      <c r="B465" t="s">
        <v>56</v>
      </c>
      <c r="C465" t="s">
        <v>55</v>
      </c>
      <c r="D465" t="s">
        <v>660</v>
      </c>
      <c r="E465">
        <v>11</v>
      </c>
      <c r="F465">
        <v>6</v>
      </c>
      <c r="G465">
        <v>3</v>
      </c>
      <c r="H465">
        <v>0</v>
      </c>
      <c r="I465">
        <v>0</v>
      </c>
      <c r="J465" t="str">
        <f t="shared" si="14"/>
        <v>H2</v>
      </c>
      <c r="K465">
        <f t="shared" si="15"/>
        <v>1</v>
      </c>
    </row>
    <row r="466" spans="1:11" x14ac:dyDescent="0.25">
      <c r="A466" t="s">
        <v>672</v>
      </c>
      <c r="B466" t="s">
        <v>56</v>
      </c>
      <c r="C466" t="s">
        <v>55</v>
      </c>
      <c r="D466" t="s">
        <v>661</v>
      </c>
      <c r="E466">
        <v>15</v>
      </c>
      <c r="F466">
        <v>7</v>
      </c>
      <c r="G466">
        <v>3</v>
      </c>
      <c r="H466">
        <v>1</v>
      </c>
      <c r="I466">
        <v>408.04</v>
      </c>
      <c r="J466" t="str">
        <f t="shared" si="14"/>
        <v>H2</v>
      </c>
      <c r="K466">
        <f t="shared" si="15"/>
        <v>0</v>
      </c>
    </row>
    <row r="467" spans="1:11" x14ac:dyDescent="0.25">
      <c r="A467" t="s">
        <v>672</v>
      </c>
      <c r="B467" t="s">
        <v>56</v>
      </c>
      <c r="C467" t="s">
        <v>55</v>
      </c>
      <c r="D467" t="s">
        <v>661</v>
      </c>
      <c r="E467">
        <v>8</v>
      </c>
      <c r="F467">
        <v>4</v>
      </c>
      <c r="G467">
        <v>1</v>
      </c>
      <c r="H467">
        <v>0</v>
      </c>
      <c r="I467">
        <v>0</v>
      </c>
      <c r="J467" t="str">
        <f t="shared" si="14"/>
        <v>H2</v>
      </c>
      <c r="K467">
        <f t="shared" si="15"/>
        <v>1</v>
      </c>
    </row>
    <row r="468" spans="1:11" x14ac:dyDescent="0.25">
      <c r="A468" t="s">
        <v>672</v>
      </c>
      <c r="B468" t="s">
        <v>56</v>
      </c>
      <c r="C468" t="s">
        <v>55</v>
      </c>
      <c r="D468" t="s">
        <v>662</v>
      </c>
      <c r="E468">
        <v>17</v>
      </c>
      <c r="F468">
        <v>9</v>
      </c>
      <c r="G468">
        <v>6</v>
      </c>
      <c r="H468">
        <v>2</v>
      </c>
      <c r="I468">
        <v>1188.27</v>
      </c>
      <c r="J468" t="str">
        <f t="shared" si="14"/>
        <v>H2</v>
      </c>
      <c r="K468">
        <f t="shared" si="15"/>
        <v>0</v>
      </c>
    </row>
    <row r="469" spans="1:11" x14ac:dyDescent="0.25">
      <c r="A469" t="s">
        <v>672</v>
      </c>
      <c r="B469" t="s">
        <v>56</v>
      </c>
      <c r="C469" t="s">
        <v>55</v>
      </c>
      <c r="D469" t="s">
        <v>662</v>
      </c>
      <c r="E469">
        <v>18</v>
      </c>
      <c r="F469">
        <v>10</v>
      </c>
      <c r="G469">
        <v>6</v>
      </c>
      <c r="H469">
        <v>2</v>
      </c>
      <c r="I469">
        <v>1385.92</v>
      </c>
      <c r="J469" t="str">
        <f t="shared" si="14"/>
        <v>H2</v>
      </c>
      <c r="K469">
        <f t="shared" si="15"/>
        <v>0</v>
      </c>
    </row>
    <row r="470" spans="1:11" x14ac:dyDescent="0.25">
      <c r="A470" t="s">
        <v>673</v>
      </c>
      <c r="B470" t="s">
        <v>39</v>
      </c>
      <c r="C470" t="s">
        <v>38</v>
      </c>
      <c r="D470" t="s">
        <v>651</v>
      </c>
      <c r="E470">
        <v>24</v>
      </c>
      <c r="F470">
        <v>8</v>
      </c>
      <c r="G470">
        <v>4</v>
      </c>
      <c r="H470">
        <v>1</v>
      </c>
      <c r="I470">
        <v>802.89</v>
      </c>
      <c r="J470" t="str">
        <f t="shared" si="14"/>
        <v>H1</v>
      </c>
      <c r="K470">
        <f t="shared" si="15"/>
        <v>0</v>
      </c>
    </row>
    <row r="471" spans="1:11" x14ac:dyDescent="0.25">
      <c r="A471" t="s">
        <v>673</v>
      </c>
      <c r="B471" t="s">
        <v>39</v>
      </c>
      <c r="C471" t="s">
        <v>38</v>
      </c>
      <c r="D471" t="s">
        <v>652</v>
      </c>
      <c r="E471">
        <v>20</v>
      </c>
      <c r="F471">
        <v>11</v>
      </c>
      <c r="G471">
        <v>5</v>
      </c>
      <c r="H471">
        <v>2</v>
      </c>
      <c r="I471">
        <v>1692.78</v>
      </c>
      <c r="J471" t="str">
        <f t="shared" si="14"/>
        <v>H1</v>
      </c>
      <c r="K471">
        <f t="shared" si="15"/>
        <v>0</v>
      </c>
    </row>
    <row r="472" spans="1:11" x14ac:dyDescent="0.25">
      <c r="A472" t="s">
        <v>673</v>
      </c>
      <c r="B472" t="s">
        <v>39</v>
      </c>
      <c r="C472" t="s">
        <v>38</v>
      </c>
      <c r="D472" t="s">
        <v>653</v>
      </c>
      <c r="E472">
        <v>18</v>
      </c>
      <c r="F472">
        <v>7</v>
      </c>
      <c r="G472">
        <v>4</v>
      </c>
      <c r="H472">
        <v>1</v>
      </c>
      <c r="I472">
        <v>308.18</v>
      </c>
      <c r="J472" t="str">
        <f t="shared" si="14"/>
        <v>H1</v>
      </c>
      <c r="K472">
        <f t="shared" si="15"/>
        <v>0</v>
      </c>
    </row>
    <row r="473" spans="1:11" x14ac:dyDescent="0.25">
      <c r="A473" t="s">
        <v>673</v>
      </c>
      <c r="B473" t="s">
        <v>39</v>
      </c>
      <c r="C473" t="s">
        <v>38</v>
      </c>
      <c r="D473" t="s">
        <v>654</v>
      </c>
      <c r="E473">
        <v>8</v>
      </c>
      <c r="F473">
        <v>4</v>
      </c>
      <c r="G473">
        <v>2</v>
      </c>
      <c r="H473">
        <v>0</v>
      </c>
      <c r="I473">
        <v>0</v>
      </c>
      <c r="J473" t="str">
        <f t="shared" si="14"/>
        <v>H1</v>
      </c>
      <c r="K473">
        <f t="shared" si="15"/>
        <v>1</v>
      </c>
    </row>
    <row r="474" spans="1:11" x14ac:dyDescent="0.25">
      <c r="A474" t="s">
        <v>673</v>
      </c>
      <c r="B474" t="s">
        <v>39</v>
      </c>
      <c r="C474" t="s">
        <v>38</v>
      </c>
      <c r="D474" t="s">
        <v>655</v>
      </c>
      <c r="E474">
        <v>9</v>
      </c>
      <c r="F474">
        <v>3</v>
      </c>
      <c r="G474">
        <v>1</v>
      </c>
      <c r="H474">
        <v>0</v>
      </c>
      <c r="I474">
        <v>0</v>
      </c>
      <c r="J474" t="str">
        <f t="shared" si="14"/>
        <v>H1</v>
      </c>
      <c r="K474">
        <f t="shared" si="15"/>
        <v>1</v>
      </c>
    </row>
    <row r="475" spans="1:11" x14ac:dyDescent="0.25">
      <c r="A475" t="s">
        <v>673</v>
      </c>
      <c r="B475" t="s">
        <v>39</v>
      </c>
      <c r="C475" t="s">
        <v>38</v>
      </c>
      <c r="D475" t="s">
        <v>656</v>
      </c>
      <c r="E475">
        <v>15</v>
      </c>
      <c r="F475">
        <v>4</v>
      </c>
      <c r="G475">
        <v>2</v>
      </c>
      <c r="H475">
        <v>0</v>
      </c>
      <c r="I475">
        <v>0</v>
      </c>
      <c r="J475" t="str">
        <f t="shared" si="14"/>
        <v>H1</v>
      </c>
      <c r="K475">
        <f t="shared" si="15"/>
        <v>1</v>
      </c>
    </row>
    <row r="476" spans="1:11" x14ac:dyDescent="0.25">
      <c r="A476" t="s">
        <v>673</v>
      </c>
      <c r="B476" t="s">
        <v>39</v>
      </c>
      <c r="C476" t="s">
        <v>38</v>
      </c>
      <c r="D476" t="s">
        <v>657</v>
      </c>
      <c r="E476">
        <v>20</v>
      </c>
      <c r="F476">
        <v>6</v>
      </c>
      <c r="G476">
        <v>3</v>
      </c>
      <c r="H476">
        <v>0</v>
      </c>
      <c r="I476">
        <v>0</v>
      </c>
      <c r="J476" t="str">
        <f t="shared" si="14"/>
        <v>H2</v>
      </c>
      <c r="K476">
        <f t="shared" si="15"/>
        <v>1</v>
      </c>
    </row>
    <row r="477" spans="1:11" x14ac:dyDescent="0.25">
      <c r="A477" t="s">
        <v>673</v>
      </c>
      <c r="B477" t="s">
        <v>39</v>
      </c>
      <c r="C477" t="s">
        <v>38</v>
      </c>
      <c r="D477" t="s">
        <v>658</v>
      </c>
      <c r="E477">
        <v>10</v>
      </c>
      <c r="F477">
        <v>4</v>
      </c>
      <c r="G477">
        <v>2</v>
      </c>
      <c r="H477">
        <v>0</v>
      </c>
      <c r="I477">
        <v>0</v>
      </c>
      <c r="J477" t="str">
        <f t="shared" si="14"/>
        <v>H2</v>
      </c>
      <c r="K477">
        <f t="shared" si="15"/>
        <v>1</v>
      </c>
    </row>
    <row r="478" spans="1:11" x14ac:dyDescent="0.25">
      <c r="A478" t="s">
        <v>673</v>
      </c>
      <c r="B478" t="s">
        <v>39</v>
      </c>
      <c r="C478" t="s">
        <v>38</v>
      </c>
      <c r="D478" t="s">
        <v>659</v>
      </c>
      <c r="E478">
        <v>25</v>
      </c>
      <c r="F478">
        <v>12</v>
      </c>
      <c r="G478">
        <v>5</v>
      </c>
      <c r="H478">
        <v>2</v>
      </c>
      <c r="I478">
        <v>1551.14</v>
      </c>
      <c r="J478" t="str">
        <f t="shared" si="14"/>
        <v>H2</v>
      </c>
      <c r="K478">
        <f t="shared" si="15"/>
        <v>0</v>
      </c>
    </row>
    <row r="479" spans="1:11" x14ac:dyDescent="0.25">
      <c r="A479" t="s">
        <v>673</v>
      </c>
      <c r="B479" t="s">
        <v>39</v>
      </c>
      <c r="C479" t="s">
        <v>38</v>
      </c>
      <c r="D479" t="s">
        <v>660</v>
      </c>
      <c r="E479">
        <v>14</v>
      </c>
      <c r="F479">
        <v>7</v>
      </c>
      <c r="G479">
        <v>4</v>
      </c>
      <c r="H479">
        <v>1</v>
      </c>
      <c r="I479">
        <v>555.09</v>
      </c>
      <c r="J479" t="str">
        <f t="shared" si="14"/>
        <v>H2</v>
      </c>
      <c r="K479">
        <f t="shared" si="15"/>
        <v>0</v>
      </c>
    </row>
    <row r="480" spans="1:11" x14ac:dyDescent="0.25">
      <c r="A480" t="s">
        <v>673</v>
      </c>
      <c r="B480" t="s">
        <v>39</v>
      </c>
      <c r="C480" t="s">
        <v>38</v>
      </c>
      <c r="D480" t="s">
        <v>661</v>
      </c>
      <c r="E480">
        <v>8</v>
      </c>
      <c r="F480">
        <v>3</v>
      </c>
      <c r="G480">
        <v>1</v>
      </c>
      <c r="H480">
        <v>0</v>
      </c>
      <c r="I480">
        <v>0</v>
      </c>
      <c r="J480" t="str">
        <f t="shared" si="14"/>
        <v>H2</v>
      </c>
      <c r="K480">
        <f t="shared" si="15"/>
        <v>1</v>
      </c>
    </row>
    <row r="481" spans="1:11" x14ac:dyDescent="0.25">
      <c r="A481" t="s">
        <v>673</v>
      </c>
      <c r="B481" t="s">
        <v>39</v>
      </c>
      <c r="C481" t="s">
        <v>38</v>
      </c>
      <c r="D481" t="s">
        <v>662</v>
      </c>
      <c r="E481">
        <v>23</v>
      </c>
      <c r="F481">
        <v>9</v>
      </c>
      <c r="G481">
        <v>4</v>
      </c>
      <c r="H481">
        <v>1</v>
      </c>
      <c r="I481">
        <v>543.79999999999995</v>
      </c>
      <c r="J481" t="str">
        <f t="shared" si="14"/>
        <v>H2</v>
      </c>
      <c r="K481">
        <f t="shared" si="15"/>
        <v>0</v>
      </c>
    </row>
    <row r="482" spans="1:11" x14ac:dyDescent="0.25">
      <c r="A482" t="s">
        <v>674</v>
      </c>
      <c r="B482" t="s">
        <v>34</v>
      </c>
      <c r="C482" t="s">
        <v>33</v>
      </c>
      <c r="D482" t="s">
        <v>651</v>
      </c>
      <c r="E482">
        <v>16</v>
      </c>
      <c r="F482">
        <v>7</v>
      </c>
      <c r="G482">
        <v>5</v>
      </c>
      <c r="H482">
        <v>1</v>
      </c>
      <c r="I482">
        <v>446.77</v>
      </c>
      <c r="J482" t="str">
        <f t="shared" si="14"/>
        <v>H1</v>
      </c>
      <c r="K482">
        <f t="shared" si="15"/>
        <v>0</v>
      </c>
    </row>
    <row r="483" spans="1:11" x14ac:dyDescent="0.25">
      <c r="A483" t="s">
        <v>674</v>
      </c>
      <c r="B483" t="s">
        <v>34</v>
      </c>
      <c r="C483" t="s">
        <v>33</v>
      </c>
      <c r="D483" t="s">
        <v>652</v>
      </c>
      <c r="E483">
        <v>8</v>
      </c>
      <c r="F483">
        <v>4</v>
      </c>
      <c r="G483">
        <v>2</v>
      </c>
      <c r="H483">
        <v>0</v>
      </c>
      <c r="I483">
        <v>0</v>
      </c>
      <c r="J483" t="str">
        <f t="shared" si="14"/>
        <v>H1</v>
      </c>
      <c r="K483">
        <f t="shared" si="15"/>
        <v>1</v>
      </c>
    </row>
    <row r="484" spans="1:11" x14ac:dyDescent="0.25">
      <c r="A484" t="s">
        <v>674</v>
      </c>
      <c r="B484" t="s">
        <v>34</v>
      </c>
      <c r="C484" t="s">
        <v>33</v>
      </c>
      <c r="D484" t="s">
        <v>653</v>
      </c>
      <c r="E484">
        <v>11</v>
      </c>
      <c r="F484">
        <v>4</v>
      </c>
      <c r="G484">
        <v>2</v>
      </c>
      <c r="H484">
        <v>0</v>
      </c>
      <c r="I484">
        <v>0</v>
      </c>
      <c r="J484" t="str">
        <f t="shared" si="14"/>
        <v>H1</v>
      </c>
      <c r="K484">
        <f t="shared" si="15"/>
        <v>1</v>
      </c>
    </row>
    <row r="485" spans="1:11" x14ac:dyDescent="0.25">
      <c r="A485" t="s">
        <v>674</v>
      </c>
      <c r="B485" t="s">
        <v>34</v>
      </c>
      <c r="C485" t="s">
        <v>33</v>
      </c>
      <c r="D485" t="s">
        <v>654</v>
      </c>
      <c r="E485">
        <v>22</v>
      </c>
      <c r="F485">
        <v>9</v>
      </c>
      <c r="G485">
        <v>5</v>
      </c>
      <c r="H485">
        <v>1</v>
      </c>
      <c r="I485">
        <v>499.46</v>
      </c>
      <c r="J485" t="str">
        <f t="shared" si="14"/>
        <v>H1</v>
      </c>
      <c r="K485">
        <f t="shared" si="15"/>
        <v>0</v>
      </c>
    </row>
    <row r="486" spans="1:11" x14ac:dyDescent="0.25">
      <c r="A486" t="s">
        <v>674</v>
      </c>
      <c r="B486" t="s">
        <v>34</v>
      </c>
      <c r="C486" t="s">
        <v>33</v>
      </c>
      <c r="D486" t="s">
        <v>655</v>
      </c>
      <c r="E486">
        <v>10</v>
      </c>
      <c r="F486">
        <v>3</v>
      </c>
      <c r="G486">
        <v>1</v>
      </c>
      <c r="H486">
        <v>0</v>
      </c>
      <c r="I486">
        <v>0</v>
      </c>
      <c r="J486" t="str">
        <f t="shared" si="14"/>
        <v>H1</v>
      </c>
      <c r="K486">
        <f t="shared" si="15"/>
        <v>1</v>
      </c>
    </row>
    <row r="487" spans="1:11" x14ac:dyDescent="0.25">
      <c r="A487" t="s">
        <v>674</v>
      </c>
      <c r="B487" t="s">
        <v>34</v>
      </c>
      <c r="C487" t="s">
        <v>33</v>
      </c>
      <c r="D487" t="s">
        <v>656</v>
      </c>
      <c r="E487">
        <v>15</v>
      </c>
      <c r="F487">
        <v>4</v>
      </c>
      <c r="G487">
        <v>2</v>
      </c>
      <c r="H487">
        <v>0</v>
      </c>
      <c r="I487">
        <v>0</v>
      </c>
      <c r="J487" t="str">
        <f t="shared" si="14"/>
        <v>H1</v>
      </c>
      <c r="K487">
        <f t="shared" si="15"/>
        <v>1</v>
      </c>
    </row>
    <row r="488" spans="1:11" x14ac:dyDescent="0.25">
      <c r="A488" t="s">
        <v>674</v>
      </c>
      <c r="B488" t="s">
        <v>34</v>
      </c>
      <c r="C488" t="s">
        <v>33</v>
      </c>
      <c r="D488" t="s">
        <v>657</v>
      </c>
      <c r="E488">
        <v>15</v>
      </c>
      <c r="F488">
        <v>4</v>
      </c>
      <c r="G488">
        <v>2</v>
      </c>
      <c r="H488">
        <v>0</v>
      </c>
      <c r="I488">
        <v>0</v>
      </c>
      <c r="J488" t="str">
        <f t="shared" si="14"/>
        <v>H2</v>
      </c>
      <c r="K488">
        <f t="shared" si="15"/>
        <v>1</v>
      </c>
    </row>
    <row r="489" spans="1:11" x14ac:dyDescent="0.25">
      <c r="A489" t="s">
        <v>674</v>
      </c>
      <c r="B489" t="s">
        <v>34</v>
      </c>
      <c r="C489" t="s">
        <v>33</v>
      </c>
      <c r="D489" t="s">
        <v>658</v>
      </c>
      <c r="E489">
        <v>12</v>
      </c>
      <c r="F489">
        <v>3</v>
      </c>
      <c r="G489">
        <v>1</v>
      </c>
      <c r="H489">
        <v>0</v>
      </c>
      <c r="I489">
        <v>0</v>
      </c>
      <c r="J489" t="str">
        <f t="shared" si="14"/>
        <v>H2</v>
      </c>
      <c r="K489">
        <f t="shared" si="15"/>
        <v>1</v>
      </c>
    </row>
    <row r="490" spans="1:11" x14ac:dyDescent="0.25">
      <c r="A490" t="s">
        <v>674</v>
      </c>
      <c r="B490" t="s">
        <v>34</v>
      </c>
      <c r="C490" t="s">
        <v>33</v>
      </c>
      <c r="D490" t="s">
        <v>659</v>
      </c>
      <c r="E490">
        <v>16</v>
      </c>
      <c r="F490">
        <v>8</v>
      </c>
      <c r="G490">
        <v>5</v>
      </c>
      <c r="H490">
        <v>2</v>
      </c>
      <c r="I490">
        <v>1254.71</v>
      </c>
      <c r="J490" t="str">
        <f t="shared" si="14"/>
        <v>H2</v>
      </c>
      <c r="K490">
        <f t="shared" si="15"/>
        <v>0</v>
      </c>
    </row>
    <row r="491" spans="1:11" x14ac:dyDescent="0.25">
      <c r="A491" t="s">
        <v>674</v>
      </c>
      <c r="B491" t="s">
        <v>34</v>
      </c>
      <c r="C491" t="s">
        <v>33</v>
      </c>
      <c r="D491" t="s">
        <v>660</v>
      </c>
      <c r="E491">
        <v>18</v>
      </c>
      <c r="F491">
        <v>10</v>
      </c>
      <c r="G491">
        <v>4</v>
      </c>
      <c r="H491">
        <v>1</v>
      </c>
      <c r="I491">
        <v>589.79999999999995</v>
      </c>
      <c r="J491" t="str">
        <f t="shared" si="14"/>
        <v>H2</v>
      </c>
      <c r="K491">
        <f t="shared" si="15"/>
        <v>0</v>
      </c>
    </row>
    <row r="492" spans="1:11" x14ac:dyDescent="0.25">
      <c r="A492" t="s">
        <v>674</v>
      </c>
      <c r="B492" t="s">
        <v>34</v>
      </c>
      <c r="C492" t="s">
        <v>33</v>
      </c>
      <c r="D492" t="s">
        <v>661</v>
      </c>
      <c r="E492">
        <v>25</v>
      </c>
      <c r="F492">
        <v>13</v>
      </c>
      <c r="G492">
        <v>9</v>
      </c>
      <c r="H492">
        <v>2</v>
      </c>
      <c r="I492">
        <v>726.05</v>
      </c>
      <c r="J492" t="str">
        <f t="shared" si="14"/>
        <v>H2</v>
      </c>
      <c r="K492">
        <f t="shared" si="15"/>
        <v>0</v>
      </c>
    </row>
    <row r="493" spans="1:11" x14ac:dyDescent="0.25">
      <c r="A493" t="s">
        <v>674</v>
      </c>
      <c r="B493" t="s">
        <v>34</v>
      </c>
      <c r="C493" t="s">
        <v>33</v>
      </c>
      <c r="D493" t="s">
        <v>662</v>
      </c>
      <c r="E493">
        <v>10</v>
      </c>
      <c r="F493">
        <v>4</v>
      </c>
      <c r="G493">
        <v>2</v>
      </c>
      <c r="H493">
        <v>0</v>
      </c>
      <c r="I493">
        <v>0</v>
      </c>
      <c r="J493" t="str">
        <f t="shared" si="14"/>
        <v>H2</v>
      </c>
      <c r="K493">
        <f t="shared" si="15"/>
        <v>1</v>
      </c>
    </row>
    <row r="494" spans="1:11" x14ac:dyDescent="0.25">
      <c r="A494" t="s">
        <v>675</v>
      </c>
      <c r="B494" t="s">
        <v>54</v>
      </c>
      <c r="C494" t="s">
        <v>53</v>
      </c>
      <c r="D494" t="s">
        <v>651</v>
      </c>
      <c r="E494">
        <v>13</v>
      </c>
      <c r="F494">
        <v>4</v>
      </c>
      <c r="G494">
        <v>2</v>
      </c>
      <c r="H494">
        <v>0</v>
      </c>
      <c r="I494">
        <v>0</v>
      </c>
      <c r="J494" t="str">
        <f t="shared" si="14"/>
        <v>H1</v>
      </c>
      <c r="K494">
        <f t="shared" si="15"/>
        <v>1</v>
      </c>
    </row>
    <row r="495" spans="1:11" x14ac:dyDescent="0.25">
      <c r="A495" t="s">
        <v>675</v>
      </c>
      <c r="B495" t="s">
        <v>54</v>
      </c>
      <c r="C495" t="s">
        <v>53</v>
      </c>
      <c r="D495" t="s">
        <v>652</v>
      </c>
      <c r="E495">
        <v>23</v>
      </c>
      <c r="F495">
        <v>8</v>
      </c>
      <c r="G495">
        <v>5</v>
      </c>
      <c r="H495">
        <v>1</v>
      </c>
      <c r="I495">
        <v>749.4</v>
      </c>
      <c r="J495" t="str">
        <f t="shared" si="14"/>
        <v>H1</v>
      </c>
      <c r="K495">
        <f t="shared" si="15"/>
        <v>0</v>
      </c>
    </row>
    <row r="496" spans="1:11" x14ac:dyDescent="0.25">
      <c r="A496" t="s">
        <v>675</v>
      </c>
      <c r="B496" t="s">
        <v>54</v>
      </c>
      <c r="C496" t="s">
        <v>53</v>
      </c>
      <c r="D496" t="s">
        <v>653</v>
      </c>
      <c r="E496">
        <v>25</v>
      </c>
      <c r="F496">
        <v>10</v>
      </c>
      <c r="G496">
        <v>4</v>
      </c>
      <c r="H496">
        <v>0</v>
      </c>
      <c r="I496">
        <v>0</v>
      </c>
      <c r="J496" t="str">
        <f t="shared" si="14"/>
        <v>H1</v>
      </c>
      <c r="K496">
        <f t="shared" si="15"/>
        <v>1</v>
      </c>
    </row>
    <row r="497" spans="1:11" x14ac:dyDescent="0.25">
      <c r="A497" t="s">
        <v>675</v>
      </c>
      <c r="B497" t="s">
        <v>54</v>
      </c>
      <c r="C497" t="s">
        <v>53</v>
      </c>
      <c r="D497" t="s">
        <v>654</v>
      </c>
      <c r="E497">
        <v>16</v>
      </c>
      <c r="F497">
        <v>7</v>
      </c>
      <c r="G497">
        <v>4</v>
      </c>
      <c r="H497">
        <v>1</v>
      </c>
      <c r="I497">
        <v>690.13</v>
      </c>
      <c r="J497" t="str">
        <f t="shared" si="14"/>
        <v>H1</v>
      </c>
      <c r="K497">
        <f t="shared" si="15"/>
        <v>0</v>
      </c>
    </row>
    <row r="498" spans="1:11" x14ac:dyDescent="0.25">
      <c r="A498" t="s">
        <v>675</v>
      </c>
      <c r="B498" t="s">
        <v>54</v>
      </c>
      <c r="C498" t="s">
        <v>53</v>
      </c>
      <c r="D498" t="s">
        <v>655</v>
      </c>
      <c r="E498">
        <v>12</v>
      </c>
      <c r="F498">
        <v>4</v>
      </c>
      <c r="G498">
        <v>2</v>
      </c>
      <c r="H498">
        <v>0</v>
      </c>
      <c r="I498">
        <v>0</v>
      </c>
      <c r="J498" t="str">
        <f t="shared" si="14"/>
        <v>H1</v>
      </c>
      <c r="K498">
        <f t="shared" si="15"/>
        <v>1</v>
      </c>
    </row>
    <row r="499" spans="1:11" x14ac:dyDescent="0.25">
      <c r="A499" t="s">
        <v>675</v>
      </c>
      <c r="B499" t="s">
        <v>54</v>
      </c>
      <c r="C499" t="s">
        <v>53</v>
      </c>
      <c r="D499" t="s">
        <v>656</v>
      </c>
      <c r="E499">
        <v>19</v>
      </c>
      <c r="F499">
        <v>8</v>
      </c>
      <c r="G499">
        <v>3</v>
      </c>
      <c r="H499">
        <v>1</v>
      </c>
      <c r="I499">
        <v>861.72</v>
      </c>
      <c r="J499" t="str">
        <f t="shared" si="14"/>
        <v>H1</v>
      </c>
      <c r="K499">
        <f t="shared" si="15"/>
        <v>0</v>
      </c>
    </row>
    <row r="500" spans="1:11" x14ac:dyDescent="0.25">
      <c r="A500" t="s">
        <v>675</v>
      </c>
      <c r="B500" t="s">
        <v>54</v>
      </c>
      <c r="C500" t="s">
        <v>53</v>
      </c>
      <c r="D500" t="s">
        <v>657</v>
      </c>
      <c r="E500">
        <v>12</v>
      </c>
      <c r="F500">
        <v>4</v>
      </c>
      <c r="G500">
        <v>2</v>
      </c>
      <c r="H500">
        <v>0</v>
      </c>
      <c r="I500">
        <v>0</v>
      </c>
      <c r="J500" t="str">
        <f t="shared" si="14"/>
        <v>H2</v>
      </c>
      <c r="K500">
        <f t="shared" si="15"/>
        <v>1</v>
      </c>
    </row>
    <row r="501" spans="1:11" x14ac:dyDescent="0.25">
      <c r="A501" t="s">
        <v>675</v>
      </c>
      <c r="B501" t="s">
        <v>54</v>
      </c>
      <c r="C501" t="s">
        <v>53</v>
      </c>
      <c r="D501" t="s">
        <v>658</v>
      </c>
      <c r="E501">
        <v>13</v>
      </c>
      <c r="F501">
        <v>4</v>
      </c>
      <c r="G501">
        <v>1</v>
      </c>
      <c r="H501">
        <v>0</v>
      </c>
      <c r="I501">
        <v>0</v>
      </c>
      <c r="J501" t="str">
        <f t="shared" si="14"/>
        <v>H2</v>
      </c>
      <c r="K501">
        <f t="shared" si="15"/>
        <v>1</v>
      </c>
    </row>
    <row r="502" spans="1:11" x14ac:dyDescent="0.25">
      <c r="A502" t="s">
        <v>675</v>
      </c>
      <c r="B502" t="s">
        <v>54</v>
      </c>
      <c r="C502" t="s">
        <v>53</v>
      </c>
      <c r="D502" t="s">
        <v>659</v>
      </c>
      <c r="E502">
        <v>14</v>
      </c>
      <c r="F502">
        <v>5</v>
      </c>
      <c r="G502">
        <v>2</v>
      </c>
      <c r="H502">
        <v>0</v>
      </c>
      <c r="I502">
        <v>0</v>
      </c>
      <c r="J502" t="str">
        <f t="shared" si="14"/>
        <v>H2</v>
      </c>
      <c r="K502">
        <f t="shared" si="15"/>
        <v>1</v>
      </c>
    </row>
    <row r="503" spans="1:11" x14ac:dyDescent="0.25">
      <c r="A503" t="s">
        <v>675</v>
      </c>
      <c r="B503" t="s">
        <v>54</v>
      </c>
      <c r="C503" t="s">
        <v>53</v>
      </c>
      <c r="D503" t="s">
        <v>660</v>
      </c>
      <c r="E503">
        <v>22</v>
      </c>
      <c r="F503">
        <v>10</v>
      </c>
      <c r="G503">
        <v>4</v>
      </c>
      <c r="H503">
        <v>1</v>
      </c>
      <c r="I503">
        <v>830.01</v>
      </c>
      <c r="J503" t="str">
        <f t="shared" si="14"/>
        <v>H2</v>
      </c>
      <c r="K503">
        <f t="shared" si="15"/>
        <v>0</v>
      </c>
    </row>
    <row r="504" spans="1:11" x14ac:dyDescent="0.25">
      <c r="A504" t="s">
        <v>675</v>
      </c>
      <c r="B504" t="s">
        <v>54</v>
      </c>
      <c r="C504" t="s">
        <v>53</v>
      </c>
      <c r="D504" t="s">
        <v>661</v>
      </c>
      <c r="E504">
        <v>19</v>
      </c>
      <c r="F504">
        <v>9</v>
      </c>
      <c r="G504">
        <v>6</v>
      </c>
      <c r="H504">
        <v>1</v>
      </c>
      <c r="I504">
        <v>792.45</v>
      </c>
      <c r="J504" t="str">
        <f t="shared" si="14"/>
        <v>H2</v>
      </c>
      <c r="K504">
        <f t="shared" si="15"/>
        <v>0</v>
      </c>
    </row>
    <row r="505" spans="1:11" x14ac:dyDescent="0.25">
      <c r="A505" t="s">
        <v>675</v>
      </c>
      <c r="B505" t="s">
        <v>54</v>
      </c>
      <c r="C505" t="s">
        <v>53</v>
      </c>
      <c r="D505" t="s">
        <v>662</v>
      </c>
      <c r="E505">
        <v>21</v>
      </c>
      <c r="F505">
        <v>9</v>
      </c>
      <c r="G505">
        <v>4</v>
      </c>
      <c r="H505">
        <v>1</v>
      </c>
      <c r="I505">
        <v>541.96</v>
      </c>
      <c r="J505" t="str">
        <f t="shared" si="14"/>
        <v>H2</v>
      </c>
      <c r="K505">
        <f t="shared" si="15"/>
        <v>0</v>
      </c>
    </row>
    <row r="506" spans="1:11" x14ac:dyDescent="0.25">
      <c r="A506" t="s">
        <v>676</v>
      </c>
      <c r="B506" t="s">
        <v>43</v>
      </c>
      <c r="C506" t="s">
        <v>42</v>
      </c>
      <c r="D506" t="s">
        <v>651</v>
      </c>
      <c r="E506">
        <v>16</v>
      </c>
      <c r="F506">
        <v>7</v>
      </c>
      <c r="G506">
        <v>4</v>
      </c>
      <c r="H506">
        <v>1</v>
      </c>
      <c r="I506">
        <v>655.58</v>
      </c>
      <c r="J506" t="str">
        <f t="shared" si="14"/>
        <v>H1</v>
      </c>
      <c r="K506">
        <f t="shared" si="15"/>
        <v>0</v>
      </c>
    </row>
    <row r="507" spans="1:11" x14ac:dyDescent="0.25">
      <c r="A507" t="s">
        <v>676</v>
      </c>
      <c r="B507" t="s">
        <v>43</v>
      </c>
      <c r="C507" t="s">
        <v>42</v>
      </c>
      <c r="D507" t="s">
        <v>651</v>
      </c>
      <c r="E507">
        <v>8</v>
      </c>
      <c r="F507">
        <v>4</v>
      </c>
      <c r="G507">
        <v>2</v>
      </c>
      <c r="H507">
        <v>0</v>
      </c>
      <c r="I507">
        <v>0</v>
      </c>
      <c r="J507" t="str">
        <f t="shared" si="14"/>
        <v>H1</v>
      </c>
      <c r="K507">
        <f t="shared" si="15"/>
        <v>1</v>
      </c>
    </row>
    <row r="508" spans="1:11" x14ac:dyDescent="0.25">
      <c r="A508" t="s">
        <v>676</v>
      </c>
      <c r="B508" t="s">
        <v>43</v>
      </c>
      <c r="C508" t="s">
        <v>42</v>
      </c>
      <c r="D508" t="s">
        <v>652</v>
      </c>
      <c r="E508">
        <v>11</v>
      </c>
      <c r="F508">
        <v>5</v>
      </c>
      <c r="G508">
        <v>2</v>
      </c>
      <c r="H508">
        <v>0</v>
      </c>
      <c r="I508">
        <v>0</v>
      </c>
      <c r="J508" t="str">
        <f t="shared" si="14"/>
        <v>H1</v>
      </c>
      <c r="K508">
        <f t="shared" si="15"/>
        <v>1</v>
      </c>
    </row>
    <row r="509" spans="1:11" x14ac:dyDescent="0.25">
      <c r="A509" t="s">
        <v>676</v>
      </c>
      <c r="B509" t="s">
        <v>43</v>
      </c>
      <c r="C509" t="s">
        <v>42</v>
      </c>
      <c r="D509" t="s">
        <v>652</v>
      </c>
      <c r="E509">
        <v>21</v>
      </c>
      <c r="F509">
        <v>7</v>
      </c>
      <c r="G509">
        <v>4</v>
      </c>
      <c r="H509">
        <v>1</v>
      </c>
      <c r="I509">
        <v>863.64</v>
      </c>
      <c r="J509" t="str">
        <f t="shared" si="14"/>
        <v>H1</v>
      </c>
      <c r="K509">
        <f t="shared" si="15"/>
        <v>0</v>
      </c>
    </row>
    <row r="510" spans="1:11" x14ac:dyDescent="0.25">
      <c r="A510" t="s">
        <v>676</v>
      </c>
      <c r="B510" t="s">
        <v>43</v>
      </c>
      <c r="C510" t="s">
        <v>42</v>
      </c>
      <c r="D510" t="s">
        <v>653</v>
      </c>
      <c r="E510">
        <v>24</v>
      </c>
      <c r="F510">
        <v>11</v>
      </c>
      <c r="G510">
        <v>7</v>
      </c>
      <c r="H510">
        <v>2</v>
      </c>
      <c r="I510">
        <v>1526.37</v>
      </c>
      <c r="J510" t="str">
        <f t="shared" si="14"/>
        <v>H1</v>
      </c>
      <c r="K510">
        <f t="shared" si="15"/>
        <v>0</v>
      </c>
    </row>
    <row r="511" spans="1:11" x14ac:dyDescent="0.25">
      <c r="A511" t="s">
        <v>676</v>
      </c>
      <c r="B511" t="s">
        <v>43</v>
      </c>
      <c r="C511" t="s">
        <v>42</v>
      </c>
      <c r="D511" t="s">
        <v>653</v>
      </c>
      <c r="E511">
        <v>20</v>
      </c>
      <c r="F511">
        <v>8</v>
      </c>
      <c r="G511">
        <v>5</v>
      </c>
      <c r="H511">
        <v>2</v>
      </c>
      <c r="I511">
        <v>835</v>
      </c>
      <c r="J511" t="str">
        <f t="shared" si="14"/>
        <v>H1</v>
      </c>
      <c r="K511">
        <f t="shared" si="15"/>
        <v>0</v>
      </c>
    </row>
    <row r="512" spans="1:11" x14ac:dyDescent="0.25">
      <c r="A512" t="s">
        <v>676</v>
      </c>
      <c r="B512" t="s">
        <v>43</v>
      </c>
      <c r="C512" t="s">
        <v>42</v>
      </c>
      <c r="D512" t="s">
        <v>654</v>
      </c>
      <c r="E512">
        <v>16</v>
      </c>
      <c r="F512">
        <v>9</v>
      </c>
      <c r="G512">
        <v>5</v>
      </c>
      <c r="H512">
        <v>1</v>
      </c>
      <c r="I512">
        <v>845.54</v>
      </c>
      <c r="J512" t="str">
        <f t="shared" si="14"/>
        <v>H1</v>
      </c>
      <c r="K512">
        <f t="shared" si="15"/>
        <v>0</v>
      </c>
    </row>
    <row r="513" spans="1:11" x14ac:dyDescent="0.25">
      <c r="A513" t="s">
        <v>676</v>
      </c>
      <c r="B513" t="s">
        <v>43</v>
      </c>
      <c r="C513" t="s">
        <v>42</v>
      </c>
      <c r="D513" t="s">
        <v>654</v>
      </c>
      <c r="E513">
        <v>19</v>
      </c>
      <c r="F513">
        <v>8</v>
      </c>
      <c r="G513">
        <v>3</v>
      </c>
      <c r="H513">
        <v>0</v>
      </c>
      <c r="I513">
        <v>0</v>
      </c>
      <c r="J513" t="str">
        <f t="shared" si="14"/>
        <v>H1</v>
      </c>
      <c r="K513">
        <f t="shared" si="15"/>
        <v>1</v>
      </c>
    </row>
    <row r="514" spans="1:11" x14ac:dyDescent="0.25">
      <c r="A514" t="s">
        <v>676</v>
      </c>
      <c r="B514" t="s">
        <v>43</v>
      </c>
      <c r="C514" t="s">
        <v>42</v>
      </c>
      <c r="D514" t="s">
        <v>655</v>
      </c>
      <c r="E514">
        <v>14</v>
      </c>
      <c r="F514">
        <v>4</v>
      </c>
      <c r="G514">
        <v>2</v>
      </c>
      <c r="H514">
        <v>0</v>
      </c>
      <c r="I514">
        <v>0</v>
      </c>
      <c r="J514" t="str">
        <f t="shared" ref="J514:J529" si="16">IF(VALUE(RIGHT(D514,2))&lt;=6,"H1","H2")</f>
        <v>H1</v>
      </c>
      <c r="K514">
        <f t="shared" ref="K514:K529" si="17">IF(H514=0,1,0)</f>
        <v>1</v>
      </c>
    </row>
    <row r="515" spans="1:11" x14ac:dyDescent="0.25">
      <c r="A515" t="s">
        <v>676</v>
      </c>
      <c r="B515" t="s">
        <v>43</v>
      </c>
      <c r="C515" t="s">
        <v>42</v>
      </c>
      <c r="D515" t="s">
        <v>655</v>
      </c>
      <c r="E515">
        <v>19</v>
      </c>
      <c r="F515">
        <v>10</v>
      </c>
      <c r="G515">
        <v>5</v>
      </c>
      <c r="H515">
        <v>1</v>
      </c>
      <c r="I515">
        <v>463.82</v>
      </c>
      <c r="J515" t="str">
        <f t="shared" si="16"/>
        <v>H1</v>
      </c>
      <c r="K515">
        <f t="shared" si="17"/>
        <v>0</v>
      </c>
    </row>
    <row r="516" spans="1:11" x14ac:dyDescent="0.25">
      <c r="A516" t="s">
        <v>676</v>
      </c>
      <c r="B516" t="s">
        <v>43</v>
      </c>
      <c r="C516" t="s">
        <v>42</v>
      </c>
      <c r="D516" t="s">
        <v>656</v>
      </c>
      <c r="E516">
        <v>12</v>
      </c>
      <c r="F516">
        <v>4</v>
      </c>
      <c r="G516">
        <v>2</v>
      </c>
      <c r="H516">
        <v>0</v>
      </c>
      <c r="I516">
        <v>0</v>
      </c>
      <c r="J516" t="str">
        <f t="shared" si="16"/>
        <v>H1</v>
      </c>
      <c r="K516">
        <f t="shared" si="17"/>
        <v>1</v>
      </c>
    </row>
    <row r="517" spans="1:11" x14ac:dyDescent="0.25">
      <c r="A517" t="s">
        <v>676</v>
      </c>
      <c r="B517" t="s">
        <v>43</v>
      </c>
      <c r="C517" t="s">
        <v>42</v>
      </c>
      <c r="D517" t="s">
        <v>656</v>
      </c>
      <c r="E517">
        <v>16</v>
      </c>
      <c r="F517">
        <v>7</v>
      </c>
      <c r="G517">
        <v>3</v>
      </c>
      <c r="H517">
        <v>1</v>
      </c>
      <c r="I517">
        <v>722.56</v>
      </c>
      <c r="J517" t="str">
        <f t="shared" si="16"/>
        <v>H1</v>
      </c>
      <c r="K517">
        <f t="shared" si="17"/>
        <v>0</v>
      </c>
    </row>
    <row r="518" spans="1:11" x14ac:dyDescent="0.25">
      <c r="A518" t="s">
        <v>676</v>
      </c>
      <c r="B518" t="s">
        <v>43</v>
      </c>
      <c r="C518" t="s">
        <v>42</v>
      </c>
      <c r="D518" t="s">
        <v>657</v>
      </c>
      <c r="E518">
        <v>9</v>
      </c>
      <c r="F518">
        <v>3</v>
      </c>
      <c r="G518">
        <v>2</v>
      </c>
      <c r="H518">
        <v>0</v>
      </c>
      <c r="I518">
        <v>0</v>
      </c>
      <c r="J518" t="str">
        <f t="shared" si="16"/>
        <v>H2</v>
      </c>
      <c r="K518">
        <f t="shared" si="17"/>
        <v>1</v>
      </c>
    </row>
    <row r="519" spans="1:11" x14ac:dyDescent="0.25">
      <c r="A519" t="s">
        <v>676</v>
      </c>
      <c r="B519" t="s">
        <v>43</v>
      </c>
      <c r="C519" t="s">
        <v>42</v>
      </c>
      <c r="D519" t="s">
        <v>657</v>
      </c>
      <c r="E519">
        <v>16</v>
      </c>
      <c r="F519">
        <v>7</v>
      </c>
      <c r="G519">
        <v>5</v>
      </c>
      <c r="H519">
        <v>2</v>
      </c>
      <c r="I519">
        <v>1635.82</v>
      </c>
      <c r="J519" t="str">
        <f t="shared" si="16"/>
        <v>H2</v>
      </c>
      <c r="K519">
        <f t="shared" si="17"/>
        <v>0</v>
      </c>
    </row>
    <row r="520" spans="1:11" x14ac:dyDescent="0.25">
      <c r="A520" t="s">
        <v>676</v>
      </c>
      <c r="B520" t="s">
        <v>43</v>
      </c>
      <c r="C520" t="s">
        <v>42</v>
      </c>
      <c r="D520" t="s">
        <v>658</v>
      </c>
      <c r="E520">
        <v>17</v>
      </c>
      <c r="F520">
        <v>7</v>
      </c>
      <c r="G520">
        <v>3</v>
      </c>
      <c r="H520">
        <v>1</v>
      </c>
      <c r="I520">
        <v>526.39</v>
      </c>
      <c r="J520" t="str">
        <f t="shared" si="16"/>
        <v>H2</v>
      </c>
      <c r="K520">
        <f t="shared" si="17"/>
        <v>0</v>
      </c>
    </row>
    <row r="521" spans="1:11" x14ac:dyDescent="0.25">
      <c r="A521" t="s">
        <v>676</v>
      </c>
      <c r="B521" t="s">
        <v>43</v>
      </c>
      <c r="C521" t="s">
        <v>42</v>
      </c>
      <c r="D521" t="s">
        <v>658</v>
      </c>
      <c r="E521">
        <v>23</v>
      </c>
      <c r="F521">
        <v>13</v>
      </c>
      <c r="G521">
        <v>8</v>
      </c>
      <c r="H521">
        <v>2</v>
      </c>
      <c r="I521">
        <v>1168.1400000000001</v>
      </c>
      <c r="J521" t="str">
        <f t="shared" si="16"/>
        <v>H2</v>
      </c>
      <c r="K521">
        <f t="shared" si="17"/>
        <v>0</v>
      </c>
    </row>
    <row r="522" spans="1:11" x14ac:dyDescent="0.25">
      <c r="A522" t="s">
        <v>676</v>
      </c>
      <c r="B522" t="s">
        <v>43</v>
      </c>
      <c r="C522" t="s">
        <v>42</v>
      </c>
      <c r="D522" t="s">
        <v>659</v>
      </c>
      <c r="E522">
        <v>20</v>
      </c>
      <c r="F522">
        <v>10</v>
      </c>
      <c r="G522">
        <v>5</v>
      </c>
      <c r="H522">
        <v>2</v>
      </c>
      <c r="I522">
        <v>980.37</v>
      </c>
      <c r="J522" t="str">
        <f t="shared" si="16"/>
        <v>H2</v>
      </c>
      <c r="K522">
        <f t="shared" si="17"/>
        <v>0</v>
      </c>
    </row>
    <row r="523" spans="1:11" x14ac:dyDescent="0.25">
      <c r="A523" t="s">
        <v>676</v>
      </c>
      <c r="B523" t="s">
        <v>43</v>
      </c>
      <c r="C523" t="s">
        <v>42</v>
      </c>
      <c r="D523" t="s">
        <v>659</v>
      </c>
      <c r="E523">
        <v>25</v>
      </c>
      <c r="F523">
        <v>13</v>
      </c>
      <c r="G523">
        <v>5</v>
      </c>
      <c r="H523">
        <v>1</v>
      </c>
      <c r="I523">
        <v>836.56</v>
      </c>
      <c r="J523" t="str">
        <f t="shared" si="16"/>
        <v>H2</v>
      </c>
      <c r="K523">
        <f t="shared" si="17"/>
        <v>0</v>
      </c>
    </row>
    <row r="524" spans="1:11" x14ac:dyDescent="0.25">
      <c r="A524" t="s">
        <v>676</v>
      </c>
      <c r="B524" t="s">
        <v>43</v>
      </c>
      <c r="C524" t="s">
        <v>42</v>
      </c>
      <c r="D524" t="s">
        <v>660</v>
      </c>
      <c r="E524">
        <v>10</v>
      </c>
      <c r="F524">
        <v>5</v>
      </c>
      <c r="G524">
        <v>3</v>
      </c>
      <c r="H524">
        <v>1</v>
      </c>
      <c r="I524">
        <v>867.29</v>
      </c>
      <c r="J524" t="str">
        <f t="shared" si="16"/>
        <v>H2</v>
      </c>
      <c r="K524">
        <f t="shared" si="17"/>
        <v>0</v>
      </c>
    </row>
    <row r="525" spans="1:11" x14ac:dyDescent="0.25">
      <c r="A525" t="s">
        <v>676</v>
      </c>
      <c r="B525" t="s">
        <v>43</v>
      </c>
      <c r="C525" t="s">
        <v>42</v>
      </c>
      <c r="D525" t="s">
        <v>660</v>
      </c>
      <c r="E525">
        <v>12</v>
      </c>
      <c r="F525">
        <v>6</v>
      </c>
      <c r="G525">
        <v>2</v>
      </c>
      <c r="H525">
        <v>0</v>
      </c>
      <c r="I525">
        <v>0</v>
      </c>
      <c r="J525" t="str">
        <f t="shared" si="16"/>
        <v>H2</v>
      </c>
      <c r="K525">
        <f t="shared" si="17"/>
        <v>1</v>
      </c>
    </row>
    <row r="526" spans="1:11" x14ac:dyDescent="0.25">
      <c r="A526" t="s">
        <v>676</v>
      </c>
      <c r="B526" t="s">
        <v>43</v>
      </c>
      <c r="C526" t="s">
        <v>42</v>
      </c>
      <c r="D526" t="s">
        <v>661</v>
      </c>
      <c r="E526">
        <v>16</v>
      </c>
      <c r="F526">
        <v>8</v>
      </c>
      <c r="G526">
        <v>5</v>
      </c>
      <c r="H526">
        <v>1</v>
      </c>
      <c r="I526">
        <v>594.05999999999995</v>
      </c>
      <c r="J526" t="str">
        <f t="shared" si="16"/>
        <v>H2</v>
      </c>
      <c r="K526">
        <f t="shared" si="17"/>
        <v>0</v>
      </c>
    </row>
    <row r="527" spans="1:11" x14ac:dyDescent="0.25">
      <c r="A527" t="s">
        <v>676</v>
      </c>
      <c r="B527" t="s">
        <v>43</v>
      </c>
      <c r="C527" t="s">
        <v>42</v>
      </c>
      <c r="D527" t="s">
        <v>661</v>
      </c>
      <c r="E527">
        <v>11</v>
      </c>
      <c r="F527">
        <v>3</v>
      </c>
      <c r="G527">
        <v>1</v>
      </c>
      <c r="H527">
        <v>0</v>
      </c>
      <c r="I527">
        <v>0</v>
      </c>
      <c r="J527" t="str">
        <f t="shared" si="16"/>
        <v>H2</v>
      </c>
      <c r="K527">
        <f t="shared" si="17"/>
        <v>1</v>
      </c>
    </row>
    <row r="528" spans="1:11" x14ac:dyDescent="0.25">
      <c r="A528" t="s">
        <v>676</v>
      </c>
      <c r="B528" t="s">
        <v>43</v>
      </c>
      <c r="C528" t="s">
        <v>42</v>
      </c>
      <c r="D528" t="s">
        <v>662</v>
      </c>
      <c r="E528">
        <v>16</v>
      </c>
      <c r="F528">
        <v>8</v>
      </c>
      <c r="G528">
        <v>4</v>
      </c>
      <c r="H528">
        <v>1</v>
      </c>
      <c r="I528">
        <v>508.91</v>
      </c>
      <c r="J528" t="str">
        <f t="shared" si="16"/>
        <v>H2</v>
      </c>
      <c r="K528">
        <f t="shared" si="17"/>
        <v>0</v>
      </c>
    </row>
    <row r="529" spans="1:11" x14ac:dyDescent="0.25">
      <c r="A529" t="s">
        <v>676</v>
      </c>
      <c r="B529" t="s">
        <v>43</v>
      </c>
      <c r="C529" t="s">
        <v>42</v>
      </c>
      <c r="D529" t="s">
        <v>662</v>
      </c>
      <c r="E529">
        <v>25</v>
      </c>
      <c r="F529">
        <v>9</v>
      </c>
      <c r="G529">
        <v>6</v>
      </c>
      <c r="H529">
        <v>2</v>
      </c>
      <c r="I529">
        <v>1484.94</v>
      </c>
      <c r="J529" t="str">
        <f t="shared" si="16"/>
        <v>H2</v>
      </c>
      <c r="K529">
        <f t="shared" si="17"/>
        <v>0</v>
      </c>
    </row>
  </sheetData>
  <autoFilter ref="A1:K52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Premissas</vt:lpstr>
      <vt:lpstr>Gap_Meta</vt:lpstr>
      <vt:lpstr>Regioes</vt:lpstr>
      <vt:lpstr>Simulador_Funil</vt:lpstr>
      <vt:lpstr>Priorizacao</vt:lpstr>
      <vt:lpstr>Ondas_Capacidade</vt:lpstr>
      <vt:lpstr>EC_Adicional</vt:lpstr>
      <vt:lpstr>Execucao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Barbosa Lins Filho</cp:lastModifiedBy>
  <dcterms:created xsi:type="dcterms:W3CDTF">2026-10-19T07:33:13Z</dcterms:created>
  <dcterms:modified xsi:type="dcterms:W3CDTF">2026-10-19T07:33:18Z</dcterms:modified>
</cp:coreProperties>
</file>